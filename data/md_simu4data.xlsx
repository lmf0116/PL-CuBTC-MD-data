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F:\MD_simulation\PEO_CuAl_MOF_Files\Data\"/>
    </mc:Choice>
  </mc:AlternateContent>
  <bookViews>
    <workbookView windowWidth="22188" windowHeight="9060" firstSheet="2" activeTab="6"/>
  </bookViews>
  <sheets>
    <sheet name="Sheet1" sheetId="1" r:id="rId1"/>
    <sheet name="电荷" sheetId="3" r:id="rId2"/>
    <sheet name="PL-Cu-x吸附量" sheetId="2" r:id="rId3"/>
    <sheet name="PL-Cu-x系统物理组成" sheetId="4" r:id="rId4"/>
    <sheet name="PL-CuBTC不同温度" sheetId="5" r:id="rId5"/>
    <sheet name="不同聚合度 298k 1atm" sheetId="6" r:id="rId6"/>
    <sheet name="PL-Cu-BTC不同阴离子浓度" sheetId="7" r:id="rId7"/>
    <sheet name="PL-Cu-BTC不同CuBTC" sheetId="8" r:id="rId8"/>
    <sheet name="力学性能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<sst xmlns="http://schemas.openxmlformats.org/spreadsheetml/2006/main" count="982" uniqueCount="217">
  <si>
    <t>x_of CuBTC</t>
  </si>
  <si>
    <t>total</t>
  </si>
  <si>
    <t>up</t>
  </si>
  <si>
    <t>down</t>
  </si>
  <si>
    <t>Eint</t>
  </si>
  <si>
    <t>Br</t>
  </si>
  <si>
    <t>Ni</t>
  </si>
  <si>
    <t>Cu</t>
  </si>
  <si>
    <t>CHO</t>
  </si>
  <si>
    <t>Mg</t>
  </si>
  <si>
    <t>Co</t>
  </si>
  <si>
    <t>Cl</t>
  </si>
  <si>
    <t>Fe</t>
  </si>
  <si>
    <t>Al</t>
  </si>
  <si>
    <t>F</t>
  </si>
  <si>
    <t>NH2</t>
  </si>
  <si>
    <t>SH</t>
  </si>
  <si>
    <t xml:space="preserve">Partial Atomic Charges Calculated from DFT </t>
  </si>
  <si>
    <t>tfsi-[1]</t>
  </si>
  <si>
    <t>Cu-BTC[2]</t>
  </si>
  <si>
    <t>C</t>
  </si>
  <si>
    <t>O</t>
  </si>
  <si>
    <t>S</t>
  </si>
  <si>
    <t>C_1</t>
  </si>
  <si>
    <t>C_2</t>
  </si>
  <si>
    <t>C_3</t>
  </si>
  <si>
    <t>H_Benzene</t>
  </si>
  <si>
    <t>Cu-BTC</t>
  </si>
  <si>
    <t>[1]Comparative Study of Isomeric TFSI and FPFSI Anions in Li-Ion
Electrolytes Using Quantum Chemistry and Ab Initio Molecular
Dynamics</t>
  </si>
  <si>
    <t>[2]A force field for dynamic Cu-BTC metal-organic framework</t>
  </si>
  <si>
    <t>Average loading N</t>
  </si>
  <si>
    <t>Average Isosteric heats/kcal/mol</t>
  </si>
  <si>
    <t>Average total energy/kcal/mol</t>
  </si>
  <si>
    <t>M(g/mol)</t>
  </si>
  <si>
    <t>M_A(g/mol)</t>
  </si>
  <si>
    <t>Absolute uptake (mg/g)</t>
  </si>
  <si>
    <t>比表面积</t>
  </si>
  <si>
    <t>Cu-CuBTC</t>
  </si>
  <si>
    <t>Al-CuBTC</t>
  </si>
  <si>
    <t>Ni-CuBTC</t>
  </si>
  <si>
    <t>Mg-CuBTC</t>
  </si>
  <si>
    <t>mg/g=N*M_A/M;N为吸附分子数，M为单个晶胞的摩尔质量（g/mol），M_A为吸附质的摩尔质量</t>
  </si>
  <si>
    <t>H</t>
  </si>
  <si>
    <t>N</t>
  </si>
  <si>
    <t>Molecular weight (g/mol)</t>
  </si>
  <si>
    <t>bimetallic metal-organic framework</t>
  </si>
  <si>
    <t>Ni-Cu-BTC</t>
  </si>
  <si>
    <t>Mg-Cu-BTC</t>
  </si>
  <si>
    <t>Al-Cu-BTC</t>
  </si>
  <si>
    <t>Based</t>
  </si>
  <si>
    <t>functionalized organic linker parts</t>
  </si>
  <si>
    <t>F-CuBTC</t>
  </si>
  <si>
    <t>Cl-CuBTC</t>
  </si>
  <si>
    <t>Br-CuBTC</t>
  </si>
  <si>
    <t>NH2-CuBTC</t>
  </si>
  <si>
    <t>SH-CuBTC</t>
  </si>
  <si>
    <t>The Parameters of PL/Cu-based MOF after MD Simulation</t>
  </si>
  <si>
    <t>energy of system</t>
  </si>
  <si>
    <t>btc</t>
  </si>
  <si>
    <t>bbc</t>
  </si>
  <si>
    <t>TTCA</t>
  </si>
  <si>
    <t>TATB</t>
  </si>
  <si>
    <t>total msd</t>
  </si>
  <si>
    <t>Li+</t>
  </si>
  <si>
    <t>TFSi-</t>
  </si>
  <si>
    <t>RDF of Li-X</t>
  </si>
  <si>
    <t>静电</t>
  </si>
  <si>
    <t>vdW</t>
  </si>
  <si>
    <t>type of PL with Cu-X</t>
  </si>
  <si>
    <t>a=b=c (Å)</t>
  </si>
  <si>
    <t>Li</t>
  </si>
  <si>
    <t>density ( g/cm^3)</t>
  </si>
  <si>
    <t>PL only</t>
  </si>
  <si>
    <t>PL-CuBTC</t>
  </si>
  <si>
    <t>PL-CuBBC</t>
  </si>
  <si>
    <t>PL-CuTTCA</t>
  </si>
  <si>
    <t>PL-CuTATB</t>
  </si>
  <si>
    <t>PL</t>
  </si>
  <si>
    <t>TFSi</t>
  </si>
  <si>
    <t>system</t>
  </si>
  <si>
    <t>slope(A^2/ps)</t>
  </si>
  <si>
    <t>D(10^-12*m^2/s)</t>
  </si>
  <si>
    <t>R^2</t>
  </si>
  <si>
    <t>n_Li</t>
  </si>
  <si>
    <t>cell</t>
  </si>
  <si>
    <t>volume</t>
  </si>
  <si>
    <t>ci</t>
  </si>
  <si>
    <t>q^2</t>
  </si>
  <si>
    <t>kB*T</t>
  </si>
  <si>
    <t>sigmai(s/cm)</t>
  </si>
  <si>
    <t>t_Li</t>
  </si>
  <si>
    <t>O(PEO)</t>
  </si>
  <si>
    <t>O(tfsi-)</t>
  </si>
  <si>
    <t>Cubtc</t>
  </si>
  <si>
    <t>Cu-BBC</t>
  </si>
  <si>
    <t>Cu-tatb</t>
  </si>
  <si>
    <t>PEO+Cu-based</t>
  </si>
  <si>
    <t>LFTSI+Cu-based</t>
  </si>
  <si>
    <t>/</t>
  </si>
  <si>
    <t>Time</t>
  </si>
  <si>
    <t>electrostatic</t>
  </si>
  <si>
    <t>potential</t>
  </si>
  <si>
    <t>MSD</t>
  </si>
  <si>
    <t>200-350ps</t>
  </si>
  <si>
    <t>r</t>
  </si>
  <si>
    <t>g(r)</t>
  </si>
  <si>
    <t>BTC (HKUST1)</t>
  </si>
  <si>
    <t>PL/Cu-BTC</t>
  </si>
  <si>
    <t>BBC (MOF399)</t>
  </si>
  <si>
    <t>PL/Cu-BBC</t>
  </si>
  <si>
    <t>TTCA (PCN-20)</t>
  </si>
  <si>
    <t>PL/Cu-TTCA</t>
  </si>
  <si>
    <t>TATB (PCN-6')</t>
  </si>
  <si>
    <t>PL/Cu-TATB</t>
  </si>
  <si>
    <r>
      <rPr>
        <sz val="11"/>
        <color rgb="FF000000"/>
        <rFont val="等线"/>
        <charset val="134"/>
        <scheme val="minor"/>
      </rPr>
      <t>D_Li(10</t>
    </r>
    <r>
      <rPr>
        <vertAlign val="superscript"/>
        <sz val="11"/>
        <color rgb="FF000000"/>
        <rFont val="等线"/>
        <charset val="134"/>
        <scheme val="minor"/>
      </rPr>
      <t>-12</t>
    </r>
    <r>
      <rPr>
        <sz val="11"/>
        <color rgb="FF000000"/>
        <rFont val="等线"/>
        <charset val="134"/>
        <scheme val="minor"/>
      </rPr>
      <t>m</t>
    </r>
    <r>
      <rPr>
        <vertAlign val="superscript"/>
        <sz val="11"/>
        <color rgb="FF000000"/>
        <rFont val="等线"/>
        <charset val="134"/>
        <scheme val="minor"/>
      </rPr>
      <t>2</t>
    </r>
    <r>
      <rPr>
        <sz val="11"/>
        <color rgb="FF000000"/>
        <rFont val="等线"/>
        <charset val="134"/>
        <scheme val="minor"/>
      </rPr>
      <t>/s)</t>
    </r>
  </si>
  <si>
    <r>
      <rPr>
        <sz val="10"/>
        <color theme="1"/>
        <rFont val="等线"/>
        <charset val="134"/>
        <scheme val="minor"/>
      </rPr>
      <t>σ</t>
    </r>
    <r>
      <rPr>
        <sz val="10"/>
        <color theme="1"/>
        <rFont val="Times New Roman"/>
        <charset val="134"/>
      </rPr>
      <t>_Li</t>
    </r>
    <r>
      <rPr>
        <vertAlign val="superscript"/>
        <sz val="10"/>
        <color theme="1"/>
        <rFont val="Times New Roman"/>
        <charset val="134"/>
      </rPr>
      <t>+</t>
    </r>
    <r>
      <rPr>
        <sz val="10"/>
        <color theme="1"/>
        <rFont val="Times New Roman"/>
        <charset val="134"/>
      </rPr>
      <t xml:space="preserve"> (S/cm)</t>
    </r>
  </si>
  <si>
    <r>
      <rPr>
        <sz val="11"/>
        <color rgb="FF000000"/>
        <rFont val="等线"/>
        <charset val="134"/>
        <scheme val="minor"/>
      </rPr>
      <t>D_TFSi</t>
    </r>
    <r>
      <rPr>
        <vertAlign val="superscript"/>
        <sz val="11"/>
        <color rgb="FF000000"/>
        <rFont val="等线"/>
        <charset val="134"/>
        <scheme val="minor"/>
      </rPr>
      <t>-</t>
    </r>
    <r>
      <rPr>
        <sz val="11"/>
        <color rgb="FF000000"/>
        <rFont val="等线"/>
        <charset val="134"/>
        <scheme val="minor"/>
      </rPr>
      <t>(10</t>
    </r>
    <r>
      <rPr>
        <vertAlign val="superscript"/>
        <sz val="11"/>
        <color rgb="FF000000"/>
        <rFont val="等线"/>
        <charset val="134"/>
        <scheme val="minor"/>
      </rPr>
      <t>-12</t>
    </r>
    <r>
      <rPr>
        <sz val="11"/>
        <color rgb="FF000000"/>
        <rFont val="等线"/>
        <charset val="134"/>
        <scheme val="minor"/>
      </rPr>
      <t>m</t>
    </r>
    <r>
      <rPr>
        <vertAlign val="superscript"/>
        <sz val="11"/>
        <color rgb="FF000000"/>
        <rFont val="等线"/>
        <charset val="134"/>
        <scheme val="minor"/>
      </rPr>
      <t>2</t>
    </r>
    <r>
      <rPr>
        <sz val="11"/>
        <color rgb="FF000000"/>
        <rFont val="等线"/>
        <charset val="134"/>
        <scheme val="minor"/>
      </rPr>
      <t>/s)</t>
    </r>
  </si>
  <si>
    <r>
      <rPr>
        <sz val="10"/>
        <color theme="1"/>
        <rFont val="Times New Roman"/>
        <charset val="134"/>
      </rPr>
      <t>T_Li</t>
    </r>
    <r>
      <rPr>
        <vertAlign val="superscript"/>
        <sz val="10"/>
        <color theme="1"/>
        <rFont val="Times New Roman"/>
        <charset val="134"/>
      </rPr>
      <t>+</t>
    </r>
  </si>
  <si>
    <t>MSD-PL-only</t>
  </si>
  <si>
    <t>MSD-PL-Cubtc</t>
  </si>
  <si>
    <t>RDF_Cu-O(PEO)</t>
  </si>
  <si>
    <t>RDF_Cu-O(TFSi-)</t>
  </si>
  <si>
    <t>Eint_total</t>
  </si>
  <si>
    <t>RDF_PL-ONLY</t>
  </si>
  <si>
    <t>Pl-cubtc</t>
  </si>
  <si>
    <t>密度（cm^3/g）</t>
  </si>
  <si>
    <t>Distance</t>
  </si>
  <si>
    <t>Mass density</t>
  </si>
  <si>
    <t>temp(k)</t>
  </si>
  <si>
    <t>_LI-O(PEO)</t>
  </si>
  <si>
    <t>Li-tfsI-</t>
  </si>
  <si>
    <t>temp</t>
  </si>
  <si>
    <t>误差</t>
  </si>
  <si>
    <t>Relative concentration</t>
  </si>
  <si>
    <t>298k</t>
  </si>
  <si>
    <t>150-300ps</t>
  </si>
  <si>
    <t>gr</t>
  </si>
  <si>
    <t>g®</t>
  </si>
  <si>
    <t>PEO+Cubtc</t>
  </si>
  <si>
    <t>PEO</t>
  </si>
  <si>
    <r>
      <rPr>
        <sz val="11"/>
        <color theme="1"/>
        <rFont val="等线"/>
        <charset val="134"/>
        <scheme val="minor"/>
      </rPr>
      <t>N=54（链长 54 个 EO 单元）体系，平衡模拟密度</t>
    </r>
    <r>
      <rPr>
        <sz val="11"/>
        <color theme="1"/>
        <rFont val="等线"/>
        <charset val="134"/>
      </rPr>
      <t>（423</t>
    </r>
    <r>
      <rPr>
        <sz val="11"/>
        <color theme="1"/>
        <rFont val="Times New Roman"/>
        <charset val="134"/>
      </rPr>
      <t> </t>
    </r>
    <r>
      <rPr>
        <sz val="11"/>
        <color theme="1"/>
        <rFont val="等线"/>
        <charset val="134"/>
      </rPr>
      <t>K 下 NPT 弛豫后的模拟密度）</t>
    </r>
    <r>
      <rPr>
        <sz val="11"/>
        <color theme="1"/>
        <rFont val="等线"/>
        <charset val="134"/>
        <scheme val="minor"/>
      </rPr>
      <t xml:space="preserve"> Dependence of Ion Dynamics on the Polymer Chain Length in Poly(ethylene oxide)-Based Polymer Electrolytes</t>
    </r>
  </si>
  <si>
    <t>PL-CubTc</t>
  </si>
  <si>
    <t>根据上面计算</t>
  </si>
  <si>
    <t>相对体积（1/rho）</t>
  </si>
  <si>
    <t>T/1000</t>
  </si>
  <si>
    <t>IN(D)</t>
  </si>
  <si>
    <t>fit(R2=0.8743)</t>
  </si>
  <si>
    <t>logsigma</t>
  </si>
  <si>
    <t>fit(R2=0.9186</t>
  </si>
  <si>
    <t>PL-only</t>
  </si>
  <si>
    <t>fit(R2=0.9379)</t>
  </si>
  <si>
    <t>fit(R2=0.8599</t>
  </si>
  <si>
    <t>密度</t>
  </si>
  <si>
    <t>t</t>
  </si>
  <si>
    <t>总能量</t>
  </si>
  <si>
    <t>Radius of gyration</t>
  </si>
  <si>
    <t>体系相互作用能</t>
  </si>
  <si>
    <t>rdf</t>
  </si>
  <si>
    <t>Cu-TFSI-</t>
  </si>
  <si>
    <t>The Parameters of PL/Cu-BTC MOF after MD Simulation</t>
  </si>
  <si>
    <t>链长</t>
  </si>
  <si>
    <t>回转半径</t>
  </si>
  <si>
    <t>peo</t>
  </si>
  <si>
    <t>LTFSi</t>
  </si>
  <si>
    <t>CuBTC</t>
  </si>
  <si>
    <t>Li-O(PEO)</t>
  </si>
  <si>
    <t>Li-O(tfsI-)</t>
  </si>
  <si>
    <t>chain length</t>
  </si>
  <si>
    <t>chain number</t>
  </si>
  <si>
    <t>total energy</t>
  </si>
  <si>
    <t>250-350ps</t>
  </si>
  <si>
    <t>1.229±0.0039</t>
  </si>
  <si>
    <t>1.227±0.0043</t>
  </si>
  <si>
    <t>1.228±0.0033</t>
  </si>
  <si>
    <t>1.233±0.0041</t>
  </si>
  <si>
    <t>1.23±0.0039</t>
  </si>
  <si>
    <t>rdf+CB1:CG1</t>
  </si>
  <si>
    <t>Li-o-peo</t>
  </si>
  <si>
    <t>Li-o-tfsi-</t>
  </si>
  <si>
    <t>相互作用能</t>
  </si>
  <si>
    <t>Li/CuBTC</t>
  </si>
  <si>
    <t>平均</t>
  </si>
  <si>
    <t>ionic concentrations</t>
  </si>
  <si>
    <t xml:space="preserve"> number of LTFSi</t>
  </si>
  <si>
    <t>error</t>
  </si>
  <si>
    <t>100-250ps</t>
  </si>
  <si>
    <t>Li/PEO</t>
  </si>
  <si>
    <t>Li/tfsI</t>
  </si>
  <si>
    <t>Cubtc/tfsI</t>
  </si>
  <si>
    <t>max peak</t>
  </si>
  <si>
    <t>Li_o(CuBTC)</t>
  </si>
  <si>
    <t>Cu_o(tfsi-)</t>
  </si>
  <si>
    <t>Li-Opeo</t>
  </si>
  <si>
    <t>Li-OTFSi-</t>
  </si>
  <si>
    <t xml:space="preserve"> number of Cubtc</t>
  </si>
  <si>
    <t>mechanical
properties</t>
  </si>
  <si>
    <t>L30</t>
  </si>
  <si>
    <t>L50</t>
  </si>
  <si>
    <t>L60</t>
  </si>
  <si>
    <t>L100</t>
  </si>
  <si>
    <t>L200</t>
  </si>
  <si>
    <t>N1</t>
  </si>
  <si>
    <t>N2</t>
  </si>
  <si>
    <t>N3</t>
  </si>
  <si>
    <t>N4</t>
  </si>
  <si>
    <t>N5</t>
  </si>
  <si>
    <t>Ghill</t>
  </si>
  <si>
    <t>BHILL</t>
  </si>
  <si>
    <t>λ</t>
  </si>
  <si>
    <t>μ</t>
  </si>
  <si>
    <t>E(GPa)</t>
  </si>
  <si>
    <t>G(GPa)</t>
  </si>
  <si>
    <t>B(GPa)</t>
  </si>
  <si>
    <t>L</t>
  </si>
  <si>
    <t>E</t>
  </si>
  <si>
    <t>G</t>
  </si>
  <si>
    <t>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</si>
</sst>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11"/>
      <color theme="1"/>
      <name val="Times New Roman"/>
      <charset val="134"/>
    </font>
    <font>
      <sz val="11"/>
      <color rgb="FF9C5700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0.5"/>
      <color theme="1"/>
      <name val="Times New Roman"/>
      <charset val="134"/>
    </font>
    <font>
      <sz val="11"/>
      <color rgb="FF000000"/>
      <name val="等线"/>
      <charset val="134"/>
      <scheme val="minor"/>
    </font>
    <font>
      <sz val="10"/>
      <color theme="1"/>
      <name val="等线"/>
      <charset val="134"/>
      <scheme val="minor"/>
    </font>
    <font>
      <sz val="10"/>
      <color theme="1"/>
      <name val="Times New Roman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vertAlign val="superscript"/>
      <sz val="11"/>
      <color rgb="FF000000"/>
      <name val="等线"/>
      <charset val="134"/>
      <scheme val="minor"/>
    </font>
    <font>
      <vertAlign val="superscript"/>
      <sz val="10"/>
      <color theme="1"/>
      <name val="Times New Roman"/>
      <charset val="134"/>
    </font>
    <font>
      <sz val="11"/>
      <color theme="1"/>
      <name val="等线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5" borderId="5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6" borderId="8" applyNumberFormat="0" applyAlignment="0" applyProtection="0">
      <alignment vertical="center"/>
    </xf>
    <xf numFmtId="0" fontId="18" fillId="7" borderId="9" applyNumberFormat="0" applyAlignment="0" applyProtection="0">
      <alignment vertical="center"/>
    </xf>
    <xf numFmtId="0" fontId="19" fillId="7" borderId="8" applyNumberFormat="0" applyAlignment="0" applyProtection="0">
      <alignment vertical="center"/>
    </xf>
    <xf numFmtId="0" fontId="20" fillId="8" borderId="10" applyNumberFormat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1" fillId="2" borderId="0" xfId="23" applyAlignment="1">
      <alignment vertical="center" wrapText="1"/>
    </xf>
    <xf numFmtId="0" fontId="1" fillId="2" borderId="0" xfId="23">
      <alignment vertical="center"/>
    </xf>
    <xf numFmtId="0" fontId="2" fillId="0" borderId="0" xfId="0" applyFont="1">
      <alignment vertical="center"/>
    </xf>
    <xf numFmtId="0" fontId="3" fillId="3" borderId="0" xfId="24">
      <alignment vertical="center"/>
    </xf>
    <xf numFmtId="0" fontId="0" fillId="0" borderId="0" xfId="0" applyAlignment="1">
      <alignment horizontal="center" vertical="center"/>
    </xf>
    <xf numFmtId="0" fontId="4" fillId="4" borderId="0" xfId="22" applyAlignment="1">
      <alignment horizontal="center" vertical="center"/>
    </xf>
    <xf numFmtId="0" fontId="3" fillId="3" borderId="0" xfId="24" applyAlignment="1">
      <alignment horizontal="center" vertical="center"/>
    </xf>
    <xf numFmtId="0" fontId="0" fillId="0" borderId="0" xfId="0" applyAlignment="1">
      <alignment horizontal="center" vertical="center" wrapText="1"/>
    </xf>
    <xf numFmtId="11" fontId="0" fillId="0" borderId="0" xfId="0" applyNumberFormat="1" applyAlignment="1">
      <alignment horizontal="center" vertical="center"/>
    </xf>
    <xf numFmtId="11" fontId="0" fillId="0" borderId="0" xfId="0" applyNumberFormat="1">
      <alignment vertical="center"/>
    </xf>
    <xf numFmtId="0" fontId="4" fillId="4" borderId="0" xfId="22">
      <alignment vertical="center"/>
    </xf>
    <xf numFmtId="0" fontId="0" fillId="0" borderId="0" xfId="0" applyNumberFormat="1">
      <alignment vertical="center"/>
    </xf>
    <xf numFmtId="0" fontId="1" fillId="2" borderId="0" xfId="23" applyAlignment="1">
      <alignment horizontal="center" vertical="center"/>
    </xf>
    <xf numFmtId="0" fontId="3" fillId="0" borderId="0" xfId="0" applyFont="1">
      <alignment vertical="center"/>
    </xf>
    <xf numFmtId="0" fontId="1" fillId="2" borderId="0" xfId="23" applyAlignment="1">
      <alignment vertical="center"/>
    </xf>
    <xf numFmtId="0" fontId="3" fillId="3" borderId="0" xfId="24" applyAlignment="1">
      <alignment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0" fontId="5" fillId="0" borderId="0" xfId="0" applyFont="1" applyBorder="1">
      <alignment vertical="center"/>
    </xf>
    <xf numFmtId="0" fontId="0" fillId="0" borderId="0" xfId="0" applyBorder="1">
      <alignment vertical="center"/>
    </xf>
    <xf numFmtId="0" fontId="0" fillId="0" borderId="0" xfId="0" applyFont="1">
      <alignment vertical="center"/>
    </xf>
    <xf numFmtId="0" fontId="5" fillId="0" borderId="0" xfId="0" applyFont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43" fontId="0" fillId="0" borderId="0" xfId="1" applyFont="1" applyAlignment="1">
      <alignment horizontal="center" vertical="center"/>
    </xf>
    <xf numFmtId="0" fontId="0" fillId="0" borderId="0" xfId="0" applyAlignment="1">
      <alignment vertical="center"/>
    </xf>
    <xf numFmtId="0" fontId="6" fillId="0" borderId="1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justify" vertical="center" wrapText="1"/>
    </xf>
    <xf numFmtId="0" fontId="7" fillId="0" borderId="2" xfId="0" applyFont="1" applyBorder="1" applyAlignment="1">
      <alignment horizontal="justify" vertical="center" wrapText="1"/>
    </xf>
    <xf numFmtId="0" fontId="8" fillId="0" borderId="2" xfId="0" applyFont="1" applyBorder="1" applyAlignment="1">
      <alignment horizontal="justify" vertical="center" wrapText="1"/>
    </xf>
    <xf numFmtId="0" fontId="6" fillId="0" borderId="3" xfId="0" applyFont="1" applyBorder="1" applyAlignment="1">
      <alignment horizontal="justify" vertical="center" wrapText="1"/>
    </xf>
    <xf numFmtId="0" fontId="6" fillId="0" borderId="4" xfId="0" applyFont="1" applyBorder="1" applyAlignment="1">
      <alignment horizontal="right" vertical="center" wrapText="1"/>
    </xf>
    <xf numFmtId="0" fontId="6" fillId="0" borderId="3" xfId="0" applyFont="1" applyBorder="1" applyAlignment="1">
      <alignment horizontal="left" vertical="center" wrapText="1"/>
    </xf>
    <xf numFmtId="11" fontId="6" fillId="0" borderId="4" xfId="0" applyNumberFormat="1" applyFont="1" applyBorder="1" applyAlignment="1">
      <alignment horizontal="righ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37"/>
  <sheetViews>
    <sheetView zoomScale="85" zoomScaleNormal="85" workbookViewId="0">
      <selection activeCell="F14" sqref="F14"/>
    </sheetView>
  </sheetViews>
  <sheetFormatPr defaultColWidth="9" defaultRowHeight="13.8"/>
  <cols>
    <col min="1" max="1" width="15.6296296296296" customWidth="1"/>
    <col min="2" max="2" width="11.8796296296296" customWidth="1"/>
  </cols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H1" t="s">
        <v>5</v>
      </c>
      <c r="I1">
        <v>151.04899733</v>
      </c>
      <c r="J1" t="s">
        <v>6</v>
      </c>
      <c r="K1">
        <v>146.876966</v>
      </c>
      <c r="M1">
        <v>146.876966</v>
      </c>
      <c r="N1" t="s">
        <v>6</v>
      </c>
      <c r="R1">
        <v>151.04899733</v>
      </c>
    </row>
    <row r="2" spans="1:18">
      <c r="A2" t="s">
        <v>7</v>
      </c>
      <c r="B2">
        <v>1055.466118</v>
      </c>
      <c r="C2">
        <v>-20.60646</v>
      </c>
      <c r="D2">
        <v>1222.852035</v>
      </c>
      <c r="E2">
        <v>-146.77945799</v>
      </c>
      <c r="F2">
        <f>ABS(E2)</f>
        <v>146.77945799</v>
      </c>
      <c r="H2" t="s">
        <v>8</v>
      </c>
      <c r="I2">
        <v>152.37074491</v>
      </c>
      <c r="J2" t="s">
        <v>9</v>
      </c>
      <c r="K2">
        <v>272.71778722</v>
      </c>
      <c r="M2">
        <v>146.94564488</v>
      </c>
      <c r="N2" t="s">
        <v>10</v>
      </c>
      <c r="R2">
        <v>148.80402967</v>
      </c>
    </row>
    <row r="3" spans="1:18">
      <c r="A3" t="s">
        <v>6</v>
      </c>
      <c r="B3">
        <v>1100.793249</v>
      </c>
      <c r="C3">
        <v>-20.588283</v>
      </c>
      <c r="D3">
        <v>1268.258498</v>
      </c>
      <c r="E3">
        <f>B3-C3-D3</f>
        <v>-146.876966</v>
      </c>
      <c r="F3">
        <f t="shared" ref="F3:F14" si="0">ABS(E3)</f>
        <v>146.876966</v>
      </c>
      <c r="H3" t="s">
        <v>11</v>
      </c>
      <c r="I3">
        <v>148.80402967</v>
      </c>
      <c r="J3" t="s">
        <v>12</v>
      </c>
      <c r="K3">
        <v>146.96560982</v>
      </c>
      <c r="M3">
        <v>146.96560982</v>
      </c>
      <c r="N3" t="s">
        <v>12</v>
      </c>
      <c r="R3">
        <v>146.52272294</v>
      </c>
    </row>
    <row r="4" spans="1:18">
      <c r="A4" t="s">
        <v>13</v>
      </c>
      <c r="E4">
        <v>-188.033</v>
      </c>
      <c r="F4">
        <f t="shared" si="0"/>
        <v>188.033</v>
      </c>
      <c r="H4" t="s">
        <v>14</v>
      </c>
      <c r="I4">
        <v>146.52272294</v>
      </c>
      <c r="J4" t="s">
        <v>10</v>
      </c>
      <c r="K4">
        <v>146.94564488</v>
      </c>
      <c r="M4">
        <v>188.033</v>
      </c>
      <c r="N4" t="s">
        <v>13</v>
      </c>
      <c r="R4">
        <v>152.37074491</v>
      </c>
    </row>
    <row r="5" spans="1:18">
      <c r="A5" t="s">
        <v>10</v>
      </c>
      <c r="E5">
        <v>-146.94564488</v>
      </c>
      <c r="F5">
        <f t="shared" si="0"/>
        <v>146.94564488</v>
      </c>
      <c r="H5" t="s">
        <v>15</v>
      </c>
      <c r="I5">
        <v>147.87857708</v>
      </c>
      <c r="J5" t="s">
        <v>13</v>
      </c>
      <c r="K5">
        <v>188.033</v>
      </c>
      <c r="M5">
        <v>272.71778722</v>
      </c>
      <c r="N5" t="s">
        <v>9</v>
      </c>
      <c r="R5">
        <v>147.87857708</v>
      </c>
    </row>
    <row r="6" spans="1:18">
      <c r="A6" t="s">
        <v>12</v>
      </c>
      <c r="E6">
        <v>-146.96560982</v>
      </c>
      <c r="F6">
        <f t="shared" si="0"/>
        <v>146.96560982</v>
      </c>
      <c r="H6" t="s">
        <v>16</v>
      </c>
      <c r="I6">
        <v>148.82040777</v>
      </c>
      <c r="M6">
        <v>146.77945799</v>
      </c>
      <c r="N6" t="s">
        <v>7</v>
      </c>
      <c r="R6">
        <v>148.82040777</v>
      </c>
    </row>
    <row r="7" spans="1:18">
      <c r="A7" t="s">
        <v>9</v>
      </c>
      <c r="E7">
        <v>-272.71778722</v>
      </c>
      <c r="F7">
        <f t="shared" si="0"/>
        <v>272.71778722</v>
      </c>
      <c r="M7">
        <v>152.37074491</v>
      </c>
      <c r="N7" t="s">
        <v>8</v>
      </c>
    </row>
    <row r="8" spans="1:18">
      <c r="A8" t="s">
        <v>5</v>
      </c>
      <c r="E8">
        <v>-151.04899733</v>
      </c>
      <c r="F8">
        <f t="shared" si="0"/>
        <v>151.04899733</v>
      </c>
      <c r="M8">
        <v>151.04899733</v>
      </c>
      <c r="N8" t="s">
        <v>5</v>
      </c>
    </row>
    <row r="9" spans="1:18">
      <c r="A9" t="s">
        <v>11</v>
      </c>
      <c r="E9">
        <v>-148.80402967</v>
      </c>
      <c r="F9">
        <f t="shared" si="0"/>
        <v>148.80402967</v>
      </c>
      <c r="M9">
        <v>148.82040777</v>
      </c>
      <c r="N9" t="s">
        <v>16</v>
      </c>
    </row>
    <row r="10" spans="1:18">
      <c r="A10" t="s">
        <v>14</v>
      </c>
      <c r="E10">
        <v>-146.52272294</v>
      </c>
      <c r="F10">
        <f t="shared" si="0"/>
        <v>146.52272294</v>
      </c>
      <c r="M10">
        <v>148.80402967</v>
      </c>
      <c r="N10" t="s">
        <v>11</v>
      </c>
    </row>
    <row r="11" spans="1:18">
      <c r="A11" t="s">
        <v>8</v>
      </c>
      <c r="E11">
        <v>-152.37074491</v>
      </c>
      <c r="F11">
        <f t="shared" si="0"/>
        <v>152.37074491</v>
      </c>
      <c r="M11">
        <v>147.87857708</v>
      </c>
      <c r="N11" t="s">
        <v>15</v>
      </c>
    </row>
    <row r="12" spans="1:18">
      <c r="A12" t="s">
        <v>15</v>
      </c>
      <c r="E12">
        <v>-147.87857708</v>
      </c>
      <c r="F12">
        <f t="shared" si="0"/>
        <v>147.87857708</v>
      </c>
      <c r="M12">
        <v>146.52272294</v>
      </c>
      <c r="N12" t="s">
        <v>14</v>
      </c>
    </row>
    <row r="13" spans="1:18">
      <c r="A13" t="s">
        <v>16</v>
      </c>
      <c r="E13">
        <v>-148.82040777</v>
      </c>
      <c r="F13">
        <f t="shared" si="0"/>
        <v>148.82040777</v>
      </c>
    </row>
    <row r="14" spans="1:18">
      <c r="F14">
        <f t="shared" si="0"/>
        <v>0</v>
      </c>
    </row>
    <row r="15" spans="1:18">
      <c r="B15">
        <v>-2.450865</v>
      </c>
    </row>
    <row r="17" spans="1:6">
      <c r="B17">
        <v>-329.737597</v>
      </c>
      <c r="C17">
        <v>20.509287</v>
      </c>
      <c r="D17">
        <v>-160.416392</v>
      </c>
      <c r="E17">
        <f t="shared" ref="E17:E22" si="1">B17-C17-D17</f>
        <v>-189.830492</v>
      </c>
    </row>
    <row r="18" spans="1:6">
      <c r="B18">
        <v>-2021.264342</v>
      </c>
      <c r="C18">
        <v>140.448059</v>
      </c>
      <c r="D18">
        <v>-1674.16809</v>
      </c>
      <c r="E18">
        <f t="shared" si="1"/>
        <v>-487.544311</v>
      </c>
    </row>
    <row r="19" spans="1:6">
      <c r="B19">
        <v>-298.617789</v>
      </c>
      <c r="C19">
        <v>-21.987584</v>
      </c>
      <c r="D19">
        <v>-144.834911</v>
      </c>
      <c r="E19">
        <f t="shared" si="1"/>
        <v>-131.795294</v>
      </c>
    </row>
    <row r="20" spans="1:6">
      <c r="B20">
        <v>-5463.027271</v>
      </c>
      <c r="C20">
        <v>-1827.737458</v>
      </c>
      <c r="D20">
        <v>-3635.25</v>
      </c>
      <c r="E20">
        <f t="shared" si="1"/>
        <v>-0.0398129999998673</v>
      </c>
      <c r="F20">
        <f>E20*627.51</f>
        <v>-24.9830556299167</v>
      </c>
    </row>
    <row r="21" spans="1:6">
      <c r="B21">
        <v>-5461.551942</v>
      </c>
      <c r="C21">
        <v>-1827.686414</v>
      </c>
      <c r="D21">
        <v>-3633.82861</v>
      </c>
      <c r="E21">
        <f t="shared" si="1"/>
        <v>-0.0369180000002416</v>
      </c>
      <c r="F21">
        <f>E21*627.51</f>
        <v>-23.1664141801516</v>
      </c>
    </row>
    <row r="22" spans="1:6">
      <c r="B22">
        <v>1070.702198</v>
      </c>
      <c r="C22">
        <v>-20.60646</v>
      </c>
      <c r="D22">
        <v>1232.243471</v>
      </c>
      <c r="E22">
        <f t="shared" si="1"/>
        <v>-140.934813</v>
      </c>
      <c r="F22">
        <f t="shared" ref="F22:F31" si="2">E22*627.51</f>
        <v>-88438.00450563</v>
      </c>
    </row>
    <row r="23" spans="1:6">
      <c r="E23">
        <f t="shared" ref="E23:E26" si="3">B23-C23-D23</f>
        <v>0</v>
      </c>
      <c r="F23">
        <f t="shared" si="2"/>
        <v>0</v>
      </c>
    </row>
    <row r="24" spans="1:6">
      <c r="E24">
        <f t="shared" si="3"/>
        <v>0</v>
      </c>
      <c r="F24">
        <f t="shared" si="2"/>
        <v>0</v>
      </c>
    </row>
    <row r="25" spans="1:6">
      <c r="A25" t="s">
        <v>0</v>
      </c>
      <c r="E25">
        <f t="shared" si="3"/>
        <v>0</v>
      </c>
      <c r="F25">
        <f t="shared" si="2"/>
        <v>0</v>
      </c>
    </row>
    <row r="26" spans="1:6">
      <c r="A26" t="s">
        <v>7</v>
      </c>
      <c r="B26">
        <v>-5461.551942</v>
      </c>
      <c r="C26">
        <v>-1827.686414</v>
      </c>
      <c r="D26">
        <v>-3633.828619</v>
      </c>
      <c r="E26">
        <f t="shared" si="3"/>
        <v>-0.036909000000378</v>
      </c>
      <c r="F26">
        <f t="shared" si="2"/>
        <v>-23.1607665902372</v>
      </c>
    </row>
    <row r="27" spans="1:6">
      <c r="A27" t="s">
        <v>6</v>
      </c>
      <c r="E27">
        <f t="shared" ref="E27:E31" si="4">B27-C27-D27</f>
        <v>0</v>
      </c>
      <c r="F27">
        <f t="shared" si="2"/>
        <v>0</v>
      </c>
    </row>
    <row r="28" spans="1:6">
      <c r="A28" t="s">
        <v>13</v>
      </c>
      <c r="E28">
        <f t="shared" si="4"/>
        <v>0</v>
      </c>
      <c r="F28">
        <f t="shared" si="2"/>
        <v>0</v>
      </c>
    </row>
    <row r="29" spans="1:6">
      <c r="A29" t="s">
        <v>10</v>
      </c>
      <c r="E29">
        <f t="shared" si="4"/>
        <v>0</v>
      </c>
      <c r="F29">
        <f t="shared" si="2"/>
        <v>0</v>
      </c>
    </row>
    <row r="30" spans="1:6">
      <c r="A30" t="s">
        <v>12</v>
      </c>
      <c r="E30">
        <f t="shared" si="4"/>
        <v>0</v>
      </c>
      <c r="F30">
        <f t="shared" si="2"/>
        <v>0</v>
      </c>
    </row>
    <row r="31" spans="1:6">
      <c r="A31" t="s">
        <v>9</v>
      </c>
      <c r="B31">
        <v>-5440.7058211</v>
      </c>
      <c r="C31">
        <v>-1827.7342945</v>
      </c>
      <c r="D31">
        <v>-3612.8771114</v>
      </c>
      <c r="E31">
        <f t="shared" si="4"/>
        <v>-0.094415200000185</v>
      </c>
      <c r="F31">
        <f t="shared" si="2"/>
        <v>-59.2464821521161</v>
      </c>
    </row>
    <row r="32" spans="1:6">
      <c r="A32" t="s">
        <v>5</v>
      </c>
    </row>
    <row r="33" spans="1:1">
      <c r="A33" t="s">
        <v>11</v>
      </c>
    </row>
    <row r="34" spans="1:1">
      <c r="A34" t="s">
        <v>14</v>
      </c>
    </row>
    <row r="35" spans="1:1">
      <c r="A35" t="s">
        <v>8</v>
      </c>
    </row>
    <row r="36" spans="1:1">
      <c r="A36" t="s">
        <v>15</v>
      </c>
    </row>
    <row r="37" spans="1:1">
      <c r="A37" t="s">
        <v>16</v>
      </c>
    </row>
  </sheetData>
  <sortState ref="M7:N12">
    <sortCondition ref="M7" descending="1"/>
  </sortState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"/>
  <sheetViews>
    <sheetView workbookViewId="0">
      <selection activeCell="J16" sqref="J16"/>
    </sheetView>
  </sheetViews>
  <sheetFormatPr defaultColWidth="9" defaultRowHeight="13.8" outlineLevelCol="7"/>
  <cols>
    <col min="3" max="3" width="14.6296296296296" customWidth="1"/>
  </cols>
  <sheetData>
    <row r="1" spans="1:8">
      <c r="A1" s="5" t="s">
        <v>17</v>
      </c>
      <c r="B1" s="5"/>
      <c r="C1" s="5"/>
      <c r="D1" s="5"/>
      <c r="E1" s="5"/>
      <c r="F1" s="5"/>
      <c r="G1" s="5"/>
      <c r="H1" s="5"/>
    </row>
    <row r="2" spans="1:8">
      <c r="A2" s="5" t="s">
        <v>18</v>
      </c>
      <c r="B2" s="5"/>
      <c r="C2" s="5" t="s">
        <v>19</v>
      </c>
      <c r="D2" s="5"/>
    </row>
    <row r="3" spans="1:8">
      <c r="A3" t="s">
        <v>20</v>
      </c>
      <c r="B3">
        <v>0.33145</v>
      </c>
      <c r="C3" t="s">
        <v>21</v>
      </c>
      <c r="D3">
        <v>-0.665</v>
      </c>
    </row>
    <row r="4" spans="1:8">
      <c r="A4" t="s">
        <v>22</v>
      </c>
      <c r="B4">
        <v>0.81392</v>
      </c>
      <c r="C4" t="s">
        <v>23</v>
      </c>
      <c r="D4">
        <v>0.778</v>
      </c>
    </row>
    <row r="5" spans="1:8">
      <c r="A5" t="s">
        <v>21</v>
      </c>
      <c r="B5">
        <v>-0.47079</v>
      </c>
      <c r="C5" t="s">
        <v>24</v>
      </c>
      <c r="D5">
        <v>-0.092</v>
      </c>
    </row>
    <row r="6" spans="1:8">
      <c r="A6" t="s">
        <v>14</v>
      </c>
      <c r="B6">
        <v>-0.14365</v>
      </c>
      <c r="C6" t="s">
        <v>25</v>
      </c>
      <c r="D6">
        <v>-0.014</v>
      </c>
    </row>
    <row r="7" spans="1:8">
      <c r="C7" t="s">
        <v>26</v>
      </c>
      <c r="D7">
        <v>0.109</v>
      </c>
    </row>
    <row r="8" spans="1:8">
      <c r="C8" t="s">
        <v>27</v>
      </c>
      <c r="D8">
        <v>1.098</v>
      </c>
    </row>
    <row r="9" spans="1:8">
      <c r="A9" s="25" t="s">
        <v>28</v>
      </c>
    </row>
    <row r="10" spans="1:8">
      <c r="A10" t="s">
        <v>29</v>
      </c>
    </row>
  </sheetData>
  <mergeCells count="3">
    <mergeCell ref="A1:H1"/>
    <mergeCell ref="A2:B2"/>
    <mergeCell ref="C2:D2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31"/>
  <sheetViews>
    <sheetView zoomScale="85" zoomScaleNormal="85" topLeftCell="G1" workbookViewId="0">
      <selection activeCell="W22" sqref="W22:AK31"/>
    </sheetView>
  </sheetViews>
  <sheetFormatPr defaultColWidth="9" defaultRowHeight="13.8"/>
  <cols>
    <col min="2" max="2" width="18.6296296296296" customWidth="1"/>
    <col min="3" max="4" width="26.75" customWidth="1"/>
    <col min="5" max="5" width="17.5" customWidth="1"/>
    <col min="6" max="6" width="15.5" customWidth="1"/>
    <col min="7" max="7" width="18.75" customWidth="1"/>
    <col min="25" max="25" width="5.87962962962963" customWidth="1"/>
    <col min="26" max="26" width="5" customWidth="1"/>
    <col min="27" max="27" width="4.62962962962963" customWidth="1"/>
    <col min="28" max="28" width="4.12962962962963" customWidth="1"/>
    <col min="29" max="29" width="9" hidden="1" customWidth="1"/>
    <col min="30" max="30" width="3.25" customWidth="1"/>
    <col min="31" max="31" width="3.5" customWidth="1"/>
    <col min="32" max="32" width="3.87962962962963" customWidth="1"/>
    <col min="33" max="33" width="3.25" customWidth="1"/>
    <col min="34" max="34" width="3.75" customWidth="1"/>
    <col min="35" max="36" width="3.5" customWidth="1"/>
  </cols>
  <sheetData>
    <row r="1" spans="1:15"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O1" t="s">
        <v>36</v>
      </c>
    </row>
    <row r="2" spans="1:15">
      <c r="A2" t="s">
        <v>37</v>
      </c>
      <c r="B2">
        <v>12.612</v>
      </c>
      <c r="C2">
        <v>8.0848</v>
      </c>
      <c r="D2">
        <v>-1121.108</v>
      </c>
      <c r="E2">
        <v>10445.9</v>
      </c>
      <c r="F2">
        <v>280.133</v>
      </c>
      <c r="G2">
        <f>B2*F2/E2*1000</f>
        <v>338.22240266516</v>
      </c>
    </row>
    <row r="3" spans="1:15">
      <c r="A3" t="s">
        <v>38</v>
      </c>
      <c r="B3">
        <v>12.804</v>
      </c>
      <c r="C3">
        <v>7.3504</v>
      </c>
      <c r="D3">
        <v>-1040.828</v>
      </c>
      <c r="E3">
        <v>9568.37</v>
      </c>
      <c r="F3">
        <v>280.133</v>
      </c>
      <c r="G3">
        <f t="shared" ref="G3:G10" si="0">B3*F3/E3*1000</f>
        <v>374.862482533598</v>
      </c>
    </row>
    <row r="4" spans="1:15">
      <c r="A4" t="s">
        <v>39</v>
      </c>
      <c r="B4">
        <v>9.916</v>
      </c>
      <c r="C4">
        <v>7.8634</v>
      </c>
      <c r="D4">
        <v>-874.703</v>
      </c>
      <c r="E4">
        <v>10329.8</v>
      </c>
      <c r="F4">
        <v>280.133</v>
      </c>
      <c r="G4">
        <f t="shared" si="0"/>
        <v>268.911191697806</v>
      </c>
    </row>
    <row r="5" spans="1:15">
      <c r="A5" t="s">
        <v>40</v>
      </c>
      <c r="B5">
        <v>8.036</v>
      </c>
      <c r="C5">
        <v>10.0289</v>
      </c>
      <c r="D5">
        <v>-881.244</v>
      </c>
      <c r="E5">
        <v>9504.12</v>
      </c>
      <c r="F5">
        <v>280.133</v>
      </c>
      <c r="G5">
        <f t="shared" si="0"/>
        <v>236.860307740222</v>
      </c>
    </row>
    <row r="6" spans="1:15">
      <c r="A6" t="s">
        <v>14</v>
      </c>
      <c r="B6">
        <v>10.111</v>
      </c>
      <c r="C6">
        <v>8.082</v>
      </c>
      <c r="D6">
        <v>-908.598</v>
      </c>
      <c r="E6">
        <v>11021.6</v>
      </c>
      <c r="F6">
        <v>280.133</v>
      </c>
      <c r="G6">
        <f t="shared" si="0"/>
        <v>256.988528253611</v>
      </c>
    </row>
    <row r="7" spans="1:15">
      <c r="A7" t="s">
        <v>11</v>
      </c>
      <c r="B7">
        <v>9.832</v>
      </c>
      <c r="C7">
        <v>8.2782</v>
      </c>
      <c r="D7">
        <v>-908.943</v>
      </c>
      <c r="E7">
        <v>11548.1</v>
      </c>
      <c r="F7">
        <v>280.133</v>
      </c>
      <c r="G7">
        <f t="shared" si="0"/>
        <v>238.50396653995</v>
      </c>
    </row>
    <row r="8" spans="1:15">
      <c r="A8" t="s">
        <v>5</v>
      </c>
      <c r="B8">
        <v>8.444</v>
      </c>
      <c r="C8">
        <v>8.3172</v>
      </c>
      <c r="D8">
        <v>-787.512</v>
      </c>
      <c r="E8">
        <v>12970.6</v>
      </c>
      <c r="F8">
        <v>280.133</v>
      </c>
      <c r="G8">
        <f t="shared" si="0"/>
        <v>182.369593696514</v>
      </c>
    </row>
    <row r="9" spans="1:15">
      <c r="A9" t="s">
        <v>15</v>
      </c>
      <c r="B9">
        <v>12.503</v>
      </c>
      <c r="C9">
        <v>8.1513</v>
      </c>
      <c r="D9">
        <v>-1110.283</v>
      </c>
      <c r="E9">
        <v>10926.4</v>
      </c>
      <c r="F9">
        <v>280.133</v>
      </c>
      <c r="G9">
        <f t="shared" si="0"/>
        <v>320.554153151999</v>
      </c>
    </row>
    <row r="10" spans="1:15">
      <c r="A10" t="s">
        <v>16</v>
      </c>
      <c r="B10">
        <v>11.745</v>
      </c>
      <c r="C10">
        <v>8.1283</v>
      </c>
      <c r="D10">
        <v>-1068.385</v>
      </c>
      <c r="E10">
        <v>11471.8</v>
      </c>
      <c r="F10">
        <v>280.133</v>
      </c>
      <c r="G10">
        <f t="shared" si="0"/>
        <v>286.804345002528</v>
      </c>
    </row>
    <row r="12" spans="1:15">
      <c r="A12" s="5" t="s">
        <v>41</v>
      </c>
      <c r="B12" s="5"/>
      <c r="C12" s="5"/>
      <c r="D12" s="5"/>
    </row>
    <row r="17" ht="41.4" spans="2:37">
      <c r="D17" s="17" t="s">
        <v>20</v>
      </c>
      <c r="E17" s="17" t="s">
        <v>42</v>
      </c>
      <c r="F17" s="17" t="s">
        <v>21</v>
      </c>
      <c r="G17" s="17" t="s">
        <v>7</v>
      </c>
      <c r="H17" s="23" t="s">
        <v>13</v>
      </c>
      <c r="I17" s="23" t="s">
        <v>9</v>
      </c>
      <c r="J17" s="23" t="s">
        <v>6</v>
      </c>
      <c r="K17" s="17" t="s">
        <v>14</v>
      </c>
      <c r="L17" s="17" t="s">
        <v>11</v>
      </c>
      <c r="M17" s="17" t="s">
        <v>5</v>
      </c>
      <c r="N17" s="17" t="s">
        <v>43</v>
      </c>
      <c r="O17" s="17" t="s">
        <v>22</v>
      </c>
      <c r="P17" s="18" t="s">
        <v>44</v>
      </c>
    </row>
    <row r="18" spans="2:37">
      <c r="B18" s="8" t="s">
        <v>45</v>
      </c>
      <c r="C18" t="s">
        <v>46</v>
      </c>
      <c r="D18">
        <v>288</v>
      </c>
      <c r="E18">
        <v>96</v>
      </c>
      <c r="F18">
        <v>240</v>
      </c>
      <c r="G18">
        <v>24</v>
      </c>
      <c r="J18">
        <v>24</v>
      </c>
      <c r="P18">
        <v>10329.8</v>
      </c>
    </row>
    <row r="19" spans="2:37">
      <c r="B19" s="8"/>
      <c r="C19" t="s">
        <v>47</v>
      </c>
      <c r="D19">
        <v>288</v>
      </c>
      <c r="E19">
        <v>96</v>
      </c>
      <c r="F19">
        <v>240</v>
      </c>
      <c r="G19">
        <v>24</v>
      </c>
      <c r="I19">
        <v>24</v>
      </c>
      <c r="P19">
        <v>9504.12</v>
      </c>
    </row>
    <row r="20" spans="2:37">
      <c r="B20" s="8"/>
      <c r="C20" t="s">
        <v>48</v>
      </c>
      <c r="D20">
        <v>288</v>
      </c>
      <c r="E20">
        <v>96</v>
      </c>
      <c r="F20">
        <v>240</v>
      </c>
      <c r="G20">
        <v>24</v>
      </c>
      <c r="H20">
        <v>24</v>
      </c>
      <c r="P20">
        <v>9568.37</v>
      </c>
    </row>
    <row r="21" spans="2:37">
      <c r="B21" t="s">
        <v>49</v>
      </c>
      <c r="C21" t="s">
        <v>27</v>
      </c>
      <c r="D21">
        <v>288</v>
      </c>
      <c r="E21">
        <v>96</v>
      </c>
      <c r="F21">
        <v>240</v>
      </c>
      <c r="G21">
        <v>48</v>
      </c>
      <c r="P21">
        <v>10445.9</v>
      </c>
    </row>
    <row r="22" ht="41.4" spans="2:37">
      <c r="B22" s="8" t="s">
        <v>50</v>
      </c>
      <c r="C22" t="s">
        <v>51</v>
      </c>
      <c r="D22">
        <v>288</v>
      </c>
      <c r="E22">
        <v>64</v>
      </c>
      <c r="F22">
        <v>240</v>
      </c>
      <c r="G22">
        <v>48</v>
      </c>
      <c r="K22">
        <v>32</v>
      </c>
      <c r="P22">
        <v>11021.6</v>
      </c>
      <c r="Y22" s="17" t="s">
        <v>20</v>
      </c>
      <c r="Z22" s="17" t="s">
        <v>42</v>
      </c>
      <c r="AA22" s="17" t="s">
        <v>21</v>
      </c>
      <c r="AB22" s="17" t="s">
        <v>7</v>
      </c>
      <c r="AC22" s="23" t="s">
        <v>13</v>
      </c>
      <c r="AD22" s="23" t="s">
        <v>9</v>
      </c>
      <c r="AE22" s="23" t="s">
        <v>6</v>
      </c>
      <c r="AF22" s="17" t="s">
        <v>14</v>
      </c>
      <c r="AG22" s="17" t="s">
        <v>11</v>
      </c>
      <c r="AH22" s="17" t="s">
        <v>5</v>
      </c>
      <c r="AI22" s="17" t="s">
        <v>43</v>
      </c>
      <c r="AJ22" s="17" t="s">
        <v>22</v>
      </c>
      <c r="AK22" s="18" t="s">
        <v>44</v>
      </c>
    </row>
    <row r="23" spans="2:37">
      <c r="B23" s="8"/>
      <c r="C23" t="s">
        <v>52</v>
      </c>
      <c r="D23">
        <v>288</v>
      </c>
      <c r="E23">
        <v>64</v>
      </c>
      <c r="F23">
        <v>240</v>
      </c>
      <c r="G23">
        <v>48</v>
      </c>
      <c r="L23">
        <v>32</v>
      </c>
      <c r="P23">
        <v>11548.1</v>
      </c>
      <c r="W23" s="8" t="s">
        <v>45</v>
      </c>
      <c r="X23" t="s">
        <v>46</v>
      </c>
      <c r="Y23">
        <v>288</v>
      </c>
      <c r="Z23">
        <v>96</v>
      </c>
      <c r="AA23">
        <v>240</v>
      </c>
      <c r="AB23">
        <v>24</v>
      </c>
      <c r="AE23">
        <v>24</v>
      </c>
      <c r="AK23">
        <v>10329.8</v>
      </c>
    </row>
    <row r="24" spans="2:37">
      <c r="B24" s="8"/>
      <c r="C24" t="s">
        <v>53</v>
      </c>
      <c r="D24">
        <v>288</v>
      </c>
      <c r="E24">
        <v>64</v>
      </c>
      <c r="F24">
        <v>240</v>
      </c>
      <c r="G24">
        <v>48</v>
      </c>
      <c r="M24">
        <v>32</v>
      </c>
      <c r="P24">
        <v>14879.7</v>
      </c>
      <c r="W24" s="8"/>
      <c r="X24" t="s">
        <v>47</v>
      </c>
      <c r="Y24">
        <v>288</v>
      </c>
      <c r="Z24">
        <v>96</v>
      </c>
      <c r="AA24">
        <v>240</v>
      </c>
      <c r="AB24">
        <v>24</v>
      </c>
      <c r="AD24">
        <v>24</v>
      </c>
      <c r="AK24">
        <v>9504.12</v>
      </c>
    </row>
    <row r="25" spans="2:37">
      <c r="B25" s="8"/>
      <c r="C25" t="s">
        <v>54</v>
      </c>
      <c r="D25">
        <v>288</v>
      </c>
      <c r="E25">
        <v>128</v>
      </c>
      <c r="F25">
        <v>240</v>
      </c>
      <c r="G25">
        <v>48</v>
      </c>
      <c r="N25">
        <v>32</v>
      </c>
      <c r="P25">
        <v>10926.4</v>
      </c>
      <c r="W25" s="8"/>
      <c r="X25" t="s">
        <v>48</v>
      </c>
      <c r="Y25">
        <v>288</v>
      </c>
      <c r="Z25">
        <v>96</v>
      </c>
      <c r="AA25">
        <v>240</v>
      </c>
      <c r="AB25">
        <v>24</v>
      </c>
      <c r="AC25">
        <v>24</v>
      </c>
      <c r="AK25">
        <v>9568.37</v>
      </c>
    </row>
    <row r="26" spans="2:37">
      <c r="B26" s="8"/>
      <c r="C26" t="s">
        <v>55</v>
      </c>
      <c r="D26">
        <v>288</v>
      </c>
      <c r="E26">
        <v>96</v>
      </c>
      <c r="F26">
        <v>240</v>
      </c>
      <c r="G26">
        <v>48</v>
      </c>
      <c r="O26">
        <v>32</v>
      </c>
      <c r="P26">
        <v>11471.8</v>
      </c>
      <c r="W26" t="s">
        <v>49</v>
      </c>
      <c r="X26" t="s">
        <v>27</v>
      </c>
      <c r="Y26">
        <v>288</v>
      </c>
      <c r="Z26">
        <v>96</v>
      </c>
      <c r="AA26">
        <v>240</v>
      </c>
      <c r="AB26">
        <v>48</v>
      </c>
      <c r="AK26">
        <v>10445.9</v>
      </c>
    </row>
    <row r="27" spans="2:37">
      <c r="W27" s="8" t="s">
        <v>50</v>
      </c>
      <c r="X27" t="s">
        <v>51</v>
      </c>
      <c r="Y27">
        <v>288</v>
      </c>
      <c r="Z27">
        <v>64</v>
      </c>
      <c r="AA27">
        <v>240</v>
      </c>
      <c r="AB27">
        <v>48</v>
      </c>
      <c r="AF27">
        <v>32</v>
      </c>
      <c r="AK27">
        <v>11021.6</v>
      </c>
    </row>
    <row r="28" spans="2:37">
      <c r="W28" s="8"/>
      <c r="X28" t="s">
        <v>52</v>
      </c>
      <c r="Y28">
        <v>288</v>
      </c>
      <c r="Z28">
        <v>64</v>
      </c>
      <c r="AA28">
        <v>240</v>
      </c>
      <c r="AB28">
        <v>48</v>
      </c>
      <c r="AG28">
        <v>32</v>
      </c>
      <c r="AK28">
        <v>11548.1</v>
      </c>
    </row>
    <row r="29" spans="2:37">
      <c r="W29" s="8"/>
      <c r="X29" t="s">
        <v>53</v>
      </c>
      <c r="Y29">
        <v>288</v>
      </c>
      <c r="Z29">
        <v>64</v>
      </c>
      <c r="AA29">
        <v>240</v>
      </c>
      <c r="AB29">
        <v>48</v>
      </c>
      <c r="AH29">
        <v>32</v>
      </c>
      <c r="AK29">
        <v>14879.7</v>
      </c>
    </row>
    <row r="30" spans="2:37">
      <c r="W30" s="8"/>
      <c r="X30" t="s">
        <v>54</v>
      </c>
      <c r="Y30">
        <v>288</v>
      </c>
      <c r="Z30">
        <v>128</v>
      </c>
      <c r="AA30">
        <v>240</v>
      </c>
      <c r="AB30">
        <v>48</v>
      </c>
      <c r="AI30">
        <v>32</v>
      </c>
      <c r="AK30">
        <v>10926.4</v>
      </c>
    </row>
    <row r="31" spans="2:37">
      <c r="W31" s="8"/>
      <c r="X31" t="s">
        <v>55</v>
      </c>
      <c r="Y31">
        <v>288</v>
      </c>
      <c r="Z31">
        <v>96</v>
      </c>
      <c r="AA31">
        <v>240</v>
      </c>
      <c r="AB31">
        <v>48</v>
      </c>
      <c r="AJ31">
        <v>32</v>
      </c>
      <c r="AK31">
        <v>11471.8</v>
      </c>
    </row>
  </sheetData>
  <mergeCells count="5">
    <mergeCell ref="A12:D12"/>
    <mergeCell ref="B18:B20"/>
    <mergeCell ref="B22:B26"/>
    <mergeCell ref="W23:W25"/>
    <mergeCell ref="W27:W31"/>
  </mergeCell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T178"/>
  <sheetViews>
    <sheetView zoomScale="85" zoomScaleNormal="85" topLeftCell="AU1" workbookViewId="0">
      <selection activeCell="BH13" sqref="BH13"/>
    </sheetView>
  </sheetViews>
  <sheetFormatPr defaultColWidth="9" defaultRowHeight="13.8"/>
  <cols>
    <col min="1" max="1" width="18" customWidth="1"/>
    <col min="2" max="2" width="12.25" customWidth="1"/>
    <col min="3" max="3" width="6.87962962962963" customWidth="1"/>
    <col min="4" max="4" width="7.37962962962963" customWidth="1"/>
    <col min="5" max="5" width="7" customWidth="1"/>
    <col min="6" max="6" width="6.25" customWidth="1"/>
    <col min="7" max="7" width="5" customWidth="1"/>
    <col min="8" max="8" width="5.75" customWidth="1"/>
    <col min="9" max="9" width="6.37962962962963" customWidth="1"/>
    <col min="10" max="10" width="6.75" customWidth="1"/>
    <col min="11" max="11" width="17.5" customWidth="1"/>
    <col min="12" max="12" width="12.8796296296296" customWidth="1"/>
    <col min="14" max="14" width="7.62962962962963" style="5" customWidth="1"/>
    <col min="15" max="15" width="17.75" style="5" customWidth="1"/>
    <col min="16" max="16" width="9" style="5"/>
    <col min="17" max="17" width="12.5" style="5" customWidth="1"/>
    <col min="18" max="18" width="12" customWidth="1"/>
    <col min="19" max="19" width="10.6296296296296" customWidth="1"/>
    <col min="20" max="20" width="11.25" customWidth="1"/>
    <col min="21" max="21" width="12.5" customWidth="1"/>
    <col min="22" max="23" width="10.8796296296296" customWidth="1"/>
    <col min="24" max="24" width="11.1296296296296" customWidth="1"/>
    <col min="25" max="26" width="10.75" customWidth="1"/>
    <col min="27" max="27" width="10.6296296296296" customWidth="1"/>
    <col min="28" max="28" width="12.25" customWidth="1"/>
    <col min="29" max="29" width="12" customWidth="1"/>
    <col min="48" max="48" width="13.25" customWidth="1"/>
    <col min="49" max="50" width="17.6296296296296" customWidth="1"/>
    <col min="54" max="54" width="13" customWidth="1"/>
    <col min="55" max="57" width="11.8796296296296" customWidth="1"/>
    <col min="58" max="58" width="18.8796296296296" customWidth="1"/>
    <col min="86" max="86" width="17.1296296296296" customWidth="1"/>
    <col min="87" max="87" width="9.87962962962963" customWidth="1"/>
    <col min="88" max="88" width="16.25" customWidth="1"/>
    <col min="89" max="89" width="15.3796296296296" customWidth="1"/>
  </cols>
  <sheetData>
    <row r="1" spans="1:98">
      <c r="A1" s="5" t="s">
        <v>56</v>
      </c>
      <c r="B1" s="5"/>
      <c r="C1" s="5"/>
      <c r="D1" s="5"/>
      <c r="E1" s="5"/>
      <c r="F1" s="5"/>
      <c r="G1" s="5"/>
      <c r="H1" s="5"/>
      <c r="I1" s="5"/>
      <c r="J1" s="5"/>
      <c r="K1" s="5"/>
      <c r="N1" s="5" t="s">
        <v>57</v>
      </c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 t="s">
        <v>58</v>
      </c>
      <c r="AI1" s="5"/>
      <c r="AJ1" s="5" t="s">
        <v>59</v>
      </c>
      <c r="AK1" s="5"/>
      <c r="AL1" s="24" t="s">
        <v>60</v>
      </c>
      <c r="AM1" s="24"/>
      <c r="AN1" s="5" t="s">
        <v>61</v>
      </c>
      <c r="AO1" s="5"/>
      <c r="AP1" s="5" t="s">
        <v>62</v>
      </c>
      <c r="AQ1" s="5"/>
      <c r="AR1" s="5"/>
      <c r="AS1" s="5"/>
      <c r="AT1" s="5"/>
      <c r="AW1" s="6" t="s">
        <v>63</v>
      </c>
      <c r="AX1" s="6"/>
      <c r="AY1" s="6"/>
      <c r="AZ1" s="6"/>
      <c r="BA1" s="6"/>
      <c r="BB1" s="6"/>
      <c r="BC1" s="6"/>
      <c r="BD1" s="6"/>
      <c r="BE1" s="6"/>
      <c r="BF1" s="6"/>
      <c r="BG1" s="7" t="s">
        <v>64</v>
      </c>
      <c r="BH1" s="7"/>
      <c r="BI1" s="7"/>
      <c r="BL1" s="25"/>
      <c r="BM1" s="25"/>
      <c r="BN1" s="13" t="s">
        <v>65</v>
      </c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I1" s="5" t="s">
        <v>1</v>
      </c>
      <c r="CJ1" s="5"/>
      <c r="CK1" s="5"/>
      <c r="CL1" s="5" t="s">
        <v>66</v>
      </c>
      <c r="CM1" s="5"/>
      <c r="CN1" s="5"/>
      <c r="CO1" s="24" t="s">
        <v>67</v>
      </c>
      <c r="CP1" s="24"/>
      <c r="CQ1" s="24"/>
      <c r="CR1" s="5" t="s">
        <v>4</v>
      </c>
      <c r="CS1" s="5"/>
      <c r="CT1" s="5"/>
    </row>
    <row r="2" ht="27.6" spans="1:98">
      <c r="A2" s="5" t="s">
        <v>68</v>
      </c>
      <c r="B2" s="5" t="s">
        <v>69</v>
      </c>
      <c r="C2" s="5" t="s">
        <v>20</v>
      </c>
      <c r="D2" s="5" t="s">
        <v>42</v>
      </c>
      <c r="E2" s="5" t="s">
        <v>70</v>
      </c>
      <c r="F2" s="5" t="s">
        <v>43</v>
      </c>
      <c r="G2" s="5" t="s">
        <v>21</v>
      </c>
      <c r="H2" s="5" t="s">
        <v>14</v>
      </c>
      <c r="I2" s="5" t="s">
        <v>22</v>
      </c>
      <c r="J2" s="5" t="s">
        <v>7</v>
      </c>
      <c r="K2" s="5" t="s">
        <v>44</v>
      </c>
      <c r="L2" s="8" t="s">
        <v>71</v>
      </c>
      <c r="N2" s="5" t="s">
        <v>72</v>
      </c>
      <c r="R2" s="5" t="s">
        <v>73</v>
      </c>
      <c r="S2" s="5"/>
      <c r="T2" s="5"/>
      <c r="U2" s="5" t="s">
        <v>74</v>
      </c>
      <c r="V2" s="5"/>
      <c r="W2" s="5"/>
      <c r="X2" s="5" t="s">
        <v>75</v>
      </c>
      <c r="Y2" s="5"/>
      <c r="Z2" s="5"/>
      <c r="AA2" s="5" t="s">
        <v>76</v>
      </c>
      <c r="AB2" s="5"/>
      <c r="AC2" s="5"/>
      <c r="AE2" t="s">
        <v>77</v>
      </c>
      <c r="AF2" t="s">
        <v>70</v>
      </c>
      <c r="AG2" t="s">
        <v>78</v>
      </c>
      <c r="AH2" t="s">
        <v>70</v>
      </c>
      <c r="AI2" t="s">
        <v>78</v>
      </c>
      <c r="AJ2" t="s">
        <v>70</v>
      </c>
      <c r="AK2" t="s">
        <v>78</v>
      </c>
      <c r="AL2" t="s">
        <v>70</v>
      </c>
      <c r="AM2" t="s">
        <v>78</v>
      </c>
      <c r="AN2" t="s">
        <v>70</v>
      </c>
      <c r="AO2" t="s">
        <v>78</v>
      </c>
      <c r="AP2" t="s">
        <v>77</v>
      </c>
      <c r="AQ2" s="25" t="s">
        <v>58</v>
      </c>
      <c r="AR2" s="25" t="s">
        <v>59</v>
      </c>
      <c r="AS2" s="25" t="s">
        <v>60</v>
      </c>
      <c r="AT2" s="25" t="s">
        <v>61</v>
      </c>
      <c r="AV2" t="s">
        <v>79</v>
      </c>
      <c r="AW2" t="s">
        <v>80</v>
      </c>
      <c r="AX2" t="s">
        <v>81</v>
      </c>
      <c r="AY2" t="s">
        <v>82</v>
      </c>
      <c r="AZ2" t="s">
        <v>83</v>
      </c>
      <c r="BA2" t="s">
        <v>84</v>
      </c>
      <c r="BB2" t="s">
        <v>85</v>
      </c>
      <c r="BC2" t="s">
        <v>86</v>
      </c>
      <c r="BD2" t="s">
        <v>87</v>
      </c>
      <c r="BE2" t="s">
        <v>88</v>
      </c>
      <c r="BF2" t="s">
        <v>89</v>
      </c>
      <c r="BG2" t="s">
        <v>80</v>
      </c>
      <c r="BH2" t="s">
        <v>81</v>
      </c>
      <c r="BI2" t="s">
        <v>82</v>
      </c>
      <c r="BJ2" t="s">
        <v>90</v>
      </c>
      <c r="BN2" t="s">
        <v>72</v>
      </c>
      <c r="BO2" t="s">
        <v>91</v>
      </c>
      <c r="BP2" t="s">
        <v>92</v>
      </c>
      <c r="BQ2" t="s">
        <v>93</v>
      </c>
      <c r="BR2" t="s">
        <v>91</v>
      </c>
      <c r="BS2" t="s">
        <v>92</v>
      </c>
      <c r="BT2" t="s">
        <v>94</v>
      </c>
      <c r="BU2" t="s">
        <v>91</v>
      </c>
      <c r="BV2" t="s">
        <v>92</v>
      </c>
      <c r="BW2" t="s">
        <v>60</v>
      </c>
      <c r="BX2" t="s">
        <v>91</v>
      </c>
      <c r="BY2" t="s">
        <v>92</v>
      </c>
      <c r="BZ2" t="s">
        <v>95</v>
      </c>
      <c r="CA2" t="s">
        <v>91</v>
      </c>
      <c r="CC2" t="s">
        <v>92</v>
      </c>
      <c r="CH2" s="5" t="s">
        <v>68</v>
      </c>
      <c r="CI2" t="s">
        <v>79</v>
      </c>
      <c r="CJ2" t="s">
        <v>96</v>
      </c>
      <c r="CK2" t="s">
        <v>97</v>
      </c>
      <c r="CL2" t="s">
        <v>79</v>
      </c>
      <c r="CM2" t="s">
        <v>96</v>
      </c>
      <c r="CN2" t="s">
        <v>97</v>
      </c>
      <c r="CO2" t="s">
        <v>79</v>
      </c>
      <c r="CP2" t="s">
        <v>96</v>
      </c>
      <c r="CQ2" t="s">
        <v>97</v>
      </c>
      <c r="CR2" t="s">
        <v>1</v>
      </c>
      <c r="CS2" t="s">
        <v>66</v>
      </c>
      <c r="CT2" t="s">
        <v>67</v>
      </c>
    </row>
    <row r="3" spans="1:98">
      <c r="A3" s="5" t="s">
        <v>72</v>
      </c>
      <c r="B3" s="5">
        <v>32.41</v>
      </c>
      <c r="C3" s="5">
        <v>1020</v>
      </c>
      <c r="D3" s="5">
        <v>2010</v>
      </c>
      <c r="E3" s="5">
        <v>10</v>
      </c>
      <c r="F3" s="5">
        <v>10</v>
      </c>
      <c r="G3" s="5">
        <v>545</v>
      </c>
      <c r="H3" s="5">
        <v>60</v>
      </c>
      <c r="I3" s="5">
        <v>20</v>
      </c>
      <c r="J3" s="5" t="s">
        <v>98</v>
      </c>
      <c r="K3" s="5">
        <v>24987.3</v>
      </c>
      <c r="L3" s="5">
        <v>1.218</v>
      </c>
      <c r="N3" s="5" t="s">
        <v>99</v>
      </c>
      <c r="O3" s="5" t="s">
        <v>100</v>
      </c>
      <c r="P3" s="5" t="s">
        <v>101</v>
      </c>
      <c r="Q3" s="5" t="s">
        <v>67</v>
      </c>
      <c r="R3" s="5" t="s">
        <v>100</v>
      </c>
      <c r="S3" s="5" t="s">
        <v>101</v>
      </c>
      <c r="T3" s="5" t="s">
        <v>67</v>
      </c>
      <c r="U3" s="5" t="s">
        <v>100</v>
      </c>
      <c r="V3" s="5" t="s">
        <v>101</v>
      </c>
      <c r="W3" s="5" t="s">
        <v>67</v>
      </c>
      <c r="X3" s="5" t="s">
        <v>100</v>
      </c>
      <c r="Y3" s="5" t="s">
        <v>101</v>
      </c>
      <c r="Z3" s="5" t="s">
        <v>67</v>
      </c>
      <c r="AA3" s="5" t="s">
        <v>100</v>
      </c>
      <c r="AB3" s="5" t="s">
        <v>101</v>
      </c>
      <c r="AC3" s="5" t="s">
        <v>67</v>
      </c>
      <c r="AE3" t="s">
        <v>99</v>
      </c>
      <c r="AF3" t="s">
        <v>102</v>
      </c>
      <c r="AG3" t="s">
        <v>102</v>
      </c>
      <c r="AH3" t="s">
        <v>102</v>
      </c>
      <c r="AI3" t="s">
        <v>102</v>
      </c>
      <c r="AJ3" t="s">
        <v>102</v>
      </c>
      <c r="AK3" t="s">
        <v>102</v>
      </c>
      <c r="AL3" t="s">
        <v>102</v>
      </c>
      <c r="AM3" t="s">
        <v>102</v>
      </c>
      <c r="AN3" t="s">
        <v>102</v>
      </c>
      <c r="AO3" t="s">
        <v>102</v>
      </c>
      <c r="AP3" t="s">
        <v>102</v>
      </c>
      <c r="AQ3" t="s">
        <v>102</v>
      </c>
      <c r="AR3" t="s">
        <v>102</v>
      </c>
      <c r="AS3" t="s">
        <v>102</v>
      </c>
      <c r="AT3" t="s">
        <v>102</v>
      </c>
      <c r="AV3" t="s">
        <v>72</v>
      </c>
      <c r="AW3">
        <v>0.004269</v>
      </c>
      <c r="AX3">
        <f>AW3/6*10000</f>
        <v>7.115</v>
      </c>
      <c r="AY3">
        <v>0.9772</v>
      </c>
      <c r="AZ3">
        <v>10</v>
      </c>
      <c r="BA3" s="5">
        <v>32.41</v>
      </c>
      <c r="BB3" s="5">
        <f>BA3^3*10^-30</f>
        <v>3.4043726521e-26</v>
      </c>
      <c r="BC3" s="5">
        <f>AZ3/BB3</f>
        <v>2.93739875798599e+26</v>
      </c>
      <c r="BD3" s="9">
        <v>2.567e-38</v>
      </c>
      <c r="BE3" s="5">
        <f>1.3806E-23*298</f>
        <v>4.114188e-21</v>
      </c>
      <c r="BF3" s="10">
        <f>BC3*BD3*AX3/BE3*0.00000000000001</f>
        <v>0.000130400587145268</v>
      </c>
      <c r="BG3">
        <v>0.009471</v>
      </c>
      <c r="BH3">
        <f>BG3/6*10000</f>
        <v>15.785</v>
      </c>
      <c r="BI3">
        <v>0.9949</v>
      </c>
      <c r="BJ3">
        <f>AX3/(AX3+BH3)</f>
        <v>0.310698689956332</v>
      </c>
      <c r="BK3" s="5" t="s">
        <v>103</v>
      </c>
      <c r="BN3" t="s">
        <v>104</v>
      </c>
      <c r="BO3" t="s">
        <v>105</v>
      </c>
      <c r="BP3" t="s">
        <v>105</v>
      </c>
      <c r="BQ3" t="s">
        <v>104</v>
      </c>
      <c r="BR3" t="s">
        <v>105</v>
      </c>
      <c r="BS3" t="s">
        <v>105</v>
      </c>
      <c r="BT3" t="s">
        <v>104</v>
      </c>
      <c r="BU3" t="s">
        <v>105</v>
      </c>
      <c r="BV3" t="s">
        <v>105</v>
      </c>
      <c r="BW3" t="s">
        <v>104</v>
      </c>
      <c r="BX3" t="s">
        <v>105</v>
      </c>
      <c r="BY3" t="s">
        <v>105</v>
      </c>
      <c r="BZ3" t="s">
        <v>104</v>
      </c>
      <c r="CA3" t="s">
        <v>105</v>
      </c>
      <c r="CB3" t="s">
        <v>104</v>
      </c>
      <c r="CC3" t="s">
        <v>105</v>
      </c>
      <c r="CH3" s="5" t="s">
        <v>72</v>
      </c>
      <c r="CI3">
        <v>-181.396111</v>
      </c>
      <c r="CJ3">
        <v>1498.467638</v>
      </c>
      <c r="CK3">
        <v>-446.915256</v>
      </c>
      <c r="CL3">
        <v>1051.203</v>
      </c>
      <c r="CM3">
        <v>2464.906</v>
      </c>
      <c r="CN3">
        <v>-444.731</v>
      </c>
      <c r="CO3">
        <v>-1728.779</v>
      </c>
      <c r="CP3">
        <v>-1481.863</v>
      </c>
      <c r="CQ3">
        <v>9.907</v>
      </c>
      <c r="CR3">
        <f>CI3-CJ3-CK3</f>
        <v>-1232.948493</v>
      </c>
      <c r="CS3">
        <f>CL3-CM3-CN3</f>
        <v>-968.972</v>
      </c>
      <c r="CT3">
        <f>CO3-CP3-CQ3</f>
        <v>-256.823</v>
      </c>
    </row>
    <row r="4" spans="1:98">
      <c r="A4" s="5" t="s">
        <v>106</v>
      </c>
      <c r="B4" s="5">
        <v>33.04</v>
      </c>
      <c r="C4" s="5">
        <v>1092</v>
      </c>
      <c r="D4" s="5">
        <v>2050</v>
      </c>
      <c r="E4" s="5">
        <v>10</v>
      </c>
      <c r="F4" s="5">
        <v>10</v>
      </c>
      <c r="G4" s="5">
        <v>593</v>
      </c>
      <c r="H4" s="5">
        <v>60</v>
      </c>
      <c r="I4" s="5">
        <v>20</v>
      </c>
      <c r="J4" s="5">
        <v>4</v>
      </c>
      <c r="K4" s="5">
        <v>26914.6</v>
      </c>
      <c r="L4" s="5">
        <v>1.238</v>
      </c>
      <c r="N4" s="5">
        <v>0</v>
      </c>
      <c r="O4" s="9">
        <v>1088.228</v>
      </c>
      <c r="P4" s="5">
        <v>415.19309107</v>
      </c>
      <c r="Q4" s="9">
        <v>-1447.619</v>
      </c>
      <c r="R4" s="10">
        <v>-5575.876</v>
      </c>
      <c r="S4" s="10">
        <v>-5815.297</v>
      </c>
      <c r="T4">
        <v>-950.75904386</v>
      </c>
      <c r="U4" s="10">
        <v>-4455.672</v>
      </c>
      <c r="V4" s="10">
        <v>-2091.835</v>
      </c>
      <c r="W4">
        <v>-907.24122331</v>
      </c>
      <c r="X4" s="10">
        <v>-4578.813</v>
      </c>
      <c r="Y4" s="10">
        <v>-2401.818</v>
      </c>
      <c r="Z4">
        <v>-960.86761061</v>
      </c>
      <c r="AA4" s="10">
        <v>-4305.386</v>
      </c>
      <c r="AB4" s="10">
        <v>-3518.43</v>
      </c>
      <c r="AC4">
        <v>-955.85550957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V4" t="s">
        <v>107</v>
      </c>
      <c r="AW4">
        <v>0.01136</v>
      </c>
      <c r="AX4">
        <f t="shared" ref="AX4:AX7" si="0">AW4/6*10000</f>
        <v>18.9333333333333</v>
      </c>
      <c r="AY4">
        <v>0.9936</v>
      </c>
      <c r="AZ4">
        <v>10</v>
      </c>
      <c r="BA4" s="5">
        <v>33.04</v>
      </c>
      <c r="BB4" s="5">
        <f t="shared" ref="BB4:BB7" si="1">BA4^3*10^-30</f>
        <v>3.6067838464e-26</v>
      </c>
      <c r="BC4" s="5">
        <f t="shared" ref="BC4:BC7" si="2">AZ4/BB4</f>
        <v>2.77255317364837e+26</v>
      </c>
      <c r="BD4" s="9">
        <v>2.567e-38</v>
      </c>
      <c r="BE4" s="5">
        <f t="shared" ref="BE4:BE7" si="3">1.3806E-23*298</f>
        <v>4.114188e-21</v>
      </c>
      <c r="BF4" s="10">
        <f t="shared" ref="BF4:BF7" si="4">BC4*BD4*AX4/BE4*0.00000000000001</f>
        <v>0.000327528201608438</v>
      </c>
      <c r="BG4">
        <v>0.0206</v>
      </c>
      <c r="BH4">
        <f t="shared" ref="BH4:BH7" si="5">BG4/6*10000</f>
        <v>34.3333333333333</v>
      </c>
      <c r="BI4">
        <v>0.9984</v>
      </c>
      <c r="BJ4">
        <f t="shared" ref="BJ4:BJ7" si="6">AX4/(AX4+BH4)</f>
        <v>0.355444305381727</v>
      </c>
      <c r="BK4" s="5"/>
      <c r="BN4">
        <v>0.025</v>
      </c>
      <c r="BO4">
        <v>0</v>
      </c>
      <c r="BP4">
        <v>0</v>
      </c>
      <c r="BQ4">
        <v>0.025</v>
      </c>
      <c r="BR4">
        <v>0</v>
      </c>
      <c r="BS4">
        <v>0</v>
      </c>
      <c r="BT4">
        <v>0.025</v>
      </c>
      <c r="BU4">
        <v>0</v>
      </c>
      <c r="BV4">
        <v>0</v>
      </c>
      <c r="BW4">
        <v>0.025</v>
      </c>
      <c r="BX4">
        <v>0</v>
      </c>
      <c r="BY4">
        <v>0</v>
      </c>
      <c r="BZ4">
        <v>0.025</v>
      </c>
      <c r="CA4">
        <v>0</v>
      </c>
      <c r="CB4">
        <v>0.02</v>
      </c>
      <c r="CC4">
        <v>0</v>
      </c>
      <c r="CH4" s="5" t="s">
        <v>106</v>
      </c>
      <c r="CI4">
        <v>-6193.991465</v>
      </c>
      <c r="CJ4">
        <v>-4634.222157</v>
      </c>
      <c r="CK4">
        <v>-6221.607624</v>
      </c>
      <c r="CL4">
        <v>-5724.365</v>
      </c>
      <c r="CM4">
        <v>-4384.3</v>
      </c>
      <c r="CN4">
        <v>-6940.007</v>
      </c>
      <c r="CO4">
        <v>-1208.245</v>
      </c>
      <c r="CP4">
        <v>-994.518</v>
      </c>
      <c r="CQ4">
        <v>575.248</v>
      </c>
      <c r="CR4">
        <f t="shared" ref="CR4:CR7" si="7">CI4-CJ4-CK4</f>
        <v>4661.838316</v>
      </c>
      <c r="CS4">
        <f t="shared" ref="CS4:CS7" si="8">CL4-CM4-CN4</f>
        <v>5599.942</v>
      </c>
      <c r="CT4">
        <f t="shared" ref="CT4:CT7" si="9">CO4-CP4-CQ4</f>
        <v>-788.975</v>
      </c>
    </row>
    <row r="5" spans="1:98">
      <c r="A5" s="5" t="s">
        <v>108</v>
      </c>
      <c r="B5" s="5">
        <v>33.73</v>
      </c>
      <c r="C5" s="5">
        <v>1236</v>
      </c>
      <c r="D5" s="5">
        <v>2130</v>
      </c>
      <c r="E5" s="5">
        <v>10</v>
      </c>
      <c r="F5" s="5">
        <v>10</v>
      </c>
      <c r="G5" s="5">
        <v>593</v>
      </c>
      <c r="H5" s="5">
        <v>60</v>
      </c>
      <c r="I5" s="5">
        <v>20</v>
      </c>
      <c r="J5" s="5">
        <v>4</v>
      </c>
      <c r="K5" s="5">
        <v>28724.8</v>
      </c>
      <c r="L5" s="5">
        <v>1.242</v>
      </c>
      <c r="N5" s="5">
        <v>5</v>
      </c>
      <c r="O5" s="9">
        <v>1087.875</v>
      </c>
      <c r="P5" s="5">
        <v>279.86824717</v>
      </c>
      <c r="Q5" s="9">
        <v>-1476.804</v>
      </c>
      <c r="R5" s="10">
        <v>-5608.742</v>
      </c>
      <c r="S5" s="10">
        <v>-5917.784</v>
      </c>
      <c r="T5" s="10">
        <v>-1015.341</v>
      </c>
      <c r="U5" s="10">
        <v>-4455.549</v>
      </c>
      <c r="V5" s="10">
        <v>-2214.849</v>
      </c>
      <c r="W5" s="10">
        <v>-1017.156</v>
      </c>
      <c r="X5" s="10">
        <v>-4634.133</v>
      </c>
      <c r="Y5" s="10">
        <v>-2540.629</v>
      </c>
      <c r="Z5" s="10">
        <v>-1014.768</v>
      </c>
      <c r="AA5" s="10">
        <v>-4315.626</v>
      </c>
      <c r="AB5" s="10">
        <v>-3637.1</v>
      </c>
      <c r="AC5" s="10">
        <v>-1027.598</v>
      </c>
      <c r="AE5">
        <v>5</v>
      </c>
      <c r="AF5">
        <v>0.45417632</v>
      </c>
      <c r="AG5">
        <v>0.75473519</v>
      </c>
      <c r="AH5">
        <v>0.45411484</v>
      </c>
      <c r="AI5">
        <v>0.75763596</v>
      </c>
      <c r="AJ5">
        <v>0.48959312</v>
      </c>
      <c r="AK5">
        <v>0.91536551</v>
      </c>
      <c r="AL5">
        <v>0.45520265</v>
      </c>
      <c r="AM5">
        <v>0.83571199</v>
      </c>
      <c r="AN5">
        <v>0.41430606</v>
      </c>
      <c r="AO5">
        <v>0.70207626</v>
      </c>
      <c r="AP5">
        <v>1.56696188</v>
      </c>
      <c r="AQ5">
        <v>1.51642349</v>
      </c>
      <c r="AR5">
        <v>1.35376042</v>
      </c>
      <c r="AS5">
        <v>1.24744805</v>
      </c>
      <c r="AT5">
        <v>1.34061834</v>
      </c>
      <c r="AV5" t="s">
        <v>109</v>
      </c>
      <c r="AW5">
        <v>0.00522</v>
      </c>
      <c r="AX5">
        <f t="shared" si="0"/>
        <v>8.7</v>
      </c>
      <c r="AY5">
        <v>0.9916</v>
      </c>
      <c r="AZ5">
        <v>10</v>
      </c>
      <c r="BA5" s="5">
        <v>33.73</v>
      </c>
      <c r="BB5" s="5">
        <f t="shared" si="1"/>
        <v>3.8375056117e-26</v>
      </c>
      <c r="BC5" s="5">
        <f t="shared" si="2"/>
        <v>2.6058593815502e+26</v>
      </c>
      <c r="BD5" s="9">
        <v>2.567e-38</v>
      </c>
      <c r="BE5" s="5">
        <f t="shared" si="3"/>
        <v>4.114188e-21</v>
      </c>
      <c r="BF5" s="10">
        <f t="shared" si="4"/>
        <v>0.000141452935505676</v>
      </c>
      <c r="BG5">
        <v>0.00568</v>
      </c>
      <c r="BH5">
        <f t="shared" si="5"/>
        <v>9.46666666666667</v>
      </c>
      <c r="BI5">
        <v>0.9865</v>
      </c>
      <c r="BJ5">
        <f t="shared" si="6"/>
        <v>0.478899082568807</v>
      </c>
      <c r="BK5" s="5"/>
      <c r="BN5">
        <v>0.075</v>
      </c>
      <c r="BO5">
        <v>0</v>
      </c>
      <c r="BP5">
        <v>0</v>
      </c>
      <c r="BQ5">
        <v>0.075</v>
      </c>
      <c r="BR5">
        <v>0</v>
      </c>
      <c r="BS5">
        <v>0</v>
      </c>
      <c r="BT5">
        <v>0.075</v>
      </c>
      <c r="BU5">
        <v>0</v>
      </c>
      <c r="BV5">
        <v>0</v>
      </c>
      <c r="BW5">
        <v>0.075</v>
      </c>
      <c r="BX5">
        <v>0</v>
      </c>
      <c r="BY5">
        <v>0</v>
      </c>
      <c r="BZ5">
        <v>0.075</v>
      </c>
      <c r="CA5">
        <v>0</v>
      </c>
      <c r="CB5">
        <v>0.06</v>
      </c>
      <c r="CC5">
        <v>0</v>
      </c>
      <c r="CH5" s="5" t="s">
        <v>108</v>
      </c>
      <c r="CI5">
        <v>-2741.420121</v>
      </c>
      <c r="CJ5">
        <v>-911.188109</v>
      </c>
      <c r="CK5">
        <v>-2656.677834</v>
      </c>
      <c r="CL5">
        <v>-4587.016</v>
      </c>
      <c r="CM5">
        <v>-2952.368</v>
      </c>
      <c r="CN5">
        <v>-5939.892</v>
      </c>
      <c r="CO5">
        <v>-1278.305</v>
      </c>
      <c r="CP5">
        <v>-1099.431</v>
      </c>
      <c r="CQ5">
        <v>610.615</v>
      </c>
      <c r="CR5">
        <f t="shared" si="7"/>
        <v>826.445822</v>
      </c>
      <c r="CS5">
        <f t="shared" si="8"/>
        <v>4305.244</v>
      </c>
      <c r="CT5">
        <f t="shared" si="9"/>
        <v>-789.489</v>
      </c>
    </row>
    <row r="6" spans="1:98">
      <c r="A6" s="5" t="s">
        <v>110</v>
      </c>
      <c r="B6" s="5">
        <v>33.35</v>
      </c>
      <c r="C6" s="5">
        <v>1188</v>
      </c>
      <c r="D6" s="5">
        <v>2082</v>
      </c>
      <c r="E6" s="5">
        <v>10</v>
      </c>
      <c r="F6" s="5">
        <v>10</v>
      </c>
      <c r="G6" s="5">
        <v>593</v>
      </c>
      <c r="H6" s="5">
        <v>60</v>
      </c>
      <c r="I6" s="5">
        <v>20</v>
      </c>
      <c r="J6" s="5">
        <v>4</v>
      </c>
      <c r="K6" s="5">
        <v>28099.9</v>
      </c>
      <c r="L6" s="5">
        <v>1.258</v>
      </c>
      <c r="N6" s="5">
        <v>10</v>
      </c>
      <c r="O6" s="9">
        <v>1090.92</v>
      </c>
      <c r="P6" s="5">
        <v>213.21361284</v>
      </c>
      <c r="Q6" s="9">
        <v>-1509.732</v>
      </c>
      <c r="R6" s="10">
        <v>-5610.528</v>
      </c>
      <c r="S6" s="10">
        <v>-5971.672</v>
      </c>
      <c r="T6" s="10">
        <v>-1044.173</v>
      </c>
      <c r="U6" s="10">
        <v>-4476.844</v>
      </c>
      <c r="V6" s="10">
        <v>-2242.812</v>
      </c>
      <c r="W6" s="10">
        <v>-1053.101</v>
      </c>
      <c r="X6" s="10">
        <v>-4646.922</v>
      </c>
      <c r="Y6" s="10">
        <v>-2589.372</v>
      </c>
      <c r="Z6" s="10">
        <v>-1049.831</v>
      </c>
      <c r="AA6" s="10">
        <v>-4308.387</v>
      </c>
      <c r="AB6" s="10">
        <v>-3663.216</v>
      </c>
      <c r="AC6" s="10">
        <v>-1066.855</v>
      </c>
      <c r="AE6">
        <v>10</v>
      </c>
      <c r="AF6">
        <v>0.5545327</v>
      </c>
      <c r="AG6">
        <v>0.90244363</v>
      </c>
      <c r="AH6">
        <v>0.50698655</v>
      </c>
      <c r="AI6">
        <v>0.86149588</v>
      </c>
      <c r="AJ6">
        <v>0.57436062</v>
      </c>
      <c r="AK6">
        <v>1.10762959</v>
      </c>
      <c r="AL6">
        <v>0.5368407</v>
      </c>
      <c r="AM6">
        <v>0.96146356</v>
      </c>
      <c r="AN6">
        <v>0.45189406</v>
      </c>
      <c r="AO6">
        <v>0.79719624</v>
      </c>
      <c r="AP6">
        <v>2.00802834</v>
      </c>
      <c r="AQ6">
        <v>1.91415585</v>
      </c>
      <c r="AR6">
        <v>1.68639513</v>
      </c>
      <c r="AS6">
        <v>1.53368249</v>
      </c>
      <c r="AT6">
        <v>1.64492779</v>
      </c>
      <c r="AV6" t="s">
        <v>111</v>
      </c>
      <c r="AW6">
        <v>0.009534</v>
      </c>
      <c r="AX6">
        <f t="shared" si="0"/>
        <v>15.89</v>
      </c>
      <c r="AY6">
        <v>0.9957</v>
      </c>
      <c r="AZ6">
        <v>10</v>
      </c>
      <c r="BA6" s="5">
        <v>33.35</v>
      </c>
      <c r="BB6" s="5">
        <f t="shared" si="1"/>
        <v>3.7092620375e-26</v>
      </c>
      <c r="BC6" s="5">
        <f t="shared" si="2"/>
        <v>2.69595404662753e+26</v>
      </c>
      <c r="BD6" s="9">
        <v>2.567e-38</v>
      </c>
      <c r="BE6" s="5">
        <f t="shared" si="3"/>
        <v>4.114188e-21</v>
      </c>
      <c r="BF6" s="10">
        <f t="shared" si="4"/>
        <v>0.00026728717321362</v>
      </c>
      <c r="BG6">
        <v>0.01268</v>
      </c>
      <c r="BH6">
        <f t="shared" si="5"/>
        <v>21.1333333333333</v>
      </c>
      <c r="BI6">
        <v>0.9934</v>
      </c>
      <c r="BJ6">
        <f t="shared" si="6"/>
        <v>0.429188799855947</v>
      </c>
      <c r="BK6" s="5"/>
      <c r="BN6">
        <v>0.125</v>
      </c>
      <c r="BO6">
        <v>0</v>
      </c>
      <c r="BP6">
        <v>0</v>
      </c>
      <c r="BQ6">
        <v>0.125</v>
      </c>
      <c r="BR6">
        <v>0</v>
      </c>
      <c r="BS6">
        <v>0</v>
      </c>
      <c r="BT6">
        <v>0.125</v>
      </c>
      <c r="BU6">
        <v>0</v>
      </c>
      <c r="BV6">
        <v>0</v>
      </c>
      <c r="BW6">
        <v>0.125</v>
      </c>
      <c r="BX6">
        <v>0</v>
      </c>
      <c r="BY6">
        <v>0</v>
      </c>
      <c r="BZ6">
        <v>0.125</v>
      </c>
      <c r="CA6">
        <v>0</v>
      </c>
      <c r="CB6">
        <v>0.1</v>
      </c>
      <c r="CC6">
        <v>0</v>
      </c>
      <c r="CH6" s="5" t="s">
        <v>110</v>
      </c>
      <c r="CI6">
        <v>-2899.874506</v>
      </c>
      <c r="CJ6">
        <v>-1017.909687</v>
      </c>
      <c r="CK6">
        <v>-2577.630055</v>
      </c>
      <c r="CL6">
        <v>-4647.326</v>
      </c>
      <c r="CM6">
        <v>-2954.832</v>
      </c>
      <c r="CN6">
        <v>-5740.064</v>
      </c>
      <c r="CO6">
        <v>-1284.928</v>
      </c>
      <c r="CP6">
        <v>-1094.733</v>
      </c>
      <c r="CQ6">
        <v>604.947</v>
      </c>
      <c r="CR6">
        <f t="shared" si="7"/>
        <v>695.665236</v>
      </c>
      <c r="CS6">
        <f t="shared" si="8"/>
        <v>4047.57</v>
      </c>
      <c r="CT6">
        <f t="shared" si="9"/>
        <v>-795.142</v>
      </c>
    </row>
    <row r="7" spans="1:98">
      <c r="A7" s="5" t="s">
        <v>112</v>
      </c>
      <c r="B7" s="5">
        <v>33.57</v>
      </c>
      <c r="C7" s="5">
        <v>1212</v>
      </c>
      <c r="D7" s="5">
        <v>2106</v>
      </c>
      <c r="E7" s="5">
        <v>10</v>
      </c>
      <c r="F7" s="5">
        <v>34</v>
      </c>
      <c r="G7" s="5">
        <v>593</v>
      </c>
      <c r="H7" s="5">
        <v>60</v>
      </c>
      <c r="I7" s="5">
        <v>20</v>
      </c>
      <c r="J7" s="5">
        <v>4</v>
      </c>
      <c r="K7" s="5">
        <v>28748.5</v>
      </c>
      <c r="L7" s="5">
        <v>1.261</v>
      </c>
      <c r="N7" s="5">
        <v>15</v>
      </c>
      <c r="O7" s="9">
        <v>1086.879</v>
      </c>
      <c r="P7" s="5">
        <v>133.43209237</v>
      </c>
      <c r="Q7" s="9">
        <v>-1532.491</v>
      </c>
      <c r="R7" s="10">
        <v>-5632.918</v>
      </c>
      <c r="S7" s="10">
        <v>-5985.486</v>
      </c>
      <c r="T7" s="10">
        <v>-1038.116</v>
      </c>
      <c r="U7" s="10">
        <v>-4509.332</v>
      </c>
      <c r="V7" s="10">
        <v>-2285.585</v>
      </c>
      <c r="W7" s="10">
        <v>-1076.091</v>
      </c>
      <c r="X7" s="10">
        <v>-4654.479</v>
      </c>
      <c r="Y7" s="10">
        <v>-2607.545</v>
      </c>
      <c r="Z7" s="10">
        <v>-1067.178</v>
      </c>
      <c r="AA7" s="10">
        <v>-4322.275</v>
      </c>
      <c r="AB7" s="10">
        <v>-3708.691</v>
      </c>
      <c r="AC7" s="10">
        <v>-1097.839</v>
      </c>
      <c r="AE7">
        <v>15</v>
      </c>
      <c r="AF7">
        <v>0.59017899</v>
      </c>
      <c r="AG7">
        <v>0.99550963</v>
      </c>
      <c r="AH7">
        <v>0.59090245</v>
      </c>
      <c r="AI7">
        <v>0.96212472</v>
      </c>
      <c r="AJ7">
        <v>0.65477686</v>
      </c>
      <c r="AK7">
        <v>1.20820666</v>
      </c>
      <c r="AL7">
        <v>0.54902626</v>
      </c>
      <c r="AM7">
        <v>1.0450912</v>
      </c>
      <c r="AN7">
        <v>0.49290761</v>
      </c>
      <c r="AO7">
        <v>0.86250719</v>
      </c>
      <c r="AP7">
        <v>2.35809411</v>
      </c>
      <c r="AQ7">
        <v>2.21791518</v>
      </c>
      <c r="AR7">
        <v>1.90824865</v>
      </c>
      <c r="AS7">
        <v>1.75245446</v>
      </c>
      <c r="AT7">
        <v>1.9012365</v>
      </c>
      <c r="AV7" t="s">
        <v>113</v>
      </c>
      <c r="AW7">
        <v>0.002544</v>
      </c>
      <c r="AX7">
        <f t="shared" si="0"/>
        <v>4.24</v>
      </c>
      <c r="AY7">
        <v>0.9643</v>
      </c>
      <c r="AZ7">
        <v>10</v>
      </c>
      <c r="BA7" s="5">
        <v>33.57</v>
      </c>
      <c r="BB7" s="5">
        <f t="shared" si="1"/>
        <v>3.7831540293e-26</v>
      </c>
      <c r="BC7" s="5">
        <f t="shared" si="2"/>
        <v>2.64329708030691e+26</v>
      </c>
      <c r="BD7" s="9">
        <v>2.567e-38</v>
      </c>
      <c r="BE7" s="5">
        <f t="shared" si="3"/>
        <v>4.114188e-21</v>
      </c>
      <c r="BF7" s="10">
        <f t="shared" si="4"/>
        <v>6.99283962857963e-5</v>
      </c>
      <c r="BG7">
        <v>0.003848</v>
      </c>
      <c r="BH7">
        <f t="shared" si="5"/>
        <v>6.41333333333333</v>
      </c>
      <c r="BI7">
        <v>0.9722</v>
      </c>
      <c r="BJ7">
        <f t="shared" si="6"/>
        <v>0.397997496871089</v>
      </c>
      <c r="BK7" s="5"/>
      <c r="BN7">
        <v>0.175</v>
      </c>
      <c r="BO7">
        <v>0</v>
      </c>
      <c r="BP7">
        <v>0</v>
      </c>
      <c r="BQ7">
        <v>0.175</v>
      </c>
      <c r="BR7">
        <v>0</v>
      </c>
      <c r="BS7">
        <v>0</v>
      </c>
      <c r="BT7">
        <v>0.175</v>
      </c>
      <c r="BU7">
        <v>0</v>
      </c>
      <c r="BV7">
        <v>0</v>
      </c>
      <c r="BW7">
        <v>0.175</v>
      </c>
      <c r="BX7">
        <v>0</v>
      </c>
      <c r="BY7">
        <v>0</v>
      </c>
      <c r="BZ7">
        <v>0.175</v>
      </c>
      <c r="CA7">
        <v>0</v>
      </c>
      <c r="CB7">
        <v>0.14</v>
      </c>
      <c r="CC7">
        <v>0</v>
      </c>
      <c r="CH7" s="5" t="s">
        <v>112</v>
      </c>
      <c r="CI7">
        <v>-4209.084535</v>
      </c>
      <c r="CJ7">
        <v>-2514.436621</v>
      </c>
      <c r="CK7">
        <v>-3978.552057</v>
      </c>
      <c r="CL7">
        <v>-4475.757</v>
      </c>
      <c r="CM7">
        <v>-2974.301</v>
      </c>
      <c r="CN7">
        <v>-5738.072</v>
      </c>
      <c r="CO7">
        <v>-1281.779</v>
      </c>
      <c r="CP7">
        <v>-1098.327</v>
      </c>
      <c r="CQ7">
        <v>650.224</v>
      </c>
      <c r="CR7">
        <f t="shared" si="7"/>
        <v>2283.904143</v>
      </c>
      <c r="CS7">
        <f t="shared" si="8"/>
        <v>4236.616</v>
      </c>
      <c r="CT7">
        <f t="shared" si="9"/>
        <v>-833.676</v>
      </c>
    </row>
    <row r="8" spans="1:98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N8" s="5">
        <v>20</v>
      </c>
      <c r="O8" s="9">
        <v>1086.06</v>
      </c>
      <c r="P8" s="5">
        <v>101.89215623</v>
      </c>
      <c r="Q8" s="9">
        <v>-1549.743</v>
      </c>
      <c r="R8" s="10">
        <v>-5632.185</v>
      </c>
      <c r="S8" s="10">
        <v>-6005.018</v>
      </c>
      <c r="T8" s="10">
        <v>-1063.538</v>
      </c>
      <c r="U8" s="10">
        <v>-4515.436</v>
      </c>
      <c r="V8" s="10">
        <v>-2309.074</v>
      </c>
      <c r="W8" s="10">
        <v>-1088.304</v>
      </c>
      <c r="X8" s="10">
        <v>-4663.866</v>
      </c>
      <c r="Y8" s="10">
        <v>-2638.006</v>
      </c>
      <c r="Z8" s="10">
        <v>-1076.036</v>
      </c>
      <c r="AA8" s="10">
        <v>-4329.166</v>
      </c>
      <c r="AB8" s="10">
        <v>-3746.608</v>
      </c>
      <c r="AC8" s="10">
        <v>-1114.641</v>
      </c>
      <c r="AE8">
        <v>20</v>
      </c>
      <c r="AF8">
        <v>0.67288102</v>
      </c>
      <c r="AG8">
        <v>1.08663979</v>
      </c>
      <c r="AH8">
        <v>0.60819658</v>
      </c>
      <c r="AI8">
        <v>1.04520605</v>
      </c>
      <c r="AJ8">
        <v>0.69272578</v>
      </c>
      <c r="AK8">
        <v>1.2823304</v>
      </c>
      <c r="AL8">
        <v>0.5900786</v>
      </c>
      <c r="AM8">
        <v>1.14680013</v>
      </c>
      <c r="AN8">
        <v>0.50201688</v>
      </c>
      <c r="AO8">
        <v>0.90087606</v>
      </c>
      <c r="AP8">
        <v>2.65197825</v>
      </c>
      <c r="AQ8">
        <v>2.46733395</v>
      </c>
      <c r="AR8">
        <v>2.10163554</v>
      </c>
      <c r="AS8">
        <v>1.93786234</v>
      </c>
      <c r="AT8">
        <v>2.10709277</v>
      </c>
      <c r="BN8">
        <v>0.225</v>
      </c>
      <c r="BO8">
        <v>0</v>
      </c>
      <c r="BP8">
        <v>0</v>
      </c>
      <c r="BQ8">
        <v>0.225</v>
      </c>
      <c r="BR8">
        <v>0</v>
      </c>
      <c r="BS8">
        <v>0</v>
      </c>
      <c r="BT8">
        <v>0.225</v>
      </c>
      <c r="BU8">
        <v>0</v>
      </c>
      <c r="BV8">
        <v>0</v>
      </c>
      <c r="BW8">
        <v>0.225</v>
      </c>
      <c r="BX8">
        <v>0</v>
      </c>
      <c r="BY8">
        <v>0</v>
      </c>
      <c r="BZ8">
        <v>0.225</v>
      </c>
      <c r="CA8">
        <v>0</v>
      </c>
      <c r="CB8">
        <v>0.18</v>
      </c>
      <c r="CC8">
        <v>0</v>
      </c>
    </row>
    <row r="9" spans="1:98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N9" s="5">
        <v>25</v>
      </c>
      <c r="O9" s="9">
        <v>1079.895</v>
      </c>
      <c r="P9" s="5">
        <v>93.64364455</v>
      </c>
      <c r="Q9" s="9">
        <v>-1557.452</v>
      </c>
      <c r="R9" s="10">
        <v>-5638.063</v>
      </c>
      <c r="S9" s="10">
        <v>-6014.053</v>
      </c>
      <c r="T9" s="10">
        <v>-1075.856</v>
      </c>
      <c r="U9" s="10">
        <v>-4519.12</v>
      </c>
      <c r="V9" s="10">
        <v>-2334.417</v>
      </c>
      <c r="W9" s="10">
        <v>-1114.592</v>
      </c>
      <c r="X9" s="10">
        <v>-4659.605</v>
      </c>
      <c r="Y9" s="10">
        <v>-2654.346</v>
      </c>
      <c r="Z9" s="10">
        <v>-1087.263</v>
      </c>
      <c r="AA9" s="10">
        <v>-4340.459</v>
      </c>
      <c r="AB9" s="10">
        <v>-3782.645</v>
      </c>
      <c r="AC9" s="10">
        <v>-1126.118</v>
      </c>
      <c r="AE9">
        <v>25</v>
      </c>
      <c r="AF9">
        <v>0.72105627</v>
      </c>
      <c r="AG9">
        <v>1.17022367</v>
      </c>
      <c r="AH9">
        <v>0.64478864</v>
      </c>
      <c r="AI9">
        <v>1.08087852</v>
      </c>
      <c r="AJ9">
        <v>0.7374958</v>
      </c>
      <c r="AK9">
        <v>1.36539529</v>
      </c>
      <c r="AL9">
        <v>0.62916278</v>
      </c>
      <c r="AM9">
        <v>1.23671026</v>
      </c>
      <c r="AN9">
        <v>0.5689344</v>
      </c>
      <c r="AO9">
        <v>0.97953551</v>
      </c>
      <c r="AP9">
        <v>2.92382646</v>
      </c>
      <c r="AQ9">
        <v>2.6809646</v>
      </c>
      <c r="AR9">
        <v>2.28471252</v>
      </c>
      <c r="AS9">
        <v>2.11185669</v>
      </c>
      <c r="AT9">
        <v>2.31002106</v>
      </c>
      <c r="BN9">
        <v>0.275</v>
      </c>
      <c r="BO9">
        <v>0</v>
      </c>
      <c r="BP9">
        <v>0</v>
      </c>
      <c r="BQ9">
        <v>0.275</v>
      </c>
      <c r="BR9">
        <v>0</v>
      </c>
      <c r="BS9">
        <v>0</v>
      </c>
      <c r="BT9">
        <v>0.275</v>
      </c>
      <c r="BU9">
        <v>0</v>
      </c>
      <c r="BV9">
        <v>0</v>
      </c>
      <c r="BW9">
        <v>0.275</v>
      </c>
      <c r="BX9">
        <v>0</v>
      </c>
      <c r="BY9">
        <v>0</v>
      </c>
      <c r="BZ9">
        <v>0.275</v>
      </c>
      <c r="CA9">
        <v>0</v>
      </c>
      <c r="CB9">
        <v>0.22</v>
      </c>
      <c r="CC9">
        <v>0</v>
      </c>
      <c r="CH9" s="5" t="s">
        <v>72</v>
      </c>
      <c r="CR9">
        <f>ABS(CR3)</f>
        <v>1232.948493</v>
      </c>
      <c r="CS9">
        <f t="shared" ref="CS9:CT9" si="10">ABS(CS3)</f>
        <v>968.972</v>
      </c>
      <c r="CT9">
        <f t="shared" si="10"/>
        <v>256.823</v>
      </c>
    </row>
    <row r="10" spans="1:98">
      <c r="N10" s="5">
        <v>30</v>
      </c>
      <c r="O10" s="9">
        <v>1077.839</v>
      </c>
      <c r="P10" s="5">
        <v>87.12278739</v>
      </c>
      <c r="Q10" s="9">
        <v>-1564.137</v>
      </c>
      <c r="R10" s="10">
        <v>-5643.97</v>
      </c>
      <c r="S10" s="10">
        <v>-6030.861</v>
      </c>
      <c r="T10" s="10">
        <v>-1079.212</v>
      </c>
      <c r="U10" s="10">
        <v>-4521.733</v>
      </c>
      <c r="V10" s="10">
        <v>-2342.403</v>
      </c>
      <c r="W10" s="10">
        <v>-1130.615</v>
      </c>
      <c r="X10" s="10">
        <v>-4661.406</v>
      </c>
      <c r="Y10" s="10">
        <v>-2664.391</v>
      </c>
      <c r="Z10" s="10">
        <v>-1092.545</v>
      </c>
      <c r="AA10" s="10">
        <v>-4350.533</v>
      </c>
      <c r="AB10" s="10">
        <v>-3790.165</v>
      </c>
      <c r="AC10" s="10">
        <v>-1129.789</v>
      </c>
      <c r="AE10">
        <v>30</v>
      </c>
      <c r="AF10">
        <v>0.76597558</v>
      </c>
      <c r="AG10">
        <v>1.22125608</v>
      </c>
      <c r="AH10">
        <v>0.68876281</v>
      </c>
      <c r="AI10">
        <v>1.15777189</v>
      </c>
      <c r="AJ10">
        <v>0.75247055</v>
      </c>
      <c r="AK10">
        <v>1.3847876</v>
      </c>
      <c r="AL10">
        <v>0.69059596</v>
      </c>
      <c r="AM10">
        <v>1.33961282</v>
      </c>
      <c r="AN10">
        <v>0.56794276</v>
      </c>
      <c r="AO10">
        <v>0.99658743</v>
      </c>
      <c r="AP10">
        <v>3.16562373</v>
      </c>
      <c r="AQ10">
        <v>2.87083834</v>
      </c>
      <c r="AR10">
        <v>2.42633934</v>
      </c>
      <c r="AS10">
        <v>2.26930166</v>
      </c>
      <c r="AT10">
        <v>2.46824856</v>
      </c>
      <c r="BN10">
        <v>0.325</v>
      </c>
      <c r="BO10">
        <v>0</v>
      </c>
      <c r="BP10">
        <v>0</v>
      </c>
      <c r="BQ10">
        <v>0.325</v>
      </c>
      <c r="BR10">
        <v>0</v>
      </c>
      <c r="BS10">
        <v>0</v>
      </c>
      <c r="BT10">
        <v>0.325</v>
      </c>
      <c r="BU10">
        <v>0</v>
      </c>
      <c r="BV10">
        <v>0</v>
      </c>
      <c r="BW10">
        <v>0.325</v>
      </c>
      <c r="BX10">
        <v>0</v>
      </c>
      <c r="BY10">
        <v>0</v>
      </c>
      <c r="BZ10">
        <v>0.325</v>
      </c>
      <c r="CA10">
        <v>0</v>
      </c>
      <c r="CB10">
        <v>0.26</v>
      </c>
      <c r="CC10">
        <v>0</v>
      </c>
      <c r="CH10" s="5" t="s">
        <v>106</v>
      </c>
      <c r="CR10">
        <f t="shared" ref="CR10:CT10" si="11">ABS(CR4)</f>
        <v>4661.838316</v>
      </c>
      <c r="CS10">
        <f t="shared" si="11"/>
        <v>5599.942</v>
      </c>
      <c r="CT10">
        <f t="shared" si="11"/>
        <v>788.975</v>
      </c>
    </row>
    <row r="11" spans="1:98">
      <c r="N11" s="5">
        <v>35</v>
      </c>
      <c r="O11" s="9">
        <v>1073.26</v>
      </c>
      <c r="P11" s="5">
        <v>74.73282603</v>
      </c>
      <c r="Q11" s="9">
        <v>-1572.855</v>
      </c>
      <c r="R11" s="10">
        <v>-5646.549</v>
      </c>
      <c r="S11" s="10">
        <v>-6033.418</v>
      </c>
      <c r="T11" s="10">
        <v>-1087.934</v>
      </c>
      <c r="U11" s="10">
        <v>-4521.206</v>
      </c>
      <c r="V11" s="10">
        <v>-2359.449</v>
      </c>
      <c r="W11" s="10">
        <v>-1147.345</v>
      </c>
      <c r="X11" s="10">
        <v>-4664.321</v>
      </c>
      <c r="Y11" s="10">
        <v>-2674.671</v>
      </c>
      <c r="Z11" s="10">
        <v>-1103.082</v>
      </c>
      <c r="AA11" s="10">
        <v>-4358.771</v>
      </c>
      <c r="AB11" s="10">
        <v>-3808.231</v>
      </c>
      <c r="AC11" s="10">
        <v>-1140.547</v>
      </c>
      <c r="AE11">
        <v>35</v>
      </c>
      <c r="AF11">
        <v>0.83499122</v>
      </c>
      <c r="AG11">
        <v>1.30924956</v>
      </c>
      <c r="AH11">
        <v>0.72338691</v>
      </c>
      <c r="AI11">
        <v>1.22987771</v>
      </c>
      <c r="AJ11">
        <v>0.77134367</v>
      </c>
      <c r="AK11">
        <v>1.38282114</v>
      </c>
      <c r="AL11">
        <v>0.69791075</v>
      </c>
      <c r="AM11">
        <v>1.41346006</v>
      </c>
      <c r="AN11">
        <v>0.60632382</v>
      </c>
      <c r="AO11">
        <v>1.03146747</v>
      </c>
      <c r="AP11">
        <v>3.40913211</v>
      </c>
      <c r="AQ11">
        <v>3.06092183</v>
      </c>
      <c r="AR11">
        <v>2.55043281</v>
      </c>
      <c r="AS11">
        <v>2.40659908</v>
      </c>
      <c r="AT11">
        <v>2.61171379</v>
      </c>
      <c r="BN11">
        <v>0.375</v>
      </c>
      <c r="BO11">
        <v>0</v>
      </c>
      <c r="BP11">
        <v>0</v>
      </c>
      <c r="BQ11">
        <v>0.375</v>
      </c>
      <c r="BR11">
        <v>0</v>
      </c>
      <c r="BS11">
        <v>0</v>
      </c>
      <c r="BT11">
        <v>0.375</v>
      </c>
      <c r="BU11">
        <v>0</v>
      </c>
      <c r="BV11">
        <v>0</v>
      </c>
      <c r="BW11">
        <v>0.375</v>
      </c>
      <c r="BX11">
        <v>0</v>
      </c>
      <c r="BY11">
        <v>0</v>
      </c>
      <c r="BZ11">
        <v>0.375</v>
      </c>
      <c r="CA11">
        <v>0</v>
      </c>
      <c r="CB11">
        <v>0.3</v>
      </c>
      <c r="CC11">
        <v>0</v>
      </c>
      <c r="CH11" s="5" t="s">
        <v>108</v>
      </c>
      <c r="CR11">
        <f t="shared" ref="CR11:CT11" si="12">ABS(CR5)</f>
        <v>826.445822</v>
      </c>
      <c r="CS11">
        <f t="shared" si="12"/>
        <v>4305.244</v>
      </c>
      <c r="CT11">
        <f t="shared" si="12"/>
        <v>789.489</v>
      </c>
    </row>
    <row r="12" ht="14.55" spans="1:98">
      <c r="N12" s="5">
        <v>40</v>
      </c>
      <c r="O12" s="9">
        <v>1074.775</v>
      </c>
      <c r="P12" s="5">
        <v>60.19035989</v>
      </c>
      <c r="Q12" s="9">
        <v>-1580.558</v>
      </c>
      <c r="R12" s="10">
        <v>-5650.176</v>
      </c>
      <c r="S12" s="10">
        <v>-6041.243</v>
      </c>
      <c r="T12" s="10">
        <v>-1092.189</v>
      </c>
      <c r="U12" s="10">
        <v>-4528.437</v>
      </c>
      <c r="V12" s="10">
        <v>-2391.891</v>
      </c>
      <c r="W12" s="10">
        <v>-1158.853</v>
      </c>
      <c r="X12" s="10">
        <v>-4663.21</v>
      </c>
      <c r="Y12" s="10">
        <v>-2683.022</v>
      </c>
      <c r="Z12" s="10">
        <v>-1112.004</v>
      </c>
      <c r="AA12" s="10">
        <v>-4363.809</v>
      </c>
      <c r="AB12" s="10">
        <v>-3830.062</v>
      </c>
      <c r="AC12" s="10">
        <v>-1150.476</v>
      </c>
      <c r="AE12">
        <v>40</v>
      </c>
      <c r="AF12">
        <v>0.88996991</v>
      </c>
      <c r="AG12">
        <v>1.39356584</v>
      </c>
      <c r="AH12">
        <v>0.7458019</v>
      </c>
      <c r="AI12">
        <v>1.29646377</v>
      </c>
      <c r="AJ12">
        <v>0.82097373</v>
      </c>
      <c r="AK12">
        <v>1.46579103</v>
      </c>
      <c r="AL12">
        <v>0.72375169</v>
      </c>
      <c r="AM12">
        <v>1.50403637</v>
      </c>
      <c r="AN12">
        <v>0.63697033</v>
      </c>
      <c r="AO12">
        <v>1.06632031</v>
      </c>
      <c r="AP12">
        <v>3.62493189</v>
      </c>
      <c r="AQ12">
        <v>3.21203603</v>
      </c>
      <c r="AR12">
        <v>2.69946842</v>
      </c>
      <c r="AS12">
        <v>2.56170478</v>
      </c>
      <c r="AT12">
        <v>2.75336043</v>
      </c>
      <c r="BF12">
        <f>BF3*1000</f>
        <v>0.130400587145268</v>
      </c>
      <c r="BN12">
        <v>0.425</v>
      </c>
      <c r="BO12">
        <v>0</v>
      </c>
      <c r="BP12">
        <v>0</v>
      </c>
      <c r="BQ12">
        <v>0.425</v>
      </c>
      <c r="BR12">
        <v>0</v>
      </c>
      <c r="BS12">
        <v>0</v>
      </c>
      <c r="BT12">
        <v>0.425</v>
      </c>
      <c r="BU12">
        <v>0</v>
      </c>
      <c r="BV12">
        <v>0</v>
      </c>
      <c r="BW12">
        <v>0.425</v>
      </c>
      <c r="BX12">
        <v>0</v>
      </c>
      <c r="BY12">
        <v>0</v>
      </c>
      <c r="BZ12">
        <v>0.425</v>
      </c>
      <c r="CA12">
        <v>0</v>
      </c>
      <c r="CB12">
        <v>0.34</v>
      </c>
      <c r="CC12">
        <v>0</v>
      </c>
      <c r="CH12" s="5" t="s">
        <v>110</v>
      </c>
      <c r="CR12">
        <f t="shared" ref="CR12:CT12" si="13">ABS(CR6)</f>
        <v>695.665236</v>
      </c>
      <c r="CS12">
        <f t="shared" si="13"/>
        <v>4047.57</v>
      </c>
      <c r="CT12">
        <f t="shared" si="13"/>
        <v>795.142</v>
      </c>
    </row>
    <row r="13" ht="49.35" spans="1:98">
      <c r="N13" s="5">
        <v>45</v>
      </c>
      <c r="O13" s="9">
        <v>1079.128</v>
      </c>
      <c r="P13" s="5">
        <v>63.38206821</v>
      </c>
      <c r="Q13" s="9">
        <v>-1586.357</v>
      </c>
      <c r="R13" s="10">
        <v>-5650.754</v>
      </c>
      <c r="S13" s="10">
        <v>-6048.223</v>
      </c>
      <c r="T13" s="10">
        <v>-1097.942</v>
      </c>
      <c r="U13" s="10">
        <v>-4528.225</v>
      </c>
      <c r="V13" s="10">
        <v>-2410.135</v>
      </c>
      <c r="W13" s="10">
        <v>-1167.428</v>
      </c>
      <c r="X13" s="10">
        <v>-4665.398</v>
      </c>
      <c r="Y13" s="10">
        <v>-2691.92</v>
      </c>
      <c r="Z13" s="10">
        <v>-1119.713</v>
      </c>
      <c r="AA13" s="10">
        <v>-4367.13</v>
      </c>
      <c r="AB13" s="10">
        <v>-3839.962</v>
      </c>
      <c r="AC13" s="10">
        <v>-1160.877</v>
      </c>
      <c r="AE13">
        <v>45</v>
      </c>
      <c r="AF13">
        <v>0.92830918</v>
      </c>
      <c r="AG13">
        <v>1.43195203</v>
      </c>
      <c r="AH13">
        <v>0.77962535</v>
      </c>
      <c r="AI13">
        <v>1.35305341</v>
      </c>
      <c r="AJ13">
        <v>0.82271008</v>
      </c>
      <c r="AK13">
        <v>1.51846498</v>
      </c>
      <c r="AL13">
        <v>0.76996558</v>
      </c>
      <c r="AM13">
        <v>1.56672894</v>
      </c>
      <c r="AN13">
        <v>0.65685038</v>
      </c>
      <c r="AO13">
        <v>1.11440185</v>
      </c>
      <c r="AP13">
        <v>3.81307154</v>
      </c>
      <c r="AQ13">
        <v>3.39122018</v>
      </c>
      <c r="AR13">
        <v>2.80934009</v>
      </c>
      <c r="AS13">
        <v>2.7087398</v>
      </c>
      <c r="AT13">
        <v>2.87701476</v>
      </c>
      <c r="AV13" s="26" t="s">
        <v>79</v>
      </c>
      <c r="AW13" s="27" t="s">
        <v>114</v>
      </c>
      <c r="AX13" s="28" t="s">
        <v>115</v>
      </c>
      <c r="AY13" s="27" t="s">
        <v>116</v>
      </c>
      <c r="AZ13" s="29" t="s">
        <v>117</v>
      </c>
      <c r="BF13">
        <f t="shared" ref="BF13:BF19" si="14">BF4*1000</f>
        <v>0.327528201608438</v>
      </c>
      <c r="BN13">
        <v>0.475</v>
      </c>
      <c r="BO13">
        <v>0</v>
      </c>
      <c r="BP13">
        <v>0</v>
      </c>
      <c r="BQ13">
        <v>0.475</v>
      </c>
      <c r="BR13">
        <v>0</v>
      </c>
      <c r="BS13">
        <v>0</v>
      </c>
      <c r="BT13">
        <v>0.475</v>
      </c>
      <c r="BU13">
        <v>0</v>
      </c>
      <c r="BV13">
        <v>0</v>
      </c>
      <c r="BW13">
        <v>0.475</v>
      </c>
      <c r="BX13">
        <v>0</v>
      </c>
      <c r="BY13">
        <v>0</v>
      </c>
      <c r="BZ13">
        <v>0.475</v>
      </c>
      <c r="CA13">
        <v>0</v>
      </c>
      <c r="CB13">
        <v>0.38</v>
      </c>
      <c r="CC13">
        <v>0</v>
      </c>
      <c r="CH13" s="5" t="s">
        <v>112</v>
      </c>
      <c r="CR13">
        <f t="shared" ref="CR13:CT13" si="15">ABS(CR7)</f>
        <v>2283.904143</v>
      </c>
      <c r="CS13">
        <f t="shared" si="15"/>
        <v>4236.616</v>
      </c>
      <c r="CT13">
        <f t="shared" si="15"/>
        <v>833.676</v>
      </c>
    </row>
    <row r="14" ht="14.55" spans="1:98">
      <c r="N14" s="5">
        <v>50</v>
      </c>
      <c r="O14" s="9">
        <v>1078.809</v>
      </c>
      <c r="P14" s="5">
        <v>54.75922564</v>
      </c>
      <c r="Q14" s="9">
        <v>-1591.504</v>
      </c>
      <c r="R14" s="10">
        <v>-5654.434</v>
      </c>
      <c r="S14" s="10">
        <v>-6047.575</v>
      </c>
      <c r="T14" s="10">
        <v>-1099.936</v>
      </c>
      <c r="U14" s="10">
        <v>-4532.448</v>
      </c>
      <c r="V14" s="10">
        <v>-2415.71</v>
      </c>
      <c r="W14" s="10">
        <v>-1176.952</v>
      </c>
      <c r="X14" s="10">
        <v>-4665.83</v>
      </c>
      <c r="Y14" s="10">
        <v>-2695.781</v>
      </c>
      <c r="Z14" s="10">
        <v>-1127.338</v>
      </c>
      <c r="AA14" s="10">
        <v>-4371.379</v>
      </c>
      <c r="AB14" s="10">
        <v>-3851.242</v>
      </c>
      <c r="AC14" s="10">
        <v>-1165.887</v>
      </c>
      <c r="AE14">
        <v>50</v>
      </c>
      <c r="AF14">
        <v>1.00760752</v>
      </c>
      <c r="AG14">
        <v>1.52702977</v>
      </c>
      <c r="AH14">
        <v>0.81435446</v>
      </c>
      <c r="AI14">
        <v>1.41129061</v>
      </c>
      <c r="AJ14">
        <v>0.84822645</v>
      </c>
      <c r="AK14">
        <v>1.5782675</v>
      </c>
      <c r="AL14">
        <v>0.78556746</v>
      </c>
      <c r="AM14">
        <v>1.63626733</v>
      </c>
      <c r="AN14">
        <v>0.66367929</v>
      </c>
      <c r="AO14">
        <v>1.12269282</v>
      </c>
      <c r="AP14">
        <v>4.0160331</v>
      </c>
      <c r="AQ14">
        <v>3.55111382</v>
      </c>
      <c r="AR14">
        <v>2.95010274</v>
      </c>
      <c r="AS14">
        <v>2.84434879</v>
      </c>
      <c r="AT14">
        <v>3.00022683</v>
      </c>
      <c r="AV14" s="30" t="s">
        <v>72</v>
      </c>
      <c r="AW14" s="31">
        <v>7.115</v>
      </c>
      <c r="AX14" s="31">
        <v>0.000130401</v>
      </c>
      <c r="AY14" s="31">
        <v>15.785</v>
      </c>
      <c r="AZ14" s="31">
        <v>0.310699</v>
      </c>
      <c r="BF14">
        <f t="shared" si="14"/>
        <v>0.141452935505676</v>
      </c>
      <c r="BN14">
        <v>0.525</v>
      </c>
      <c r="BO14">
        <v>0</v>
      </c>
      <c r="BP14">
        <v>0</v>
      </c>
      <c r="BQ14">
        <v>0.525</v>
      </c>
      <c r="BR14">
        <v>0</v>
      </c>
      <c r="BS14">
        <v>0</v>
      </c>
      <c r="BT14">
        <v>0.525</v>
      </c>
      <c r="BU14">
        <v>0</v>
      </c>
      <c r="BV14">
        <v>0</v>
      </c>
      <c r="BW14">
        <v>0.525</v>
      </c>
      <c r="BX14">
        <v>0</v>
      </c>
      <c r="BY14">
        <v>0</v>
      </c>
      <c r="BZ14">
        <v>0.525</v>
      </c>
      <c r="CA14">
        <v>0</v>
      </c>
      <c r="CB14">
        <v>0.42</v>
      </c>
      <c r="CC14">
        <v>0</v>
      </c>
    </row>
    <row r="15" ht="14.55" spans="1:98">
      <c r="N15" s="5">
        <v>55</v>
      </c>
      <c r="O15" s="9">
        <v>1078.14</v>
      </c>
      <c r="P15" s="5">
        <v>42.35460934</v>
      </c>
      <c r="Q15" s="9">
        <v>-1599.426</v>
      </c>
      <c r="R15" s="10">
        <v>-5653.766</v>
      </c>
      <c r="S15" s="10">
        <v>-6053.305</v>
      </c>
      <c r="T15" s="10">
        <v>-1104.235</v>
      </c>
      <c r="U15" s="10">
        <v>-4536.892</v>
      </c>
      <c r="V15" s="10">
        <v>-2433.98</v>
      </c>
      <c r="W15" s="10">
        <v>-1184.487</v>
      </c>
      <c r="X15" s="10">
        <v>-4668.325</v>
      </c>
      <c r="Y15" s="10">
        <v>-2703.431</v>
      </c>
      <c r="Z15" s="10">
        <v>-1130.863</v>
      </c>
      <c r="AA15" s="10">
        <v>-4373.735</v>
      </c>
      <c r="AB15" s="10">
        <v>-3866.318</v>
      </c>
      <c r="AC15" s="10">
        <v>-1172.757</v>
      </c>
      <c r="AE15">
        <v>55</v>
      </c>
      <c r="AF15">
        <v>1.05851556</v>
      </c>
      <c r="AG15">
        <v>1.58286268</v>
      </c>
      <c r="AH15">
        <v>0.87629144</v>
      </c>
      <c r="AI15">
        <v>1.47079666</v>
      </c>
      <c r="AJ15">
        <v>0.87511423</v>
      </c>
      <c r="AK15">
        <v>1.62275218</v>
      </c>
      <c r="AL15">
        <v>0.83169006</v>
      </c>
      <c r="AM15">
        <v>1.73798822</v>
      </c>
      <c r="AN15">
        <v>0.66987242</v>
      </c>
      <c r="AO15">
        <v>1.15422475</v>
      </c>
      <c r="AP15">
        <v>4.18651438</v>
      </c>
      <c r="AQ15">
        <v>3.70519748</v>
      </c>
      <c r="AR15">
        <v>3.0685361</v>
      </c>
      <c r="AS15">
        <v>2.98602685</v>
      </c>
      <c r="AT15">
        <v>3.11407726</v>
      </c>
      <c r="AV15" s="32" t="s">
        <v>107</v>
      </c>
      <c r="AW15" s="31">
        <v>18.93333333</v>
      </c>
      <c r="AX15" s="31">
        <v>0.000327528</v>
      </c>
      <c r="AY15" s="31">
        <v>34.33333</v>
      </c>
      <c r="AZ15" s="31">
        <v>0.355444</v>
      </c>
      <c r="BF15">
        <f t="shared" si="14"/>
        <v>0.26728717321362</v>
      </c>
      <c r="BN15">
        <v>0.575</v>
      </c>
      <c r="BO15">
        <v>0</v>
      </c>
      <c r="BP15">
        <v>0</v>
      </c>
      <c r="BQ15">
        <v>0.575</v>
      </c>
      <c r="BR15">
        <v>0</v>
      </c>
      <c r="BS15">
        <v>0</v>
      </c>
      <c r="BT15">
        <v>0.575</v>
      </c>
      <c r="BU15">
        <v>0</v>
      </c>
      <c r="BV15">
        <v>0</v>
      </c>
      <c r="BW15">
        <v>0.575</v>
      </c>
      <c r="BX15">
        <v>0</v>
      </c>
      <c r="BY15">
        <v>0</v>
      </c>
      <c r="BZ15">
        <v>0.575</v>
      </c>
      <c r="CA15">
        <v>0</v>
      </c>
      <c r="CB15">
        <v>0.46</v>
      </c>
      <c r="CC15">
        <v>0</v>
      </c>
    </row>
    <row r="16" ht="14.55" spans="1:98">
      <c r="N16" s="5">
        <v>60</v>
      </c>
      <c r="O16" s="9">
        <v>1075.473</v>
      </c>
      <c r="P16" s="5">
        <v>26.49889554</v>
      </c>
      <c r="Q16" s="9">
        <v>-1603.833</v>
      </c>
      <c r="R16" s="10">
        <v>-5654.663</v>
      </c>
      <c r="S16" s="10">
        <v>-6054.979</v>
      </c>
      <c r="T16" s="10">
        <v>-1105.966</v>
      </c>
      <c r="U16" s="10">
        <v>-4538.481</v>
      </c>
      <c r="V16" s="10">
        <v>-2446.677</v>
      </c>
      <c r="W16" s="10">
        <v>-1192.561</v>
      </c>
      <c r="X16" s="10">
        <v>-4668.006</v>
      </c>
      <c r="Y16" s="10">
        <v>-2707.478</v>
      </c>
      <c r="Z16" s="10">
        <v>-1137.232</v>
      </c>
      <c r="AA16" s="10">
        <v>-4379.472</v>
      </c>
      <c r="AB16" s="10">
        <v>-3877.383</v>
      </c>
      <c r="AC16" s="10">
        <v>-1178.455</v>
      </c>
      <c r="AE16">
        <v>60</v>
      </c>
      <c r="AF16">
        <v>1.11093633</v>
      </c>
      <c r="AG16">
        <v>1.65607886</v>
      </c>
      <c r="AH16">
        <v>0.90702206</v>
      </c>
      <c r="AI16">
        <v>1.53170612</v>
      </c>
      <c r="AJ16">
        <v>0.89593767</v>
      </c>
      <c r="AK16">
        <v>1.64542039</v>
      </c>
      <c r="AL16">
        <v>0.85271646</v>
      </c>
      <c r="AM16">
        <v>1.80011454</v>
      </c>
      <c r="AN16">
        <v>0.70343963</v>
      </c>
      <c r="AO16">
        <v>1.2108712</v>
      </c>
      <c r="AP16">
        <v>4.35098452</v>
      </c>
      <c r="AQ16">
        <v>3.84864278</v>
      </c>
      <c r="AR16">
        <v>3.17019082</v>
      </c>
      <c r="AS16">
        <v>3.11599219</v>
      </c>
      <c r="AT16">
        <v>3.2197238</v>
      </c>
      <c r="AV16" s="32" t="s">
        <v>109</v>
      </c>
      <c r="AW16" s="31">
        <v>8.7</v>
      </c>
      <c r="AX16" s="31">
        <v>0.000141453</v>
      </c>
      <c r="AY16" s="31">
        <v>9.466667</v>
      </c>
      <c r="AZ16" s="31">
        <v>0.478899</v>
      </c>
      <c r="BF16">
        <f t="shared" si="14"/>
        <v>0.0699283962857963</v>
      </c>
      <c r="BN16">
        <v>0.625</v>
      </c>
      <c r="BO16">
        <v>0</v>
      </c>
      <c r="BP16">
        <v>0</v>
      </c>
      <c r="BQ16">
        <v>0.625</v>
      </c>
      <c r="BR16">
        <v>0</v>
      </c>
      <c r="BS16">
        <v>0</v>
      </c>
      <c r="BT16">
        <v>0.625</v>
      </c>
      <c r="BU16">
        <v>0</v>
      </c>
      <c r="BV16">
        <v>0</v>
      </c>
      <c r="BW16">
        <v>0.625</v>
      </c>
      <c r="BX16">
        <v>0</v>
      </c>
      <c r="BY16">
        <v>0</v>
      </c>
      <c r="BZ16">
        <v>0.625</v>
      </c>
      <c r="CA16">
        <v>0</v>
      </c>
      <c r="CB16">
        <v>0.5</v>
      </c>
      <c r="CC16">
        <v>0</v>
      </c>
    </row>
    <row r="17" ht="14.55" spans="14:81">
      <c r="N17" s="5">
        <v>65</v>
      </c>
      <c r="O17" s="9">
        <v>1075.58</v>
      </c>
      <c r="P17" s="5">
        <v>21.08223046</v>
      </c>
      <c r="Q17" s="9">
        <v>-1612.176</v>
      </c>
      <c r="R17" s="10">
        <v>-5657.41</v>
      </c>
      <c r="S17" s="10">
        <v>-6063.724</v>
      </c>
      <c r="T17" s="10">
        <v>-1108.77</v>
      </c>
      <c r="U17" s="10">
        <v>-4540.323</v>
      </c>
      <c r="V17" s="10">
        <v>-2455.799</v>
      </c>
      <c r="W17" s="10">
        <v>-1198.394</v>
      </c>
      <c r="X17" s="10">
        <v>-4668.568</v>
      </c>
      <c r="Y17" s="10">
        <v>-2714.623</v>
      </c>
      <c r="Z17" s="10">
        <v>-1143.273</v>
      </c>
      <c r="AA17" s="10">
        <v>-4383.098</v>
      </c>
      <c r="AB17" s="10">
        <v>-3885.97</v>
      </c>
      <c r="AC17" s="10">
        <v>-1181.857</v>
      </c>
      <c r="AE17">
        <v>65</v>
      </c>
      <c r="AF17">
        <v>1.19889093</v>
      </c>
      <c r="AG17">
        <v>1.70617906</v>
      </c>
      <c r="AH17">
        <v>0.96512556</v>
      </c>
      <c r="AI17">
        <v>1.61728547</v>
      </c>
      <c r="AJ17">
        <v>0.9118268</v>
      </c>
      <c r="AK17">
        <v>1.66904718</v>
      </c>
      <c r="AL17">
        <v>0.88342687</v>
      </c>
      <c r="AM17">
        <v>1.8690386</v>
      </c>
      <c r="AN17">
        <v>0.73008113</v>
      </c>
      <c r="AO17">
        <v>1.23446512</v>
      </c>
      <c r="AP17">
        <v>4.52047596</v>
      </c>
      <c r="AQ17">
        <v>4.01421662</v>
      </c>
      <c r="AR17">
        <v>3.2846457</v>
      </c>
      <c r="AS17">
        <v>3.23654326</v>
      </c>
      <c r="AT17">
        <v>3.32092301</v>
      </c>
      <c r="AV17" s="32" t="s">
        <v>111</v>
      </c>
      <c r="AW17" s="31">
        <v>15.89</v>
      </c>
      <c r="AX17" s="31">
        <v>0.000267287</v>
      </c>
      <c r="AY17" s="31">
        <v>21.13333</v>
      </c>
      <c r="AZ17" s="31">
        <v>0.429189</v>
      </c>
      <c r="BF17">
        <f t="shared" si="14"/>
        <v>0</v>
      </c>
      <c r="BN17">
        <v>0.675</v>
      </c>
      <c r="BO17">
        <v>0</v>
      </c>
      <c r="BP17">
        <v>0</v>
      </c>
      <c r="BQ17">
        <v>0.675</v>
      </c>
      <c r="BR17">
        <v>0</v>
      </c>
      <c r="BS17">
        <v>0</v>
      </c>
      <c r="BT17">
        <v>0.675</v>
      </c>
      <c r="BU17">
        <v>0</v>
      </c>
      <c r="BV17">
        <v>0</v>
      </c>
      <c r="BW17">
        <v>0.675</v>
      </c>
      <c r="BX17">
        <v>0</v>
      </c>
      <c r="BY17">
        <v>0</v>
      </c>
      <c r="BZ17">
        <v>0.675</v>
      </c>
      <c r="CA17">
        <v>0</v>
      </c>
      <c r="CB17">
        <v>0.54</v>
      </c>
      <c r="CC17">
        <v>0</v>
      </c>
    </row>
    <row r="18" ht="14.55" spans="14:81">
      <c r="N18" s="5">
        <v>70</v>
      </c>
      <c r="O18" s="9">
        <v>1073.848</v>
      </c>
      <c r="P18" s="5">
        <v>17.33797711</v>
      </c>
      <c r="Q18" s="9">
        <v>-1616.038</v>
      </c>
      <c r="R18" s="10">
        <v>-5660.317</v>
      </c>
      <c r="S18" s="10">
        <v>-6063.831</v>
      </c>
      <c r="T18" s="10">
        <v>-1110.631</v>
      </c>
      <c r="U18" s="10">
        <v>-4540.12</v>
      </c>
      <c r="V18" s="10">
        <v>-2460.386</v>
      </c>
      <c r="W18" s="10">
        <v>-1202.292</v>
      </c>
      <c r="X18" s="10">
        <v>-4668.716</v>
      </c>
      <c r="Y18" s="10">
        <v>-2722.494</v>
      </c>
      <c r="Z18" s="10">
        <v>-1146.104</v>
      </c>
      <c r="AA18" s="10">
        <v>-4384.779</v>
      </c>
      <c r="AB18" s="10">
        <v>-3895.569</v>
      </c>
      <c r="AC18" s="10">
        <v>-1185.464</v>
      </c>
      <c r="AE18">
        <v>70</v>
      </c>
      <c r="AF18">
        <v>1.22490459</v>
      </c>
      <c r="AG18">
        <v>1.76168922</v>
      </c>
      <c r="AH18">
        <v>0.99708621</v>
      </c>
      <c r="AI18">
        <v>1.67862602</v>
      </c>
      <c r="AJ18">
        <v>0.93486289</v>
      </c>
      <c r="AK18">
        <v>1.71478034</v>
      </c>
      <c r="AL18">
        <v>0.91954272</v>
      </c>
      <c r="AM18">
        <v>1.96545289</v>
      </c>
      <c r="AN18">
        <v>0.7268944</v>
      </c>
      <c r="AO18">
        <v>1.23015903</v>
      </c>
      <c r="AP18">
        <v>4.68680492</v>
      </c>
      <c r="AQ18">
        <v>4.14843466</v>
      </c>
      <c r="AR18">
        <v>3.38530164</v>
      </c>
      <c r="AS18">
        <v>3.34726885</v>
      </c>
      <c r="AT18">
        <v>3.410512</v>
      </c>
      <c r="AV18" s="32" t="s">
        <v>113</v>
      </c>
      <c r="AW18" s="31">
        <v>4.24</v>
      </c>
      <c r="AX18" s="33">
        <v>6.99284e-5</v>
      </c>
      <c r="AY18" s="31">
        <v>6.413333</v>
      </c>
      <c r="AZ18" s="31">
        <v>0.397997</v>
      </c>
      <c r="BF18">
        <f t="shared" si="14"/>
        <v>0</v>
      </c>
      <c r="BN18">
        <v>0.725</v>
      </c>
      <c r="BO18">
        <v>0</v>
      </c>
      <c r="BP18">
        <v>0</v>
      </c>
      <c r="BQ18">
        <v>0.725</v>
      </c>
      <c r="BR18">
        <v>0</v>
      </c>
      <c r="BS18">
        <v>0</v>
      </c>
      <c r="BT18">
        <v>0.725</v>
      </c>
      <c r="BU18">
        <v>0</v>
      </c>
      <c r="BV18">
        <v>0</v>
      </c>
      <c r="BW18">
        <v>0.725</v>
      </c>
      <c r="BX18">
        <v>0</v>
      </c>
      <c r="BY18">
        <v>0</v>
      </c>
      <c r="BZ18">
        <v>0.725</v>
      </c>
      <c r="CA18">
        <v>0</v>
      </c>
      <c r="CB18">
        <v>0.58</v>
      </c>
      <c r="CC18">
        <v>0</v>
      </c>
    </row>
    <row r="19" spans="14:81">
      <c r="N19" s="5">
        <v>75</v>
      </c>
      <c r="O19" s="9">
        <v>1073.032</v>
      </c>
      <c r="P19" s="5">
        <v>14.88607874</v>
      </c>
      <c r="Q19" s="9">
        <v>-1621.465</v>
      </c>
      <c r="R19" s="10">
        <v>-5660.164</v>
      </c>
      <c r="S19" s="10">
        <v>-6063.609</v>
      </c>
      <c r="T19" s="10">
        <v>-1115.056</v>
      </c>
      <c r="U19" s="10">
        <v>-4540.872</v>
      </c>
      <c r="V19" s="10">
        <v>-2466.807</v>
      </c>
      <c r="W19" s="10">
        <v>-1207.111</v>
      </c>
      <c r="X19" s="10">
        <v>-4669.207</v>
      </c>
      <c r="Y19" s="10">
        <v>-2727.883</v>
      </c>
      <c r="Z19" s="10">
        <v>-1150.612</v>
      </c>
      <c r="AA19" s="10">
        <v>-4388.182</v>
      </c>
      <c r="AB19" s="10">
        <v>-3904.046</v>
      </c>
      <c r="AC19" s="10">
        <v>-1188.98</v>
      </c>
      <c r="AE19">
        <v>75</v>
      </c>
      <c r="AF19">
        <v>1.25498947</v>
      </c>
      <c r="AG19">
        <v>1.82603066</v>
      </c>
      <c r="AH19">
        <v>1.01321374</v>
      </c>
      <c r="AI19">
        <v>1.71863045</v>
      </c>
      <c r="AJ19">
        <v>0.95788409</v>
      </c>
      <c r="AK19">
        <v>1.78722991</v>
      </c>
      <c r="AL19">
        <v>0.96029081</v>
      </c>
      <c r="AM19">
        <v>2.07170556</v>
      </c>
      <c r="AN19">
        <v>0.7530606</v>
      </c>
      <c r="AO19">
        <v>1.25458891</v>
      </c>
      <c r="AP19">
        <v>4.83918321</v>
      </c>
      <c r="AQ19">
        <v>4.26351805</v>
      </c>
      <c r="AR19">
        <v>3.49335611</v>
      </c>
      <c r="AS19">
        <v>3.47655605</v>
      </c>
      <c r="AT19">
        <v>3.52422235</v>
      </c>
      <c r="BF19">
        <f t="shared" si="14"/>
        <v>0</v>
      </c>
      <c r="BN19">
        <v>0.775</v>
      </c>
      <c r="BO19">
        <v>0</v>
      </c>
      <c r="BP19">
        <v>0</v>
      </c>
      <c r="BQ19">
        <v>0.775</v>
      </c>
      <c r="BR19">
        <v>0</v>
      </c>
      <c r="BS19">
        <v>0</v>
      </c>
      <c r="BT19">
        <v>0.775</v>
      </c>
      <c r="BU19">
        <v>0</v>
      </c>
      <c r="BV19">
        <v>0</v>
      </c>
      <c r="BW19">
        <v>0.775</v>
      </c>
      <c r="BX19">
        <v>0</v>
      </c>
      <c r="BY19">
        <v>0</v>
      </c>
      <c r="BZ19">
        <v>0.775</v>
      </c>
      <c r="CA19">
        <v>0</v>
      </c>
      <c r="CB19">
        <v>0.62</v>
      </c>
      <c r="CC19">
        <v>0</v>
      </c>
    </row>
    <row r="20" spans="14:81">
      <c r="N20" s="5">
        <v>80</v>
      </c>
      <c r="O20" s="9">
        <v>1072.819</v>
      </c>
      <c r="P20" s="5">
        <v>9.67857306</v>
      </c>
      <c r="Q20" s="9">
        <v>-1623.599</v>
      </c>
      <c r="R20" s="10">
        <v>-5660.513</v>
      </c>
      <c r="S20" s="10">
        <v>-6063.076</v>
      </c>
      <c r="T20" s="10">
        <v>-1115.305</v>
      </c>
      <c r="U20" s="10">
        <v>-4545.984</v>
      </c>
      <c r="V20" s="10">
        <v>-2477.029</v>
      </c>
      <c r="W20" s="10">
        <v>-1207.749</v>
      </c>
      <c r="X20" s="10">
        <v>-4668.23</v>
      </c>
      <c r="Y20" s="10">
        <v>-2731.364</v>
      </c>
      <c r="Z20" s="10">
        <v>-1154.493</v>
      </c>
      <c r="AA20" s="10">
        <v>-4391.475</v>
      </c>
      <c r="AB20" s="10">
        <v>-3914.016</v>
      </c>
      <c r="AC20" s="10">
        <v>-1191.8</v>
      </c>
      <c r="AE20">
        <v>80</v>
      </c>
      <c r="AF20">
        <v>1.30545611</v>
      </c>
      <c r="AG20">
        <v>1.8685128</v>
      </c>
      <c r="AH20">
        <v>1.04233493</v>
      </c>
      <c r="AI20">
        <v>1.76009528</v>
      </c>
      <c r="AJ20">
        <v>1.0011184</v>
      </c>
      <c r="AK20">
        <v>1.85810243</v>
      </c>
      <c r="AL20">
        <v>0.99534394</v>
      </c>
      <c r="AM20">
        <v>2.12590932</v>
      </c>
      <c r="AN20">
        <v>0.74883487</v>
      </c>
      <c r="AO20">
        <v>1.27532115</v>
      </c>
      <c r="AP20">
        <v>4.99079365</v>
      </c>
      <c r="AQ20">
        <v>4.38582305</v>
      </c>
      <c r="AR20">
        <v>3.59481057</v>
      </c>
      <c r="AS20">
        <v>3.58844131</v>
      </c>
      <c r="AT20">
        <v>3.6117848</v>
      </c>
      <c r="BN20">
        <v>0.825</v>
      </c>
      <c r="BO20">
        <v>0</v>
      </c>
      <c r="BP20">
        <v>0</v>
      </c>
      <c r="BQ20">
        <v>0.825</v>
      </c>
      <c r="BR20">
        <v>0</v>
      </c>
      <c r="BS20">
        <v>0</v>
      </c>
      <c r="BT20">
        <v>0.825</v>
      </c>
      <c r="BU20">
        <v>0</v>
      </c>
      <c r="BV20">
        <v>0</v>
      </c>
      <c r="BW20">
        <v>0.825</v>
      </c>
      <c r="BX20">
        <v>0</v>
      </c>
      <c r="BY20">
        <v>0</v>
      </c>
      <c r="BZ20">
        <v>0.825</v>
      </c>
      <c r="CA20">
        <v>0</v>
      </c>
      <c r="CB20">
        <v>0.66</v>
      </c>
      <c r="CC20">
        <v>0</v>
      </c>
    </row>
    <row r="21" spans="14:81">
      <c r="N21" s="5">
        <v>85</v>
      </c>
      <c r="O21" s="9">
        <v>1072.443</v>
      </c>
      <c r="P21" s="5">
        <v>5.06761566</v>
      </c>
      <c r="Q21" s="9">
        <v>-1627.135</v>
      </c>
      <c r="R21" s="10">
        <v>-5660.689</v>
      </c>
      <c r="S21" s="10">
        <v>-6068.59</v>
      </c>
      <c r="T21" s="10">
        <v>-1118.224</v>
      </c>
      <c r="U21" s="10">
        <v>-4545.695</v>
      </c>
      <c r="V21" s="10">
        <v>-2481.572</v>
      </c>
      <c r="W21" s="10">
        <v>-1212.225</v>
      </c>
      <c r="X21" s="10">
        <v>-4666.861</v>
      </c>
      <c r="Y21" s="10">
        <v>-2741.15</v>
      </c>
      <c r="Z21" s="10">
        <v>-1158.864</v>
      </c>
      <c r="AA21" s="10">
        <v>-4394.134</v>
      </c>
      <c r="AB21" s="10">
        <v>-3918.749</v>
      </c>
      <c r="AC21" s="10">
        <v>-1192.074</v>
      </c>
      <c r="AE21">
        <v>85</v>
      </c>
      <c r="AF21">
        <v>1.34024642</v>
      </c>
      <c r="AG21">
        <v>1.90036805</v>
      </c>
      <c r="AH21">
        <v>1.07015997</v>
      </c>
      <c r="AI21">
        <v>1.84192691</v>
      </c>
      <c r="AJ21">
        <v>1.00205527</v>
      </c>
      <c r="AK21">
        <v>1.86644357</v>
      </c>
      <c r="AL21">
        <v>1.03709362</v>
      </c>
      <c r="AM21">
        <v>2.20721281</v>
      </c>
      <c r="AN21">
        <v>0.77397244</v>
      </c>
      <c r="AO21">
        <v>1.32201123</v>
      </c>
      <c r="AP21">
        <v>5.13765963</v>
      </c>
      <c r="AQ21">
        <v>4.50988451</v>
      </c>
      <c r="AR21">
        <v>3.69476205</v>
      </c>
      <c r="AS21">
        <v>3.72010552</v>
      </c>
      <c r="AT21">
        <v>3.70812403</v>
      </c>
      <c r="BN21">
        <v>0.875</v>
      </c>
      <c r="BO21">
        <v>0</v>
      </c>
      <c r="BP21">
        <v>0</v>
      </c>
      <c r="BQ21">
        <v>0.875</v>
      </c>
      <c r="BR21">
        <v>0</v>
      </c>
      <c r="BS21">
        <v>0</v>
      </c>
      <c r="BT21">
        <v>0.875</v>
      </c>
      <c r="BU21">
        <v>0</v>
      </c>
      <c r="BV21">
        <v>0</v>
      </c>
      <c r="BW21">
        <v>0.875</v>
      </c>
      <c r="BX21">
        <v>0</v>
      </c>
      <c r="BY21">
        <v>0</v>
      </c>
      <c r="BZ21">
        <v>0.875</v>
      </c>
      <c r="CA21">
        <v>0</v>
      </c>
      <c r="CB21">
        <v>0.7</v>
      </c>
      <c r="CC21">
        <v>0</v>
      </c>
    </row>
    <row r="22" spans="14:81">
      <c r="N22" s="5">
        <v>90</v>
      </c>
      <c r="O22" s="9">
        <v>1072.352</v>
      </c>
      <c r="P22" s="5">
        <v>3.98988814</v>
      </c>
      <c r="Q22" s="9">
        <v>-1632.339</v>
      </c>
      <c r="R22" s="10">
        <v>-5662.511</v>
      </c>
      <c r="S22" s="10">
        <v>-6071.476</v>
      </c>
      <c r="T22" s="10">
        <v>-1120.962</v>
      </c>
      <c r="U22" s="10">
        <v>-4547.174</v>
      </c>
      <c r="V22" s="10">
        <v>-2489.783</v>
      </c>
      <c r="W22" s="10">
        <v>-1214.378</v>
      </c>
      <c r="X22" s="10">
        <v>-4668.388</v>
      </c>
      <c r="Y22" s="10">
        <v>-2746.531</v>
      </c>
      <c r="Z22" s="10">
        <v>-1163.295</v>
      </c>
      <c r="AA22" s="10">
        <v>-4392.757</v>
      </c>
      <c r="AB22" s="10">
        <v>-3921.291</v>
      </c>
      <c r="AC22" s="10">
        <v>-1194.783</v>
      </c>
      <c r="AE22">
        <v>90</v>
      </c>
      <c r="AF22">
        <v>1.39846556</v>
      </c>
      <c r="AG22">
        <v>1.96409289</v>
      </c>
      <c r="AH22">
        <v>1.11835428</v>
      </c>
      <c r="AI22">
        <v>1.88775423</v>
      </c>
      <c r="AJ22">
        <v>1.01162904</v>
      </c>
      <c r="AK22">
        <v>1.91904011</v>
      </c>
      <c r="AL22">
        <v>1.09168319</v>
      </c>
      <c r="AM22">
        <v>2.3069434</v>
      </c>
      <c r="AN22">
        <v>0.7683776</v>
      </c>
      <c r="AO22">
        <v>1.28879014</v>
      </c>
      <c r="AP22">
        <v>5.26432361</v>
      </c>
      <c r="AQ22">
        <v>4.64020347</v>
      </c>
      <c r="AR22">
        <v>3.77926119</v>
      </c>
      <c r="AS22">
        <v>3.83944726</v>
      </c>
      <c r="AT22">
        <v>3.79644502</v>
      </c>
      <c r="BN22">
        <v>0.925</v>
      </c>
      <c r="BO22">
        <v>0</v>
      </c>
      <c r="BP22">
        <v>0</v>
      </c>
      <c r="BQ22">
        <v>0.925</v>
      </c>
      <c r="BR22">
        <v>0</v>
      </c>
      <c r="BS22">
        <v>0</v>
      </c>
      <c r="BT22">
        <v>0.925</v>
      </c>
      <c r="BU22">
        <v>0</v>
      </c>
      <c r="BV22">
        <v>0</v>
      </c>
      <c r="BW22">
        <v>0.925</v>
      </c>
      <c r="BX22">
        <v>0</v>
      </c>
      <c r="BY22">
        <v>0</v>
      </c>
      <c r="BZ22">
        <v>0.925</v>
      </c>
      <c r="CA22">
        <v>0</v>
      </c>
      <c r="CB22">
        <v>0.74</v>
      </c>
      <c r="CC22">
        <v>0</v>
      </c>
    </row>
    <row r="23" spans="14:81">
      <c r="N23" s="5">
        <v>95</v>
      </c>
      <c r="O23" s="9">
        <v>1072.52</v>
      </c>
      <c r="P23" s="5">
        <v>1.70390085</v>
      </c>
      <c r="Q23" s="9">
        <v>-1633.746</v>
      </c>
      <c r="R23" s="10">
        <v>-5663.76</v>
      </c>
      <c r="S23" s="10">
        <v>-6076.489</v>
      </c>
      <c r="T23" s="10">
        <v>-1123.07</v>
      </c>
      <c r="U23" s="10">
        <v>-4549.159</v>
      </c>
      <c r="V23" s="10">
        <v>-2497.096</v>
      </c>
      <c r="W23" s="10">
        <v>-1218.792</v>
      </c>
      <c r="X23" s="10">
        <v>-4670.033</v>
      </c>
      <c r="Y23" s="10">
        <v>-2752.284</v>
      </c>
      <c r="Z23" s="10">
        <v>-1163.449</v>
      </c>
      <c r="AA23" s="10">
        <v>-4392.54</v>
      </c>
      <c r="AB23" s="10">
        <v>-3928.31</v>
      </c>
      <c r="AC23" s="10">
        <v>-1198.583</v>
      </c>
      <c r="AE23">
        <v>95</v>
      </c>
      <c r="AF23">
        <v>1.43701888</v>
      </c>
      <c r="AG23">
        <v>2.01880927</v>
      </c>
      <c r="AH23">
        <v>1.14065788</v>
      </c>
      <c r="AI23">
        <v>1.95083444</v>
      </c>
      <c r="AJ23">
        <v>1.01328701</v>
      </c>
      <c r="AK23">
        <v>1.94612351</v>
      </c>
      <c r="AL23">
        <v>1.14575696</v>
      </c>
      <c r="AM23">
        <v>2.39374858</v>
      </c>
      <c r="AN23">
        <v>0.79437845</v>
      </c>
      <c r="AO23">
        <v>1.29680325</v>
      </c>
      <c r="AP23">
        <v>5.40088979</v>
      </c>
      <c r="AQ23">
        <v>4.75254098</v>
      </c>
      <c r="AR23">
        <v>3.87059193</v>
      </c>
      <c r="AS23">
        <v>3.95963437</v>
      </c>
      <c r="AT23">
        <v>3.87863199</v>
      </c>
      <c r="BN23">
        <v>0.975</v>
      </c>
      <c r="BO23">
        <v>0</v>
      </c>
      <c r="BP23">
        <v>0</v>
      </c>
      <c r="BQ23">
        <v>0.975</v>
      </c>
      <c r="BR23">
        <v>0</v>
      </c>
      <c r="BS23">
        <v>0</v>
      </c>
      <c r="BT23">
        <v>0.975</v>
      </c>
      <c r="BU23">
        <v>0</v>
      </c>
      <c r="BV23">
        <v>0</v>
      </c>
      <c r="BW23">
        <v>0.975</v>
      </c>
      <c r="BX23">
        <v>0</v>
      </c>
      <c r="BY23">
        <v>0</v>
      </c>
      <c r="BZ23">
        <v>0.975</v>
      </c>
      <c r="CA23">
        <v>0</v>
      </c>
      <c r="CB23">
        <v>0.78</v>
      </c>
      <c r="CC23">
        <v>0</v>
      </c>
    </row>
    <row r="24" spans="14:81">
      <c r="N24" s="5">
        <v>100</v>
      </c>
      <c r="O24" s="9">
        <v>1072.208</v>
      </c>
      <c r="P24" s="5">
        <v>-4.48620601</v>
      </c>
      <c r="Q24" s="9">
        <v>-1634.25</v>
      </c>
      <c r="R24" s="10">
        <v>-5664.492</v>
      </c>
      <c r="S24" s="10">
        <v>-6077.856</v>
      </c>
      <c r="T24" s="10">
        <v>-1123.119</v>
      </c>
      <c r="U24" s="10">
        <v>-4550.554</v>
      </c>
      <c r="V24" s="10">
        <v>-2503.99</v>
      </c>
      <c r="W24" s="10">
        <v>-1223.137</v>
      </c>
      <c r="X24" s="10">
        <v>-4670.388</v>
      </c>
      <c r="Y24" s="10">
        <v>-2756.585</v>
      </c>
      <c r="Z24" s="10">
        <v>-1167.1</v>
      </c>
      <c r="AA24" s="10">
        <v>-4392.364</v>
      </c>
      <c r="AB24" s="10">
        <v>-3929.493</v>
      </c>
      <c r="AC24" s="10">
        <v>-1201.026</v>
      </c>
      <c r="AE24">
        <v>100</v>
      </c>
      <c r="AF24">
        <v>1.48149849</v>
      </c>
      <c r="AG24">
        <v>2.05312036</v>
      </c>
      <c r="AH24">
        <v>1.18837038</v>
      </c>
      <c r="AI24">
        <v>2.02537332</v>
      </c>
      <c r="AJ24">
        <v>1.06036117</v>
      </c>
      <c r="AK24">
        <v>1.95259636</v>
      </c>
      <c r="AL24">
        <v>1.16976342</v>
      </c>
      <c r="AM24">
        <v>2.47153315</v>
      </c>
      <c r="AN24">
        <v>0.78543774</v>
      </c>
      <c r="AO24">
        <v>1.32977016</v>
      </c>
      <c r="AP24">
        <v>5.53586706</v>
      </c>
      <c r="AQ24">
        <v>4.87056681</v>
      </c>
      <c r="AR24">
        <v>3.95508233</v>
      </c>
      <c r="AS24">
        <v>4.07237977</v>
      </c>
      <c r="AT24">
        <v>3.9725782</v>
      </c>
      <c r="BN24">
        <v>1.025</v>
      </c>
      <c r="BO24">
        <v>0</v>
      </c>
      <c r="BP24">
        <v>0</v>
      </c>
      <c r="BQ24">
        <v>1.025</v>
      </c>
      <c r="BR24">
        <v>0</v>
      </c>
      <c r="BS24">
        <v>0</v>
      </c>
      <c r="BT24">
        <v>1.025</v>
      </c>
      <c r="BU24">
        <v>0</v>
      </c>
      <c r="BV24">
        <v>0</v>
      </c>
      <c r="BW24">
        <v>1.025</v>
      </c>
      <c r="BX24">
        <v>0</v>
      </c>
      <c r="BY24">
        <v>0</v>
      </c>
      <c r="BZ24">
        <v>1.025</v>
      </c>
      <c r="CA24">
        <v>0</v>
      </c>
      <c r="CB24">
        <v>0.82</v>
      </c>
      <c r="CC24">
        <v>0</v>
      </c>
    </row>
    <row r="25" spans="14:81">
      <c r="N25" s="5">
        <v>105</v>
      </c>
      <c r="O25" s="9">
        <v>1071.488</v>
      </c>
      <c r="P25" s="5">
        <v>-7.73989001</v>
      </c>
      <c r="Q25" s="9">
        <v>-1635.625</v>
      </c>
      <c r="R25" s="10">
        <v>-5665.865</v>
      </c>
      <c r="S25" s="10">
        <v>-6084.149</v>
      </c>
      <c r="T25" s="10">
        <v>-1124.015</v>
      </c>
      <c r="U25" s="10">
        <v>-4553.145</v>
      </c>
      <c r="V25" s="10">
        <v>-2509.619</v>
      </c>
      <c r="W25" s="10">
        <v>-1223.701</v>
      </c>
      <c r="X25" s="10">
        <v>-4671.708</v>
      </c>
      <c r="Y25" s="10">
        <v>-2758.232</v>
      </c>
      <c r="Z25" s="10">
        <v>-1166.938</v>
      </c>
      <c r="AA25" s="10">
        <v>-4395.245</v>
      </c>
      <c r="AB25" s="10">
        <v>-3932.644</v>
      </c>
      <c r="AC25" s="10">
        <v>-1201.72</v>
      </c>
      <c r="AE25">
        <v>105</v>
      </c>
      <c r="AF25">
        <v>1.52695761</v>
      </c>
      <c r="AG25">
        <v>2.11070259</v>
      </c>
      <c r="AH25">
        <v>1.22949232</v>
      </c>
      <c r="AI25">
        <v>2.08515953</v>
      </c>
      <c r="AJ25">
        <v>1.09837708</v>
      </c>
      <c r="AK25">
        <v>2.01822776</v>
      </c>
      <c r="AL25">
        <v>1.16767739</v>
      </c>
      <c r="AM25">
        <v>2.54026706</v>
      </c>
      <c r="AN25">
        <v>0.79588379</v>
      </c>
      <c r="AO25">
        <v>1.31966185</v>
      </c>
      <c r="AP25">
        <v>5.67557116</v>
      </c>
      <c r="AQ25">
        <v>4.98538078</v>
      </c>
      <c r="AR25">
        <v>4.04555016</v>
      </c>
      <c r="AS25">
        <v>4.18002717</v>
      </c>
      <c r="AT25">
        <v>4.05415753</v>
      </c>
      <c r="BN25">
        <v>1.075</v>
      </c>
      <c r="BO25">
        <v>0</v>
      </c>
      <c r="BP25">
        <v>0</v>
      </c>
      <c r="BQ25">
        <v>1.075</v>
      </c>
      <c r="BR25">
        <v>0</v>
      </c>
      <c r="BS25">
        <v>0</v>
      </c>
      <c r="BT25">
        <v>1.075</v>
      </c>
      <c r="BU25">
        <v>0</v>
      </c>
      <c r="BV25">
        <v>0</v>
      </c>
      <c r="BW25">
        <v>1.075</v>
      </c>
      <c r="BX25">
        <v>0</v>
      </c>
      <c r="BY25">
        <v>0</v>
      </c>
      <c r="BZ25">
        <v>1.075</v>
      </c>
      <c r="CA25">
        <v>0</v>
      </c>
      <c r="CB25">
        <v>0.86</v>
      </c>
      <c r="CC25">
        <v>0</v>
      </c>
    </row>
    <row r="26" spans="14:81">
      <c r="N26" s="5">
        <v>110</v>
      </c>
      <c r="O26" s="9">
        <v>1071.284</v>
      </c>
      <c r="P26" s="5">
        <v>-7.13562381</v>
      </c>
      <c r="Q26" s="9">
        <v>-1636.658</v>
      </c>
      <c r="R26" s="10">
        <v>-5667.164</v>
      </c>
      <c r="S26" s="10">
        <v>-6089.9</v>
      </c>
      <c r="T26" s="10">
        <v>-1125.342</v>
      </c>
      <c r="U26" s="10">
        <v>-4551.828</v>
      </c>
      <c r="V26" s="10">
        <v>-2518.095</v>
      </c>
      <c r="W26" s="10">
        <v>-1227.536</v>
      </c>
      <c r="X26" s="10">
        <v>-4672.653</v>
      </c>
      <c r="Y26" s="10">
        <v>-2761.424</v>
      </c>
      <c r="Z26" s="10">
        <v>-1167.314</v>
      </c>
      <c r="AA26" s="10">
        <v>-4396.153</v>
      </c>
      <c r="AB26" s="10">
        <v>-3935.582</v>
      </c>
      <c r="AC26" s="10">
        <v>-1204.197</v>
      </c>
      <c r="AE26">
        <v>110</v>
      </c>
      <c r="AF26">
        <v>1.563678</v>
      </c>
      <c r="AG26">
        <v>2.16304744</v>
      </c>
      <c r="AH26">
        <v>1.29215265</v>
      </c>
      <c r="AI26">
        <v>2.16385504</v>
      </c>
      <c r="AJ26">
        <v>1.1107196</v>
      </c>
      <c r="AK26">
        <v>2.07076685</v>
      </c>
      <c r="AL26">
        <v>1.23755243</v>
      </c>
      <c r="AM26">
        <v>2.63621253</v>
      </c>
      <c r="AN26">
        <v>0.79429174</v>
      </c>
      <c r="AO26">
        <v>1.33449302</v>
      </c>
      <c r="AP26">
        <v>5.78923894</v>
      </c>
      <c r="AQ26">
        <v>5.11158578</v>
      </c>
      <c r="AR26">
        <v>4.1252068</v>
      </c>
      <c r="AS26">
        <v>4.29169147</v>
      </c>
      <c r="AT26">
        <v>4.13797831</v>
      </c>
      <c r="BN26">
        <v>1.125</v>
      </c>
      <c r="BO26">
        <v>0</v>
      </c>
      <c r="BP26">
        <v>0</v>
      </c>
      <c r="BQ26">
        <v>1.125</v>
      </c>
      <c r="BR26">
        <v>0</v>
      </c>
      <c r="BS26">
        <v>0</v>
      </c>
      <c r="BT26">
        <v>1.125</v>
      </c>
      <c r="BU26">
        <v>0</v>
      </c>
      <c r="BV26">
        <v>0</v>
      </c>
      <c r="BW26">
        <v>1.125</v>
      </c>
      <c r="BX26">
        <v>0</v>
      </c>
      <c r="BY26">
        <v>0</v>
      </c>
      <c r="BZ26">
        <v>1.125</v>
      </c>
      <c r="CA26">
        <v>0</v>
      </c>
      <c r="CB26">
        <v>0.9</v>
      </c>
      <c r="CC26">
        <v>0</v>
      </c>
    </row>
    <row r="27" spans="14:81">
      <c r="N27" s="5">
        <v>115</v>
      </c>
      <c r="O27" s="9">
        <v>1071.608</v>
      </c>
      <c r="P27" s="5">
        <v>-7.02627792</v>
      </c>
      <c r="Q27" s="9">
        <v>-1638.503</v>
      </c>
      <c r="R27" s="10">
        <v>-5665.478</v>
      </c>
      <c r="S27" s="10">
        <v>-6092.331</v>
      </c>
      <c r="T27" s="10">
        <v>-1128.987</v>
      </c>
      <c r="U27" s="10">
        <v>-4552.198</v>
      </c>
      <c r="V27" s="10">
        <v>-2523.399</v>
      </c>
      <c r="W27" s="10">
        <v>-1227.718</v>
      </c>
      <c r="X27" s="10">
        <v>-4673.655</v>
      </c>
      <c r="Y27" s="10">
        <v>-2764.742</v>
      </c>
      <c r="Z27" s="10">
        <v>-1169.397</v>
      </c>
      <c r="AA27" s="10">
        <v>-4398.746</v>
      </c>
      <c r="AB27" s="10">
        <v>-3940.436</v>
      </c>
      <c r="AC27" s="10">
        <v>-1204.895</v>
      </c>
      <c r="AE27">
        <v>115</v>
      </c>
      <c r="AF27">
        <v>1.5911655</v>
      </c>
      <c r="AG27">
        <v>2.17248929</v>
      </c>
      <c r="AH27">
        <v>1.32886797</v>
      </c>
      <c r="AI27">
        <v>2.22882688</v>
      </c>
      <c r="AJ27">
        <v>1.13316875</v>
      </c>
      <c r="AK27">
        <v>2.10748204</v>
      </c>
      <c r="AL27">
        <v>1.26862295</v>
      </c>
      <c r="AM27">
        <v>2.73145095</v>
      </c>
      <c r="AN27">
        <v>0.82655009</v>
      </c>
      <c r="AO27">
        <v>1.36695299</v>
      </c>
      <c r="AP27">
        <v>5.91431174</v>
      </c>
      <c r="AQ27">
        <v>5.21199915</v>
      </c>
      <c r="AR27">
        <v>4.20539154</v>
      </c>
      <c r="AS27">
        <v>4.4067489</v>
      </c>
      <c r="AT27">
        <v>4.21961654</v>
      </c>
      <c r="BN27">
        <v>1.175</v>
      </c>
      <c r="BO27">
        <v>0</v>
      </c>
      <c r="BP27">
        <v>0</v>
      </c>
      <c r="BQ27">
        <v>1.175</v>
      </c>
      <c r="BR27">
        <v>0</v>
      </c>
      <c r="BS27">
        <v>0</v>
      </c>
      <c r="BT27">
        <v>1.175</v>
      </c>
      <c r="BU27">
        <v>0</v>
      </c>
      <c r="BV27">
        <v>0</v>
      </c>
      <c r="BW27">
        <v>1.175</v>
      </c>
      <c r="BX27">
        <v>0</v>
      </c>
      <c r="BY27">
        <v>0</v>
      </c>
      <c r="BZ27">
        <v>1.175</v>
      </c>
      <c r="CA27">
        <v>0</v>
      </c>
      <c r="CB27">
        <v>0.94</v>
      </c>
      <c r="CC27">
        <v>0</v>
      </c>
    </row>
    <row r="28" spans="14:81">
      <c r="N28" s="5">
        <v>120</v>
      </c>
      <c r="O28" s="9">
        <v>1071.683</v>
      </c>
      <c r="P28" s="5">
        <v>-10.61050651</v>
      </c>
      <c r="Q28" s="9">
        <v>-1640.89</v>
      </c>
      <c r="R28" s="10">
        <v>-5663.911</v>
      </c>
      <c r="S28" s="10">
        <v>-6093.689</v>
      </c>
      <c r="T28" s="10">
        <v>-1130.837</v>
      </c>
      <c r="U28" s="10">
        <v>-4553.24</v>
      </c>
      <c r="V28" s="10">
        <v>-2528.828</v>
      </c>
      <c r="W28" s="10">
        <v>-1228.948</v>
      </c>
      <c r="X28" s="10">
        <v>-4674.103</v>
      </c>
      <c r="Y28" s="10">
        <v>-2770.205</v>
      </c>
      <c r="Z28" s="10">
        <v>-1173.227</v>
      </c>
      <c r="AA28" s="10">
        <v>-4399.938</v>
      </c>
      <c r="AB28" s="10">
        <v>-3943.459</v>
      </c>
      <c r="AC28" s="10">
        <v>-1208.331</v>
      </c>
      <c r="AE28">
        <v>120</v>
      </c>
      <c r="AF28">
        <v>1.63888004</v>
      </c>
      <c r="AG28">
        <v>2.24532989</v>
      </c>
      <c r="AH28">
        <v>1.38376906</v>
      </c>
      <c r="AI28">
        <v>2.25638785</v>
      </c>
      <c r="AJ28">
        <v>1.14311232</v>
      </c>
      <c r="AK28">
        <v>2.12422634</v>
      </c>
      <c r="AL28">
        <v>1.29635367</v>
      </c>
      <c r="AM28">
        <v>2.79507822</v>
      </c>
      <c r="AN28">
        <v>0.83132228</v>
      </c>
      <c r="AO28">
        <v>1.39799999</v>
      </c>
      <c r="AP28">
        <v>6.02308343</v>
      </c>
      <c r="AQ28">
        <v>5.3041006</v>
      </c>
      <c r="AR28">
        <v>4.29981634</v>
      </c>
      <c r="AS28">
        <v>4.50732775</v>
      </c>
      <c r="AT28">
        <v>4.30133105</v>
      </c>
      <c r="BN28">
        <v>1.225</v>
      </c>
      <c r="BO28">
        <v>0</v>
      </c>
      <c r="BP28">
        <v>0</v>
      </c>
      <c r="BQ28">
        <v>1.225</v>
      </c>
      <c r="BR28">
        <v>0</v>
      </c>
      <c r="BS28">
        <v>0</v>
      </c>
      <c r="BT28">
        <v>1.225</v>
      </c>
      <c r="BU28">
        <v>0</v>
      </c>
      <c r="BV28">
        <v>0</v>
      </c>
      <c r="BW28">
        <v>1.225</v>
      </c>
      <c r="BX28">
        <v>0</v>
      </c>
      <c r="BY28">
        <v>0</v>
      </c>
      <c r="BZ28">
        <v>1.225</v>
      </c>
      <c r="CA28">
        <v>0</v>
      </c>
      <c r="CB28">
        <v>0.98</v>
      </c>
      <c r="CC28">
        <v>0</v>
      </c>
    </row>
    <row r="29" spans="14:81">
      <c r="N29" s="5">
        <v>125</v>
      </c>
      <c r="O29" s="9">
        <v>1070.378</v>
      </c>
      <c r="P29" s="5">
        <v>-13.90338882</v>
      </c>
      <c r="Q29" s="9">
        <v>-1643.371</v>
      </c>
      <c r="R29" s="10">
        <v>-5663.962</v>
      </c>
      <c r="S29" s="10">
        <v>-6097.228</v>
      </c>
      <c r="T29" s="10">
        <v>-1132.597</v>
      </c>
      <c r="U29" s="10">
        <v>-4553.543</v>
      </c>
      <c r="V29" s="10">
        <v>-2534.109</v>
      </c>
      <c r="W29" s="10">
        <v>-1230.616</v>
      </c>
      <c r="X29" s="10">
        <v>-4674.316</v>
      </c>
      <c r="Y29" s="10">
        <v>-2774.522</v>
      </c>
      <c r="Z29" s="10">
        <v>-1174.611</v>
      </c>
      <c r="AA29" s="10">
        <v>-4401.862</v>
      </c>
      <c r="AB29" s="10">
        <v>-3946.198</v>
      </c>
      <c r="AC29" s="10">
        <v>-1210.785</v>
      </c>
      <c r="AE29">
        <v>125</v>
      </c>
      <c r="AF29">
        <v>1.67924316</v>
      </c>
      <c r="AG29">
        <v>2.30379489</v>
      </c>
      <c r="AH29">
        <v>1.38398166</v>
      </c>
      <c r="AI29">
        <v>2.35316029</v>
      </c>
      <c r="AJ29">
        <v>1.18105242</v>
      </c>
      <c r="AK29">
        <v>2.15535741</v>
      </c>
      <c r="AL29">
        <v>1.31762978</v>
      </c>
      <c r="AM29">
        <v>2.83229827</v>
      </c>
      <c r="AN29">
        <v>0.82978952</v>
      </c>
      <c r="AO29">
        <v>1.39568674</v>
      </c>
      <c r="AP29">
        <v>6.12489444</v>
      </c>
      <c r="AQ29">
        <v>5.4103299</v>
      </c>
      <c r="AR29">
        <v>4.37549983</v>
      </c>
      <c r="AS29">
        <v>4.61423179</v>
      </c>
      <c r="AT29">
        <v>4.36198386</v>
      </c>
      <c r="BN29">
        <v>1.275</v>
      </c>
      <c r="BO29">
        <v>0</v>
      </c>
      <c r="BP29">
        <v>0</v>
      </c>
      <c r="BQ29">
        <v>1.275</v>
      </c>
      <c r="BR29">
        <v>0</v>
      </c>
      <c r="BS29">
        <v>0</v>
      </c>
      <c r="BT29">
        <v>1.275</v>
      </c>
      <c r="BU29">
        <v>0</v>
      </c>
      <c r="BV29">
        <v>0</v>
      </c>
      <c r="BW29">
        <v>1.275</v>
      </c>
      <c r="BX29">
        <v>0</v>
      </c>
      <c r="BY29">
        <v>0</v>
      </c>
      <c r="BZ29">
        <v>1.275</v>
      </c>
      <c r="CA29">
        <v>0</v>
      </c>
      <c r="CB29">
        <v>1.02</v>
      </c>
      <c r="CC29">
        <v>0</v>
      </c>
    </row>
    <row r="30" spans="14:81">
      <c r="N30" s="5">
        <v>130</v>
      </c>
      <c r="O30" s="9">
        <v>1069.486</v>
      </c>
      <c r="P30" s="5">
        <v>-17.17418509</v>
      </c>
      <c r="Q30" s="9">
        <v>-1645.381</v>
      </c>
      <c r="R30" s="10">
        <v>-5664.68</v>
      </c>
      <c r="S30" s="10">
        <v>-6100.423</v>
      </c>
      <c r="T30" s="10">
        <v>-1134.016</v>
      </c>
      <c r="U30" s="10">
        <v>-4554.095</v>
      </c>
      <c r="V30" s="10">
        <v>-2537.806</v>
      </c>
      <c r="W30" s="10">
        <v>-1233.209</v>
      </c>
      <c r="X30" s="10">
        <v>-4675.374</v>
      </c>
      <c r="Y30" s="10">
        <v>-2778.404</v>
      </c>
      <c r="Z30" s="10">
        <v>-1176.824</v>
      </c>
      <c r="AA30" s="10">
        <v>-4402.891</v>
      </c>
      <c r="AB30" s="10">
        <v>-3948.707</v>
      </c>
      <c r="AC30" s="10">
        <v>-1213.946</v>
      </c>
      <c r="AE30">
        <v>130</v>
      </c>
      <c r="AF30">
        <v>1.69389659</v>
      </c>
      <c r="AG30">
        <v>2.36555239</v>
      </c>
      <c r="AH30">
        <v>1.41290297</v>
      </c>
      <c r="AI30">
        <v>2.38603781</v>
      </c>
      <c r="AJ30">
        <v>1.18081938</v>
      </c>
      <c r="AK30">
        <v>2.22498984</v>
      </c>
      <c r="AL30">
        <v>1.34988622</v>
      </c>
      <c r="AM30">
        <v>2.90127079</v>
      </c>
      <c r="AN30">
        <v>0.83108472</v>
      </c>
      <c r="AO30">
        <v>1.39166672</v>
      </c>
      <c r="AP30">
        <v>6.24603973</v>
      </c>
      <c r="AQ30">
        <v>5.51025344</v>
      </c>
      <c r="AR30">
        <v>4.4692484</v>
      </c>
      <c r="AS30">
        <v>4.69363329</v>
      </c>
      <c r="AT30">
        <v>4.43539598</v>
      </c>
      <c r="BN30">
        <v>1.325</v>
      </c>
      <c r="BO30">
        <v>0</v>
      </c>
      <c r="BP30">
        <v>0</v>
      </c>
      <c r="BQ30">
        <v>1.325</v>
      </c>
      <c r="BR30">
        <v>0</v>
      </c>
      <c r="BS30">
        <v>0</v>
      </c>
      <c r="BT30">
        <v>1.325</v>
      </c>
      <c r="BU30">
        <v>0</v>
      </c>
      <c r="BV30">
        <v>0</v>
      </c>
      <c r="BW30">
        <v>1.325</v>
      </c>
      <c r="BX30">
        <v>0</v>
      </c>
      <c r="BY30">
        <v>0</v>
      </c>
      <c r="BZ30">
        <v>1.325</v>
      </c>
      <c r="CA30">
        <v>0</v>
      </c>
      <c r="CB30">
        <v>1.06</v>
      </c>
      <c r="CC30">
        <v>0</v>
      </c>
    </row>
    <row r="31" spans="14:81">
      <c r="N31" s="5">
        <v>135</v>
      </c>
      <c r="O31" s="9">
        <v>1067.405</v>
      </c>
      <c r="P31" s="5">
        <v>-21.1082811</v>
      </c>
      <c r="Q31" s="9">
        <v>-1646.778</v>
      </c>
      <c r="R31" s="10">
        <v>-5664.839</v>
      </c>
      <c r="S31" s="10">
        <v>-6102.381</v>
      </c>
      <c r="T31" s="10">
        <v>-1134.158</v>
      </c>
      <c r="U31" s="10">
        <v>-4556.523</v>
      </c>
      <c r="V31" s="10">
        <v>-2541.265</v>
      </c>
      <c r="W31" s="10">
        <v>-1233.992</v>
      </c>
      <c r="X31" s="10">
        <v>-4676.836</v>
      </c>
      <c r="Y31" s="10">
        <v>-2783.79</v>
      </c>
      <c r="Z31" s="10">
        <v>-1177.655</v>
      </c>
      <c r="AA31" s="10">
        <v>-4404.839</v>
      </c>
      <c r="AB31" s="10">
        <v>-3949.897</v>
      </c>
      <c r="AC31" s="10">
        <v>-1214.921</v>
      </c>
      <c r="AE31">
        <v>135</v>
      </c>
      <c r="AF31">
        <v>1.74068137</v>
      </c>
      <c r="AG31">
        <v>2.41979492</v>
      </c>
      <c r="AH31">
        <v>1.42155372</v>
      </c>
      <c r="AI31">
        <v>2.41651809</v>
      </c>
      <c r="AJ31">
        <v>1.17551527</v>
      </c>
      <c r="AK31">
        <v>2.21021496</v>
      </c>
      <c r="AL31">
        <v>1.40211196</v>
      </c>
      <c r="AM31">
        <v>2.94583219</v>
      </c>
      <c r="AN31">
        <v>0.84213289</v>
      </c>
      <c r="AO31">
        <v>1.38600084</v>
      </c>
      <c r="AP31">
        <v>6.36565843</v>
      </c>
      <c r="AQ31">
        <v>5.59170364</v>
      </c>
      <c r="AR31">
        <v>4.53263495</v>
      </c>
      <c r="AS31">
        <v>4.79208523</v>
      </c>
      <c r="AT31">
        <v>4.48205</v>
      </c>
      <c r="BN31">
        <v>1.375</v>
      </c>
      <c r="BO31">
        <v>0</v>
      </c>
      <c r="BP31">
        <v>0</v>
      </c>
      <c r="BQ31">
        <v>1.375</v>
      </c>
      <c r="BR31">
        <v>0</v>
      </c>
      <c r="BS31">
        <v>0</v>
      </c>
      <c r="BT31">
        <v>1.375</v>
      </c>
      <c r="BU31">
        <v>0</v>
      </c>
      <c r="BV31">
        <v>0</v>
      </c>
      <c r="BW31">
        <v>1.375</v>
      </c>
      <c r="BX31">
        <v>0</v>
      </c>
      <c r="BY31">
        <v>0</v>
      </c>
      <c r="BZ31">
        <v>1.375</v>
      </c>
      <c r="CA31">
        <v>0</v>
      </c>
      <c r="CB31">
        <v>1.1</v>
      </c>
      <c r="CC31">
        <v>0</v>
      </c>
    </row>
    <row r="32" spans="14:81">
      <c r="N32" s="5">
        <v>140</v>
      </c>
      <c r="O32" s="9">
        <v>1066.305</v>
      </c>
      <c r="P32" s="5">
        <v>-23.22111602</v>
      </c>
      <c r="Q32" s="9">
        <v>-1647.029</v>
      </c>
      <c r="R32" s="10">
        <v>-5663.332</v>
      </c>
      <c r="S32" s="10">
        <v>-6104.651</v>
      </c>
      <c r="T32" s="10">
        <v>-1136.977</v>
      </c>
      <c r="U32" s="10">
        <v>-4556.762</v>
      </c>
      <c r="V32" s="10">
        <v>-2543.955</v>
      </c>
      <c r="W32" s="10">
        <v>-1236.174</v>
      </c>
      <c r="X32" s="10">
        <v>-4676.258</v>
      </c>
      <c r="Y32" s="10">
        <v>-2783.292</v>
      </c>
      <c r="Z32" s="10">
        <v>-1179.683</v>
      </c>
      <c r="AA32" s="10">
        <v>-4405.517</v>
      </c>
      <c r="AB32" s="10">
        <v>-3954.234</v>
      </c>
      <c r="AC32" s="10">
        <v>-1216.772</v>
      </c>
      <c r="AE32">
        <v>140</v>
      </c>
      <c r="AF32">
        <v>1.76592499</v>
      </c>
      <c r="AG32">
        <v>2.45802976</v>
      </c>
      <c r="AH32">
        <v>1.4561411</v>
      </c>
      <c r="AI32">
        <v>2.50767534</v>
      </c>
      <c r="AJ32">
        <v>1.17485183</v>
      </c>
      <c r="AK32">
        <v>2.27010536</v>
      </c>
      <c r="AL32">
        <v>1.40747576</v>
      </c>
      <c r="AM32">
        <v>2.97630281</v>
      </c>
      <c r="AN32">
        <v>0.83604671</v>
      </c>
      <c r="AO32">
        <v>1.42516678</v>
      </c>
      <c r="AP32">
        <v>6.45996492</v>
      </c>
      <c r="AQ32">
        <v>5.6938494</v>
      </c>
      <c r="AR32">
        <v>4.60486556</v>
      </c>
      <c r="AS32">
        <v>4.88729053</v>
      </c>
      <c r="AT32">
        <v>4.54165905</v>
      </c>
      <c r="BN32">
        <v>1.425</v>
      </c>
      <c r="BO32">
        <v>0</v>
      </c>
      <c r="BP32">
        <v>0</v>
      </c>
      <c r="BQ32">
        <v>1.425</v>
      </c>
      <c r="BR32">
        <v>0</v>
      </c>
      <c r="BS32">
        <v>0</v>
      </c>
      <c r="BT32">
        <v>1.425</v>
      </c>
      <c r="BU32">
        <v>0</v>
      </c>
      <c r="BV32">
        <v>0</v>
      </c>
      <c r="BW32">
        <v>1.425</v>
      </c>
      <c r="BX32">
        <v>0</v>
      </c>
      <c r="BY32">
        <v>0</v>
      </c>
      <c r="BZ32">
        <v>1.425</v>
      </c>
      <c r="CA32">
        <v>0</v>
      </c>
      <c r="CB32">
        <v>1.14</v>
      </c>
      <c r="CC32">
        <v>0</v>
      </c>
    </row>
    <row r="33" spans="14:81">
      <c r="N33" s="5">
        <v>145</v>
      </c>
      <c r="O33" s="9">
        <v>1065.309</v>
      </c>
      <c r="P33" s="5">
        <v>-26.10640065</v>
      </c>
      <c r="Q33" s="9">
        <v>-1648.374</v>
      </c>
      <c r="R33" s="10">
        <v>-5665.297</v>
      </c>
      <c r="S33" s="10">
        <v>-6105.259</v>
      </c>
      <c r="T33" s="10">
        <v>-1136.406</v>
      </c>
      <c r="U33" s="10">
        <v>-4557.74</v>
      </c>
      <c r="V33" s="10">
        <v>-2547.621</v>
      </c>
      <c r="W33" s="10">
        <v>-1238.581</v>
      </c>
      <c r="X33" s="10">
        <v>-4673.758</v>
      </c>
      <c r="Y33" s="10">
        <v>-2783.985</v>
      </c>
      <c r="Z33" s="10">
        <v>-1182.116</v>
      </c>
      <c r="AA33" s="10">
        <v>-4405.918</v>
      </c>
      <c r="AB33" s="10">
        <v>-3957.262</v>
      </c>
      <c r="AC33" s="10">
        <v>-1218.749</v>
      </c>
      <c r="AE33">
        <v>145</v>
      </c>
      <c r="AF33">
        <v>1.78555366</v>
      </c>
      <c r="AG33">
        <v>2.49791951</v>
      </c>
      <c r="AH33">
        <v>1.51688022</v>
      </c>
      <c r="AI33">
        <v>2.59323143</v>
      </c>
      <c r="AJ33">
        <v>1.22722291</v>
      </c>
      <c r="AK33">
        <v>2.33161156</v>
      </c>
      <c r="AL33">
        <v>1.41055357</v>
      </c>
      <c r="AM33">
        <v>2.9996757</v>
      </c>
      <c r="AN33">
        <v>0.84081743</v>
      </c>
      <c r="AO33">
        <v>1.41891004</v>
      </c>
      <c r="AP33">
        <v>6.55052566</v>
      </c>
      <c r="AQ33">
        <v>5.80231718</v>
      </c>
      <c r="AR33">
        <v>4.67477852</v>
      </c>
      <c r="AS33">
        <v>4.96741999</v>
      </c>
      <c r="AT33">
        <v>4.6125239</v>
      </c>
      <c r="BN33">
        <v>1.475</v>
      </c>
      <c r="BO33">
        <v>0</v>
      </c>
      <c r="BP33">
        <v>0</v>
      </c>
      <c r="BQ33">
        <v>1.475</v>
      </c>
      <c r="BR33">
        <v>0</v>
      </c>
      <c r="BS33">
        <v>0</v>
      </c>
      <c r="BT33">
        <v>1.475</v>
      </c>
      <c r="BU33">
        <v>0</v>
      </c>
      <c r="BV33">
        <v>0</v>
      </c>
      <c r="BW33">
        <v>1.475</v>
      </c>
      <c r="BX33">
        <v>0</v>
      </c>
      <c r="BY33">
        <v>0</v>
      </c>
      <c r="BZ33">
        <v>1.475</v>
      </c>
      <c r="CA33">
        <v>0</v>
      </c>
      <c r="CB33">
        <v>1.18</v>
      </c>
      <c r="CC33">
        <v>0</v>
      </c>
    </row>
    <row r="34" spans="14:81">
      <c r="N34" s="5">
        <v>150</v>
      </c>
      <c r="O34" s="9">
        <v>1064.057</v>
      </c>
      <c r="P34" s="5">
        <v>-26.75845956</v>
      </c>
      <c r="Q34" s="9">
        <v>-1649.921</v>
      </c>
      <c r="R34" s="10">
        <v>-5665.341</v>
      </c>
      <c r="S34" s="10">
        <v>-6108.016</v>
      </c>
      <c r="T34" s="10">
        <v>-1137.15</v>
      </c>
      <c r="U34" s="10">
        <v>-4558.762</v>
      </c>
      <c r="V34" s="10">
        <v>-2552.38</v>
      </c>
      <c r="W34" s="10">
        <v>-1241.194</v>
      </c>
      <c r="X34" s="10">
        <v>-4672.832</v>
      </c>
      <c r="Y34" s="10">
        <v>-2784.82</v>
      </c>
      <c r="Z34" s="10">
        <v>-1185.008</v>
      </c>
      <c r="AA34" s="10">
        <v>-4407.01</v>
      </c>
      <c r="AB34" s="10">
        <v>-3960.166</v>
      </c>
      <c r="AC34" s="10">
        <v>-1219.974</v>
      </c>
      <c r="AE34">
        <v>150</v>
      </c>
      <c r="AF34">
        <v>1.80745986</v>
      </c>
      <c r="AG34">
        <v>2.54067342</v>
      </c>
      <c r="AH34">
        <v>1.57435157</v>
      </c>
      <c r="AI34">
        <v>2.68010887</v>
      </c>
      <c r="AJ34">
        <v>1.22031162</v>
      </c>
      <c r="AK34">
        <v>2.32524358</v>
      </c>
      <c r="AL34">
        <v>1.464674</v>
      </c>
      <c r="AM34">
        <v>3.02962011</v>
      </c>
      <c r="AN34">
        <v>0.8327277</v>
      </c>
      <c r="AO34">
        <v>1.427009</v>
      </c>
      <c r="AP34">
        <v>6.63468912</v>
      </c>
      <c r="AQ34">
        <v>5.92519898</v>
      </c>
      <c r="AR34">
        <v>4.74110175</v>
      </c>
      <c r="AS34">
        <v>5.07513997</v>
      </c>
      <c r="AT34">
        <v>4.67400798</v>
      </c>
      <c r="BN34">
        <v>1.525</v>
      </c>
      <c r="BO34">
        <v>0</v>
      </c>
      <c r="BP34">
        <v>0</v>
      </c>
      <c r="BQ34">
        <v>1.525</v>
      </c>
      <c r="BR34">
        <v>0</v>
      </c>
      <c r="BS34">
        <v>0</v>
      </c>
      <c r="BT34">
        <v>1.525</v>
      </c>
      <c r="BU34">
        <v>0</v>
      </c>
      <c r="BV34">
        <v>0</v>
      </c>
      <c r="BW34">
        <v>1.525</v>
      </c>
      <c r="BX34">
        <v>0</v>
      </c>
      <c r="BY34">
        <v>0</v>
      </c>
      <c r="BZ34">
        <v>1.525</v>
      </c>
      <c r="CA34">
        <v>0</v>
      </c>
      <c r="CB34">
        <v>1.22</v>
      </c>
      <c r="CC34">
        <v>0</v>
      </c>
    </row>
    <row r="35" spans="14:81">
      <c r="N35" s="5">
        <v>155</v>
      </c>
      <c r="O35" s="9">
        <v>1062.747</v>
      </c>
      <c r="P35" s="5">
        <v>-28.9435059</v>
      </c>
      <c r="Q35" s="9">
        <v>-1651.643</v>
      </c>
      <c r="R35" s="10">
        <v>-5664.778</v>
      </c>
      <c r="S35" s="10">
        <v>-6107.247</v>
      </c>
      <c r="T35" s="10">
        <v>-1139.281</v>
      </c>
      <c r="U35" s="10">
        <v>-4558.858</v>
      </c>
      <c r="V35" s="10">
        <v>-2555.344</v>
      </c>
      <c r="W35" s="10">
        <v>-1243.519</v>
      </c>
      <c r="X35" s="10">
        <v>-4674.243</v>
      </c>
      <c r="Y35" s="10">
        <v>-2788.088</v>
      </c>
      <c r="Z35" s="10">
        <v>-1186.799</v>
      </c>
      <c r="AA35" s="10">
        <v>-4407.758</v>
      </c>
      <c r="AB35" s="10">
        <v>-3963.541</v>
      </c>
      <c r="AC35" s="10">
        <v>-1221.982</v>
      </c>
      <c r="AE35">
        <v>155</v>
      </c>
      <c r="AF35">
        <v>1.83577242</v>
      </c>
      <c r="AG35">
        <v>2.57390763</v>
      </c>
      <c r="AH35">
        <v>1.62462275</v>
      </c>
      <c r="AI35">
        <v>2.74923256</v>
      </c>
      <c r="AJ35">
        <v>1.24070248</v>
      </c>
      <c r="AK35">
        <v>2.32969965</v>
      </c>
      <c r="AL35">
        <v>1.51009165</v>
      </c>
      <c r="AM35">
        <v>3.08321857</v>
      </c>
      <c r="AN35">
        <v>0.875028</v>
      </c>
      <c r="AO35">
        <v>1.44660684</v>
      </c>
      <c r="AP35">
        <v>6.73295829</v>
      </c>
      <c r="AQ35">
        <v>6.04800705</v>
      </c>
      <c r="AR35">
        <v>4.80587404</v>
      </c>
      <c r="AS35">
        <v>5.17821121</v>
      </c>
      <c r="AT35">
        <v>4.73481298</v>
      </c>
      <c r="BN35">
        <v>1.575</v>
      </c>
      <c r="BO35">
        <v>0</v>
      </c>
      <c r="BP35">
        <v>0</v>
      </c>
      <c r="BQ35">
        <v>1.575</v>
      </c>
      <c r="BR35">
        <v>0</v>
      </c>
      <c r="BS35">
        <v>0</v>
      </c>
      <c r="BT35">
        <v>1.575</v>
      </c>
      <c r="BU35">
        <v>0</v>
      </c>
      <c r="BV35">
        <v>0</v>
      </c>
      <c r="BW35">
        <v>1.575</v>
      </c>
      <c r="BX35">
        <v>0</v>
      </c>
      <c r="BY35">
        <v>0</v>
      </c>
      <c r="BZ35">
        <v>1.575</v>
      </c>
      <c r="CA35">
        <v>0</v>
      </c>
      <c r="CB35">
        <v>1.26</v>
      </c>
      <c r="CC35">
        <v>0</v>
      </c>
    </row>
    <row r="36" spans="14:81">
      <c r="N36" s="5">
        <v>160</v>
      </c>
      <c r="O36" s="9">
        <v>1061.223</v>
      </c>
      <c r="P36" s="5">
        <v>-31.22289125</v>
      </c>
      <c r="Q36" s="9">
        <v>-1653.079</v>
      </c>
      <c r="R36" s="10">
        <v>-5664.281</v>
      </c>
      <c r="S36" s="10">
        <v>-6109.835</v>
      </c>
      <c r="T36" s="10">
        <v>-1142.661</v>
      </c>
      <c r="U36" s="10">
        <v>-4559.651</v>
      </c>
      <c r="V36" s="10">
        <v>-2558.572</v>
      </c>
      <c r="W36" s="10">
        <v>-1245.176</v>
      </c>
      <c r="X36" s="10">
        <v>-4674.509</v>
      </c>
      <c r="Y36" s="10">
        <v>-2792.773</v>
      </c>
      <c r="Z36" s="10">
        <v>-1188.069</v>
      </c>
      <c r="AA36" s="10">
        <v>-4408.335</v>
      </c>
      <c r="AB36" s="10">
        <v>-3967.457</v>
      </c>
      <c r="AC36" s="10">
        <v>-1223.894</v>
      </c>
      <c r="AE36">
        <v>160</v>
      </c>
      <c r="AF36">
        <v>1.83774171</v>
      </c>
      <c r="AG36">
        <v>2.57814961</v>
      </c>
      <c r="AH36">
        <v>1.66032172</v>
      </c>
      <c r="AI36">
        <v>2.77761412</v>
      </c>
      <c r="AJ36">
        <v>1.27027103</v>
      </c>
      <c r="AK36">
        <v>2.37682196</v>
      </c>
      <c r="AL36">
        <v>1.56501082</v>
      </c>
      <c r="AM36">
        <v>3.13769765</v>
      </c>
      <c r="AN36">
        <v>0.85869417</v>
      </c>
      <c r="AO36">
        <v>1.46436426</v>
      </c>
      <c r="AP36">
        <v>6.81174036</v>
      </c>
      <c r="AQ36">
        <v>6.15647897</v>
      </c>
      <c r="AR36">
        <v>4.88058247</v>
      </c>
      <c r="AS36">
        <v>5.26370788</v>
      </c>
      <c r="AT36">
        <v>4.79900988</v>
      </c>
      <c r="BN36">
        <v>1.625</v>
      </c>
      <c r="BO36">
        <v>0</v>
      </c>
      <c r="BP36">
        <v>0</v>
      </c>
      <c r="BQ36">
        <v>1.625</v>
      </c>
      <c r="BR36">
        <v>0</v>
      </c>
      <c r="BS36">
        <v>0</v>
      </c>
      <c r="BT36">
        <v>1.625</v>
      </c>
      <c r="BU36">
        <v>0</v>
      </c>
      <c r="BV36">
        <v>0</v>
      </c>
      <c r="BW36">
        <v>1.625</v>
      </c>
      <c r="BX36">
        <v>0</v>
      </c>
      <c r="BY36">
        <v>0</v>
      </c>
      <c r="BZ36">
        <v>1.625</v>
      </c>
      <c r="CA36">
        <v>0</v>
      </c>
      <c r="CB36">
        <v>1.3</v>
      </c>
      <c r="CC36">
        <v>0</v>
      </c>
    </row>
    <row r="37" spans="14:81">
      <c r="N37" s="5">
        <v>165</v>
      </c>
      <c r="O37" s="9">
        <v>1061.176</v>
      </c>
      <c r="P37" s="5">
        <v>-34.39615564</v>
      </c>
      <c r="Q37" s="9">
        <v>-1653.375</v>
      </c>
      <c r="R37" s="10">
        <v>-5662.817</v>
      </c>
      <c r="S37" s="10">
        <v>-6109.821</v>
      </c>
      <c r="T37" s="10">
        <v>-1144.103</v>
      </c>
      <c r="U37" s="10">
        <v>-4559.614</v>
      </c>
      <c r="V37" s="10">
        <v>-2562.109</v>
      </c>
      <c r="W37" s="10">
        <v>-1247.629</v>
      </c>
      <c r="X37" s="10">
        <v>-4675.155</v>
      </c>
      <c r="Y37" s="10">
        <v>-2793.931</v>
      </c>
      <c r="Z37" s="10">
        <v>-1189.421</v>
      </c>
      <c r="AA37" s="10">
        <v>-4409.331</v>
      </c>
      <c r="AB37" s="10">
        <v>-3971.788</v>
      </c>
      <c r="AC37" s="10">
        <v>-1226.101</v>
      </c>
      <c r="AE37">
        <v>165</v>
      </c>
      <c r="AF37">
        <v>1.86181858</v>
      </c>
      <c r="AG37">
        <v>2.61241068</v>
      </c>
      <c r="AH37">
        <v>1.68480038</v>
      </c>
      <c r="AI37">
        <v>2.85504971</v>
      </c>
      <c r="AJ37">
        <v>1.28115695</v>
      </c>
      <c r="AK37">
        <v>2.38132222</v>
      </c>
      <c r="AL37">
        <v>1.56560386</v>
      </c>
      <c r="AM37">
        <v>3.18848613</v>
      </c>
      <c r="AN37">
        <v>0.86554706</v>
      </c>
      <c r="AO37">
        <v>1.44607245</v>
      </c>
      <c r="AP37">
        <v>6.89370814</v>
      </c>
      <c r="AQ37">
        <v>6.2541365</v>
      </c>
      <c r="AR37">
        <v>4.93776265</v>
      </c>
      <c r="AS37">
        <v>5.35895737</v>
      </c>
      <c r="AT37">
        <v>4.87347106</v>
      </c>
      <c r="BN37">
        <v>1.675</v>
      </c>
      <c r="BO37">
        <v>0.07650637</v>
      </c>
      <c r="BP37">
        <v>0</v>
      </c>
      <c r="BQ37">
        <v>1.675</v>
      </c>
      <c r="BR37">
        <v>0.04097448</v>
      </c>
      <c r="BS37">
        <v>0</v>
      </c>
      <c r="BT37">
        <v>1.675</v>
      </c>
      <c r="BU37">
        <v>0</v>
      </c>
      <c r="BV37">
        <v>0</v>
      </c>
      <c r="BW37">
        <v>1.675</v>
      </c>
      <c r="BX37">
        <v>0.04189412</v>
      </c>
      <c r="BY37">
        <v>0</v>
      </c>
      <c r="BZ37">
        <v>1.675</v>
      </c>
      <c r="CA37">
        <v>0.04277141</v>
      </c>
      <c r="CB37">
        <v>1.34</v>
      </c>
      <c r="CC37">
        <v>0</v>
      </c>
    </row>
    <row r="38" spans="14:81">
      <c r="N38" s="5">
        <v>170</v>
      </c>
      <c r="O38" s="9">
        <v>1060.419</v>
      </c>
      <c r="P38" s="5">
        <v>-37.18437518</v>
      </c>
      <c r="Q38" s="9">
        <v>-1655.201</v>
      </c>
      <c r="R38" s="10">
        <v>-5662.504</v>
      </c>
      <c r="S38" s="10">
        <v>-6111.542</v>
      </c>
      <c r="T38" s="10">
        <v>-1145.312</v>
      </c>
      <c r="U38" s="10">
        <v>-4558.74</v>
      </c>
      <c r="V38" s="10">
        <v>-2565.889</v>
      </c>
      <c r="W38" s="10">
        <v>-1249.784</v>
      </c>
      <c r="X38" s="10">
        <v>-4675.472</v>
      </c>
      <c r="Y38" s="10">
        <v>-2793.97</v>
      </c>
      <c r="Z38" s="10">
        <v>-1190.763</v>
      </c>
      <c r="AA38" s="10">
        <v>-4410.105</v>
      </c>
      <c r="AB38" s="10">
        <v>-3976.56</v>
      </c>
      <c r="AC38" s="10">
        <v>-1227.671</v>
      </c>
      <c r="AE38">
        <v>170</v>
      </c>
      <c r="AF38">
        <v>1.89741727</v>
      </c>
      <c r="AG38">
        <v>2.68238634</v>
      </c>
      <c r="AH38">
        <v>1.73894112</v>
      </c>
      <c r="AI38">
        <v>2.93944557</v>
      </c>
      <c r="AJ38">
        <v>1.29004977</v>
      </c>
      <c r="AK38">
        <v>2.3710931</v>
      </c>
      <c r="AL38">
        <v>1.57918941</v>
      </c>
      <c r="AM38">
        <v>3.21774428</v>
      </c>
      <c r="AN38">
        <v>0.89358799</v>
      </c>
      <c r="AO38">
        <v>1.45425081</v>
      </c>
      <c r="AP38">
        <v>6.97040441</v>
      </c>
      <c r="AQ38">
        <v>6.38345095</v>
      </c>
      <c r="AR38">
        <v>5.01085957</v>
      </c>
      <c r="AS38">
        <v>5.45896773</v>
      </c>
      <c r="AT38">
        <v>4.945387</v>
      </c>
      <c r="BN38">
        <v>1.725</v>
      </c>
      <c r="BO38">
        <v>1.082037</v>
      </c>
      <c r="BP38">
        <v>0</v>
      </c>
      <c r="BQ38">
        <v>1.725</v>
      </c>
      <c r="BR38">
        <v>0.65677351</v>
      </c>
      <c r="BS38">
        <v>2.43875459</v>
      </c>
      <c r="BT38">
        <v>1.725</v>
      </c>
      <c r="BU38">
        <v>0.60988678</v>
      </c>
      <c r="BV38">
        <v>1.02664275</v>
      </c>
      <c r="BW38">
        <v>1.725</v>
      </c>
      <c r="BX38">
        <v>0.35550753</v>
      </c>
      <c r="BY38">
        <v>1.49609421</v>
      </c>
      <c r="BZ38">
        <v>1.725</v>
      </c>
      <c r="CA38">
        <v>0.72590426</v>
      </c>
      <c r="CB38">
        <v>1.38</v>
      </c>
      <c r="CC38">
        <v>0</v>
      </c>
    </row>
    <row r="39" spans="14:81">
      <c r="N39" s="5">
        <v>175</v>
      </c>
      <c r="O39" s="9">
        <v>1059.206</v>
      </c>
      <c r="P39" s="5">
        <v>-40.09446778</v>
      </c>
      <c r="Q39" s="9">
        <v>-1656.48</v>
      </c>
      <c r="R39" s="10">
        <v>-5663.608</v>
      </c>
      <c r="S39" s="10">
        <v>-6112.289</v>
      </c>
      <c r="T39" s="10">
        <v>-1145.865</v>
      </c>
      <c r="U39" s="10">
        <v>-4558.665</v>
      </c>
      <c r="V39" s="10">
        <v>-2565.182</v>
      </c>
      <c r="W39" s="10">
        <v>-1251.126</v>
      </c>
      <c r="X39" s="10">
        <v>-4676.456</v>
      </c>
      <c r="Y39" s="10">
        <v>-2797.143</v>
      </c>
      <c r="Z39" s="10">
        <v>-1191.094</v>
      </c>
      <c r="AA39" s="10">
        <v>-4410.155</v>
      </c>
      <c r="AB39" s="10">
        <v>-3978.394</v>
      </c>
      <c r="AC39" s="10">
        <v>-1229.195</v>
      </c>
      <c r="AE39">
        <v>175</v>
      </c>
      <c r="AF39">
        <v>1.88690927</v>
      </c>
      <c r="AG39">
        <v>2.73936129</v>
      </c>
      <c r="AH39">
        <v>1.74461471</v>
      </c>
      <c r="AI39">
        <v>2.97043415</v>
      </c>
      <c r="AJ39">
        <v>1.33287773</v>
      </c>
      <c r="AK39">
        <v>2.42578244</v>
      </c>
      <c r="AL39">
        <v>1.65991919</v>
      </c>
      <c r="AM39">
        <v>3.30486806</v>
      </c>
      <c r="AN39">
        <v>0.91726021</v>
      </c>
      <c r="AO39">
        <v>1.46794588</v>
      </c>
      <c r="AP39">
        <v>7.02564141</v>
      </c>
      <c r="AQ39">
        <v>6.4846463</v>
      </c>
      <c r="AR39">
        <v>5.10043246</v>
      </c>
      <c r="AS39">
        <v>5.57748649</v>
      </c>
      <c r="AT39">
        <v>5.03107156</v>
      </c>
      <c r="BN39">
        <v>1.775</v>
      </c>
      <c r="BO39">
        <v>3.67898304</v>
      </c>
      <c r="BP39">
        <v>13.76212175</v>
      </c>
      <c r="BQ39">
        <v>1.775</v>
      </c>
      <c r="BR39">
        <v>2.59064694</v>
      </c>
      <c r="BS39">
        <v>13.81982434</v>
      </c>
      <c r="BT39">
        <v>1.775</v>
      </c>
      <c r="BU39">
        <v>2.76486309</v>
      </c>
      <c r="BV39">
        <v>13.08989867</v>
      </c>
      <c r="BW39">
        <v>1.775</v>
      </c>
      <c r="BX39">
        <v>1.71611862</v>
      </c>
      <c r="BY39">
        <v>11.77499872</v>
      </c>
      <c r="BZ39">
        <v>1.775</v>
      </c>
      <c r="CA39">
        <v>1.9805844</v>
      </c>
      <c r="CB39">
        <v>1.42</v>
      </c>
      <c r="CC39">
        <v>0</v>
      </c>
    </row>
    <row r="40" spans="14:81">
      <c r="N40" s="5">
        <v>180</v>
      </c>
      <c r="O40" s="9">
        <v>1059.116</v>
      </c>
      <c r="P40" s="5">
        <v>-41.4304514</v>
      </c>
      <c r="Q40" s="9">
        <v>-1658.162</v>
      </c>
      <c r="R40" s="10">
        <v>-5665.231</v>
      </c>
      <c r="S40" s="10">
        <v>-6114.153</v>
      </c>
      <c r="T40" s="10">
        <v>-1146.138</v>
      </c>
      <c r="U40" s="10">
        <v>-4558.679</v>
      </c>
      <c r="V40" s="10">
        <v>-2565.685</v>
      </c>
      <c r="W40" s="10">
        <v>-1252.581</v>
      </c>
      <c r="X40" s="10">
        <v>-4676.165</v>
      </c>
      <c r="Y40" s="10">
        <v>-2800.205</v>
      </c>
      <c r="Z40" s="10">
        <v>-1193.225</v>
      </c>
      <c r="AA40" s="10">
        <v>-4411.264</v>
      </c>
      <c r="AB40" s="10">
        <v>-3980.136</v>
      </c>
      <c r="AC40" s="10">
        <v>-1229.271</v>
      </c>
      <c r="AE40">
        <v>180</v>
      </c>
      <c r="AF40">
        <v>1.92405967</v>
      </c>
      <c r="AG40">
        <v>2.79693054</v>
      </c>
      <c r="AH40">
        <v>1.80380611</v>
      </c>
      <c r="AI40">
        <v>3.0937042</v>
      </c>
      <c r="AJ40">
        <v>1.33170341</v>
      </c>
      <c r="AK40">
        <v>2.46410762</v>
      </c>
      <c r="AL40">
        <v>1.6742088</v>
      </c>
      <c r="AM40">
        <v>3.3118901</v>
      </c>
      <c r="AN40">
        <v>0.87955672</v>
      </c>
      <c r="AO40">
        <v>1.50404564</v>
      </c>
      <c r="AP40">
        <v>7.09378622</v>
      </c>
      <c r="AQ40">
        <v>6.59431866</v>
      </c>
      <c r="AR40">
        <v>5.16536877</v>
      </c>
      <c r="AS40">
        <v>5.65177886</v>
      </c>
      <c r="AT40">
        <v>5.09012381</v>
      </c>
      <c r="BN40">
        <v>1.825</v>
      </c>
      <c r="BO40">
        <v>8.12039398</v>
      </c>
      <c r="BP40">
        <v>32.95284877</v>
      </c>
      <c r="BQ40">
        <v>1.825</v>
      </c>
      <c r="BR40">
        <v>7.28290871</v>
      </c>
      <c r="BS40">
        <v>54.90657357</v>
      </c>
      <c r="BT40">
        <v>1.825</v>
      </c>
      <c r="BU40">
        <v>4.57703473</v>
      </c>
      <c r="BV40">
        <v>43.1094918</v>
      </c>
      <c r="BW40">
        <v>1.825</v>
      </c>
      <c r="BX40">
        <v>5.5759528</v>
      </c>
      <c r="BY40">
        <v>28.51499914</v>
      </c>
      <c r="BZ40">
        <v>1.825</v>
      </c>
      <c r="CA40">
        <v>4.68388143</v>
      </c>
      <c r="CB40">
        <v>1.46</v>
      </c>
      <c r="CC40">
        <v>0</v>
      </c>
    </row>
    <row r="41" spans="14:81">
      <c r="N41" s="5">
        <v>185</v>
      </c>
      <c r="O41" s="9">
        <v>1059.365</v>
      </c>
      <c r="P41" s="5">
        <v>-44.74867375</v>
      </c>
      <c r="Q41" s="9">
        <v>-1659.575</v>
      </c>
      <c r="R41" s="10">
        <v>-5665.295</v>
      </c>
      <c r="S41" s="10">
        <v>-6115.919</v>
      </c>
      <c r="T41" s="10">
        <v>-1146.939</v>
      </c>
      <c r="U41" s="10">
        <v>-4557.324</v>
      </c>
      <c r="V41" s="10">
        <v>-2567.8</v>
      </c>
      <c r="W41" s="10">
        <v>-1253.206</v>
      </c>
      <c r="X41" s="10">
        <v>-4676.508</v>
      </c>
      <c r="Y41" s="10">
        <v>-2804.085</v>
      </c>
      <c r="Z41" s="10">
        <v>-1195.309</v>
      </c>
      <c r="AA41" s="10">
        <v>-4412.25</v>
      </c>
      <c r="AB41" s="10">
        <v>-3983.274</v>
      </c>
      <c r="AC41" s="10">
        <v>-1229.841</v>
      </c>
      <c r="AE41">
        <v>185</v>
      </c>
      <c r="AF41">
        <v>1.9617468</v>
      </c>
      <c r="AG41">
        <v>2.85903278</v>
      </c>
      <c r="AH41">
        <v>1.86379903</v>
      </c>
      <c r="AI41">
        <v>3.20350605</v>
      </c>
      <c r="AJ41">
        <v>1.35199564</v>
      </c>
      <c r="AK41">
        <v>2.51940268</v>
      </c>
      <c r="AL41">
        <v>1.71202672</v>
      </c>
      <c r="AM41">
        <v>3.38287624</v>
      </c>
      <c r="AN41">
        <v>0.90948721</v>
      </c>
      <c r="AO41">
        <v>1.52381798</v>
      </c>
      <c r="AP41">
        <v>7.14962871</v>
      </c>
      <c r="AQ41">
        <v>6.71409605</v>
      </c>
      <c r="AR41">
        <v>5.22436516</v>
      </c>
      <c r="AS41">
        <v>5.75927032</v>
      </c>
      <c r="AT41">
        <v>5.16757889</v>
      </c>
      <c r="BN41">
        <v>1.875</v>
      </c>
      <c r="BO41">
        <v>11.26490539</v>
      </c>
      <c r="BP41">
        <v>73.6149356</v>
      </c>
      <c r="BQ41">
        <v>1.875</v>
      </c>
      <c r="BR41">
        <v>10.75828218</v>
      </c>
      <c r="BS41">
        <v>89.99842597</v>
      </c>
      <c r="BT41">
        <v>1.875</v>
      </c>
      <c r="BU41">
        <v>8.74121902</v>
      </c>
      <c r="BV41">
        <v>76.46845934</v>
      </c>
      <c r="BW41">
        <v>1.875</v>
      </c>
      <c r="BX41">
        <v>7.95726061</v>
      </c>
      <c r="BY41">
        <v>73.44584977</v>
      </c>
      <c r="BZ41">
        <v>1.875</v>
      </c>
      <c r="CA41">
        <v>7.30467564</v>
      </c>
      <c r="CB41">
        <v>1.5</v>
      </c>
      <c r="CC41">
        <v>0</v>
      </c>
    </row>
    <row r="42" spans="14:81">
      <c r="N42" s="5">
        <v>190</v>
      </c>
      <c r="O42" s="9">
        <v>1058.143</v>
      </c>
      <c r="P42" s="5">
        <v>-48.95629142</v>
      </c>
      <c r="Q42" s="9">
        <v>-1660.068</v>
      </c>
      <c r="R42" s="10">
        <v>-5665.689</v>
      </c>
      <c r="S42" s="10">
        <v>-6116.256</v>
      </c>
      <c r="T42" s="10">
        <v>-1146.64</v>
      </c>
      <c r="U42" s="10">
        <v>-4557.163</v>
      </c>
      <c r="V42" s="10">
        <v>-2570.896</v>
      </c>
      <c r="W42" s="10">
        <v>-1254.1</v>
      </c>
      <c r="X42" s="10">
        <v>-4677.588</v>
      </c>
      <c r="Y42" s="10">
        <v>-2804.385</v>
      </c>
      <c r="Z42" s="10">
        <v>-1196.636</v>
      </c>
      <c r="AA42" s="10">
        <v>-4412.631</v>
      </c>
      <c r="AB42" s="10">
        <v>-3987.999</v>
      </c>
      <c r="AC42" s="10">
        <v>-1232.631</v>
      </c>
      <c r="AE42">
        <v>190</v>
      </c>
      <c r="AF42">
        <v>1.93861292</v>
      </c>
      <c r="AG42">
        <v>2.86634297</v>
      </c>
      <c r="AH42">
        <v>1.90765657</v>
      </c>
      <c r="AI42">
        <v>3.28105147</v>
      </c>
      <c r="AJ42">
        <v>1.37157583</v>
      </c>
      <c r="AK42">
        <v>2.54145993</v>
      </c>
      <c r="AL42">
        <v>1.73198394</v>
      </c>
      <c r="AM42">
        <v>3.40877726</v>
      </c>
      <c r="AN42">
        <v>0.9150882</v>
      </c>
      <c r="AO42">
        <v>1.53094196</v>
      </c>
      <c r="AP42">
        <v>7.19619924</v>
      </c>
      <c r="AQ42">
        <v>6.81059225</v>
      </c>
      <c r="AR42">
        <v>5.28785879</v>
      </c>
      <c r="AS42">
        <v>5.85136242</v>
      </c>
      <c r="AT42">
        <v>5.23155371</v>
      </c>
      <c r="BN42">
        <v>1.925</v>
      </c>
      <c r="BO42">
        <v>12.22238696</v>
      </c>
      <c r="BP42">
        <v>89.95184432</v>
      </c>
      <c r="BQ42">
        <v>1.925</v>
      </c>
      <c r="BR42">
        <v>14.64304605</v>
      </c>
      <c r="BS42">
        <v>105.75102375</v>
      </c>
      <c r="BT42">
        <v>1.925</v>
      </c>
      <c r="BU42">
        <v>11.49273374</v>
      </c>
      <c r="BV42">
        <v>95.63129861</v>
      </c>
      <c r="BW42">
        <v>1.925</v>
      </c>
      <c r="BX42">
        <v>10.62609827</v>
      </c>
      <c r="BY42">
        <v>84.49730605</v>
      </c>
      <c r="BZ42">
        <v>1.925</v>
      </c>
      <c r="CA42">
        <v>8.387438</v>
      </c>
      <c r="CB42">
        <v>1.54</v>
      </c>
      <c r="CC42">
        <v>0</v>
      </c>
    </row>
    <row r="43" spans="14:81">
      <c r="N43" s="5">
        <v>195</v>
      </c>
      <c r="O43" s="9">
        <v>1058.112</v>
      </c>
      <c r="P43" s="5">
        <v>-52.6074623</v>
      </c>
      <c r="Q43" s="9">
        <v>-1662.011</v>
      </c>
      <c r="R43" s="10">
        <v>-5666.328</v>
      </c>
      <c r="S43" s="10">
        <v>-6116.92</v>
      </c>
      <c r="T43" s="10">
        <v>-1146.992</v>
      </c>
      <c r="U43" s="10">
        <v>-4557.775</v>
      </c>
      <c r="V43" s="10">
        <v>-2572.72</v>
      </c>
      <c r="W43" s="10">
        <v>-1253.888</v>
      </c>
      <c r="X43" s="10">
        <v>-4679.144</v>
      </c>
      <c r="Y43" s="10">
        <v>-2807.126</v>
      </c>
      <c r="Z43" s="10">
        <v>-1196.62</v>
      </c>
      <c r="AA43" s="10">
        <v>-4412.124</v>
      </c>
      <c r="AB43" s="10">
        <v>-3990.927</v>
      </c>
      <c r="AC43" s="10">
        <v>-1234.774</v>
      </c>
      <c r="AE43">
        <v>195</v>
      </c>
      <c r="AF43">
        <v>1.99472498</v>
      </c>
      <c r="AG43">
        <v>2.92614519</v>
      </c>
      <c r="AH43">
        <v>1.98339655</v>
      </c>
      <c r="AI43">
        <v>3.40312517</v>
      </c>
      <c r="AJ43">
        <v>1.43510276</v>
      </c>
      <c r="AK43">
        <v>2.5498276</v>
      </c>
      <c r="AL43">
        <v>1.78928556</v>
      </c>
      <c r="AM43">
        <v>3.49565545</v>
      </c>
      <c r="AN43">
        <v>0.91940047</v>
      </c>
      <c r="AO43">
        <v>1.59529852</v>
      </c>
      <c r="AP43">
        <v>7.28845547</v>
      </c>
      <c r="AQ43">
        <v>6.93708726</v>
      </c>
      <c r="AR43">
        <v>5.35176879</v>
      </c>
      <c r="AS43">
        <v>5.96149021</v>
      </c>
      <c r="AT43">
        <v>5.30291145</v>
      </c>
      <c r="BN43">
        <v>1.975</v>
      </c>
      <c r="BO43">
        <v>12.90461076</v>
      </c>
      <c r="BP43">
        <v>77.11811898</v>
      </c>
      <c r="BQ43">
        <v>1.975</v>
      </c>
      <c r="BR43">
        <v>15.23731553</v>
      </c>
      <c r="BS43">
        <v>99.34832878</v>
      </c>
      <c r="BT43">
        <v>1.975</v>
      </c>
      <c r="BU43">
        <v>10.11176039</v>
      </c>
      <c r="BV43">
        <v>76.75322419</v>
      </c>
      <c r="BW43">
        <v>1.975</v>
      </c>
      <c r="BX43">
        <v>11.54134127</v>
      </c>
      <c r="BY43">
        <v>80.2733433</v>
      </c>
      <c r="BZ43">
        <v>1.975</v>
      </c>
      <c r="CA43">
        <v>8.52192713</v>
      </c>
      <c r="CB43">
        <v>1.58</v>
      </c>
      <c r="CC43">
        <v>0</v>
      </c>
    </row>
    <row r="44" spans="14:81">
      <c r="N44" s="5">
        <v>200</v>
      </c>
      <c r="O44" s="9">
        <v>1057.985</v>
      </c>
      <c r="P44" s="5">
        <v>-55.74907674</v>
      </c>
      <c r="Q44" s="9">
        <v>-1662.668</v>
      </c>
      <c r="R44" s="10">
        <v>-5665.702</v>
      </c>
      <c r="S44" s="10">
        <v>-6115.604</v>
      </c>
      <c r="T44" s="10">
        <v>-1148.529</v>
      </c>
      <c r="U44" s="10">
        <v>-4556.863</v>
      </c>
      <c r="V44" s="10">
        <v>-2574.449</v>
      </c>
      <c r="W44" s="10">
        <v>-1255.131</v>
      </c>
      <c r="X44" s="10">
        <v>-4680.307</v>
      </c>
      <c r="Y44" s="10">
        <v>-2807.366</v>
      </c>
      <c r="Z44" s="10">
        <v>-1197.858</v>
      </c>
      <c r="AA44" s="10">
        <v>-4413.053</v>
      </c>
      <c r="AB44" s="10">
        <v>-3991.865</v>
      </c>
      <c r="AC44" s="10">
        <v>-1234.102</v>
      </c>
      <c r="AE44">
        <v>200</v>
      </c>
      <c r="AF44">
        <v>2.0275823</v>
      </c>
      <c r="AG44">
        <v>2.98698166</v>
      </c>
      <c r="AH44">
        <v>2.0404453</v>
      </c>
      <c r="AI44">
        <v>3.51089439</v>
      </c>
      <c r="AJ44">
        <v>1.43561757</v>
      </c>
      <c r="AK44">
        <v>2.5791693</v>
      </c>
      <c r="AL44">
        <v>1.83962323</v>
      </c>
      <c r="AM44">
        <v>3.55434831</v>
      </c>
      <c r="AN44">
        <v>0.91906956</v>
      </c>
      <c r="AO44">
        <v>1.62324035</v>
      </c>
      <c r="AP44">
        <v>7.34527146</v>
      </c>
      <c r="AQ44">
        <v>7.04636681</v>
      </c>
      <c r="AR44">
        <v>5.41076947</v>
      </c>
      <c r="AS44">
        <v>6.06962655</v>
      </c>
      <c r="AT44">
        <v>5.36656571</v>
      </c>
      <c r="BN44">
        <v>2.025</v>
      </c>
      <c r="BO44">
        <v>11.51622176</v>
      </c>
      <c r="BP44">
        <v>72.03527578</v>
      </c>
      <c r="BQ44">
        <v>2.025</v>
      </c>
      <c r="BR44">
        <v>13.03635405</v>
      </c>
      <c r="BS44">
        <v>75.39007651</v>
      </c>
      <c r="BT44">
        <v>2.025</v>
      </c>
      <c r="BU44">
        <v>9.4415745</v>
      </c>
      <c r="BV44">
        <v>57.36494131</v>
      </c>
      <c r="BW44">
        <v>2.025</v>
      </c>
      <c r="BX44">
        <v>11.093121</v>
      </c>
      <c r="BY44">
        <v>53.92131072</v>
      </c>
      <c r="BZ44">
        <v>2.025</v>
      </c>
      <c r="CA44">
        <v>7.9014553</v>
      </c>
      <c r="CB44">
        <v>1.62</v>
      </c>
      <c r="CC44">
        <v>0</v>
      </c>
    </row>
    <row r="45" spans="14:81">
      <c r="N45" s="5">
        <v>205</v>
      </c>
      <c r="O45" s="9">
        <v>1057.765</v>
      </c>
      <c r="P45" s="5">
        <v>-56.32985006</v>
      </c>
      <c r="Q45" s="9">
        <v>-1663.028</v>
      </c>
      <c r="R45" s="10">
        <v>-5665.03</v>
      </c>
      <c r="S45" s="10">
        <v>-6113.654</v>
      </c>
      <c r="T45" s="10">
        <v>-1149.107</v>
      </c>
      <c r="U45" s="10">
        <v>-4556.086</v>
      </c>
      <c r="V45" s="10">
        <v>-2574.743</v>
      </c>
      <c r="W45" s="10">
        <v>-1255.187</v>
      </c>
      <c r="X45" s="10">
        <v>-4680.639</v>
      </c>
      <c r="Y45" s="10">
        <v>-2810.94</v>
      </c>
      <c r="Z45" s="10">
        <v>-1199.532</v>
      </c>
      <c r="AA45" s="10">
        <v>-4413.252</v>
      </c>
      <c r="AB45" s="10">
        <v>-3992.785</v>
      </c>
      <c r="AC45" s="10">
        <v>-1235.408</v>
      </c>
      <c r="AE45">
        <v>205</v>
      </c>
      <c r="AF45">
        <v>2.0354154</v>
      </c>
      <c r="AG45">
        <v>3.02426876</v>
      </c>
      <c r="AH45">
        <v>2.11289196</v>
      </c>
      <c r="AI45">
        <v>3.59822519</v>
      </c>
      <c r="AJ45">
        <v>1.46168891</v>
      </c>
      <c r="AK45">
        <v>2.59863478</v>
      </c>
      <c r="AL45">
        <v>1.85842676</v>
      </c>
      <c r="AM45">
        <v>3.56333593</v>
      </c>
      <c r="AN45">
        <v>0.92897285</v>
      </c>
      <c r="AO45">
        <v>1.6441485</v>
      </c>
      <c r="AP45">
        <v>7.41565459</v>
      </c>
      <c r="AQ45">
        <v>7.15978246</v>
      </c>
      <c r="AR45">
        <v>5.47377578</v>
      </c>
      <c r="AS45">
        <v>6.17327756</v>
      </c>
      <c r="AT45">
        <v>5.4354793</v>
      </c>
      <c r="BN45">
        <v>2.075</v>
      </c>
      <c r="BO45">
        <v>9.44738157</v>
      </c>
      <c r="BP45">
        <v>45.31751897</v>
      </c>
      <c r="BQ45">
        <v>2.075</v>
      </c>
      <c r="BR45">
        <v>11.10737483</v>
      </c>
      <c r="BS45">
        <v>46.51880722</v>
      </c>
      <c r="BT45">
        <v>2.075</v>
      </c>
      <c r="BU45">
        <v>8.37385841</v>
      </c>
      <c r="BV45">
        <v>32.63837768</v>
      </c>
      <c r="BW45">
        <v>2.075</v>
      </c>
      <c r="BX45">
        <v>10.40118125</v>
      </c>
      <c r="BY45">
        <v>34.12119794</v>
      </c>
      <c r="BZ45">
        <v>2.075</v>
      </c>
      <c r="CA45">
        <v>6.52189923</v>
      </c>
      <c r="CB45">
        <v>1.66</v>
      </c>
      <c r="CC45">
        <v>0</v>
      </c>
    </row>
    <row r="46" spans="14:81">
      <c r="N46" s="5">
        <v>210</v>
      </c>
      <c r="O46" s="9">
        <v>1057.519</v>
      </c>
      <c r="P46" s="5">
        <v>-56.41813066</v>
      </c>
      <c r="Q46" s="9">
        <v>-1663.712</v>
      </c>
      <c r="R46" s="10">
        <v>-5665.749</v>
      </c>
      <c r="S46" s="10">
        <v>-6114.615</v>
      </c>
      <c r="T46" s="10">
        <v>-1149.623</v>
      </c>
      <c r="U46" s="10">
        <v>-4555.715</v>
      </c>
      <c r="V46" s="10">
        <v>-2575.695</v>
      </c>
      <c r="W46" s="10">
        <v>-1255.611</v>
      </c>
      <c r="X46" s="10">
        <v>-4681.713</v>
      </c>
      <c r="Y46" s="10">
        <v>-2814.301</v>
      </c>
      <c r="Z46" s="10">
        <v>-1201.372</v>
      </c>
      <c r="AA46" s="10">
        <v>-4413.129</v>
      </c>
      <c r="AB46" s="10">
        <v>-3995.361</v>
      </c>
      <c r="AC46" s="10">
        <v>-1237.066</v>
      </c>
      <c r="AE46">
        <v>210</v>
      </c>
      <c r="AF46">
        <v>2.08519141</v>
      </c>
      <c r="AG46">
        <v>3.09480014</v>
      </c>
      <c r="AH46">
        <v>2.16916733</v>
      </c>
      <c r="AI46">
        <v>3.69817648</v>
      </c>
      <c r="AJ46">
        <v>1.46273544</v>
      </c>
      <c r="AK46">
        <v>2.59576113</v>
      </c>
      <c r="AL46">
        <v>1.91003617</v>
      </c>
      <c r="AM46">
        <v>3.63284885</v>
      </c>
      <c r="AN46">
        <v>0.95475829</v>
      </c>
      <c r="AO46">
        <v>1.67941953</v>
      </c>
      <c r="AP46">
        <v>7.5015717</v>
      </c>
      <c r="AQ46">
        <v>7.28949804</v>
      </c>
      <c r="AR46">
        <v>5.54658545</v>
      </c>
      <c r="AS46">
        <v>6.29098476</v>
      </c>
      <c r="AT46">
        <v>5.51276237</v>
      </c>
      <c r="BN46">
        <v>2.125</v>
      </c>
      <c r="BO46">
        <v>7.77211664</v>
      </c>
      <c r="BP46">
        <v>21.60505817</v>
      </c>
      <c r="BQ46">
        <v>2.125</v>
      </c>
      <c r="BR46">
        <v>8.75781668</v>
      </c>
      <c r="BS46">
        <v>31.82027944</v>
      </c>
      <c r="BT46">
        <v>2.125</v>
      </c>
      <c r="BU46">
        <v>6.21608071</v>
      </c>
      <c r="BV46">
        <v>19.95777207</v>
      </c>
      <c r="BW46">
        <v>2.125</v>
      </c>
      <c r="BX46">
        <v>8.09538277</v>
      </c>
      <c r="BY46">
        <v>22.01826979</v>
      </c>
      <c r="BZ46">
        <v>2.125</v>
      </c>
      <c r="CA46">
        <v>5.26190166</v>
      </c>
      <c r="CB46">
        <v>1.7</v>
      </c>
      <c r="CC46">
        <v>2.62119273</v>
      </c>
    </row>
    <row r="47" spans="14:81">
      <c r="N47" s="5">
        <v>215</v>
      </c>
      <c r="O47" s="9">
        <v>1057.142</v>
      </c>
      <c r="P47" s="5">
        <v>-57.07912274</v>
      </c>
      <c r="Q47" s="9">
        <v>-1663.651</v>
      </c>
      <c r="R47" s="10">
        <v>-5666.744</v>
      </c>
      <c r="S47" s="10">
        <v>-6116.025</v>
      </c>
      <c r="T47" s="10">
        <v>-1149.956</v>
      </c>
      <c r="U47" s="10">
        <v>-4555.82</v>
      </c>
      <c r="V47" s="10">
        <v>-2577.554</v>
      </c>
      <c r="W47" s="10">
        <v>-1256.506</v>
      </c>
      <c r="X47" s="10">
        <v>-4682.537</v>
      </c>
      <c r="Y47" s="10">
        <v>-2815.831</v>
      </c>
      <c r="Z47" s="10">
        <v>-1202.133</v>
      </c>
      <c r="AA47" s="10">
        <v>-4413.923</v>
      </c>
      <c r="AB47" s="10">
        <v>-3998.817</v>
      </c>
      <c r="AC47" s="10">
        <v>-1238.102</v>
      </c>
      <c r="AE47">
        <v>215</v>
      </c>
      <c r="AF47">
        <v>2.11428523</v>
      </c>
      <c r="AG47">
        <v>3.14431652</v>
      </c>
      <c r="AH47">
        <v>2.1956284</v>
      </c>
      <c r="AI47">
        <v>3.79463071</v>
      </c>
      <c r="AJ47">
        <v>1.48387666</v>
      </c>
      <c r="AK47">
        <v>2.63767562</v>
      </c>
      <c r="AL47">
        <v>1.97194574</v>
      </c>
      <c r="AM47">
        <v>3.68813041</v>
      </c>
      <c r="AN47">
        <v>0.95088115</v>
      </c>
      <c r="AO47">
        <v>1.6719132</v>
      </c>
      <c r="AP47">
        <v>7.55241367</v>
      </c>
      <c r="AQ47">
        <v>7.40833652</v>
      </c>
      <c r="AR47">
        <v>5.62238276</v>
      </c>
      <c r="AS47">
        <v>6.37462089</v>
      </c>
      <c r="AT47">
        <v>5.59671258</v>
      </c>
      <c r="BN47">
        <v>2.175</v>
      </c>
      <c r="BO47">
        <v>5.80806916</v>
      </c>
      <c r="BP47">
        <v>21.19604926</v>
      </c>
      <c r="BQ47">
        <v>2.175</v>
      </c>
      <c r="BR47">
        <v>6.46426722</v>
      </c>
      <c r="BS47">
        <v>18.71539021</v>
      </c>
      <c r="BT47">
        <v>2.175</v>
      </c>
      <c r="BU47">
        <v>4.65479227</v>
      </c>
      <c r="BV47">
        <v>10.33261582</v>
      </c>
      <c r="BW47">
        <v>2.175</v>
      </c>
      <c r="BX47">
        <v>5.81424213</v>
      </c>
      <c r="BY47">
        <v>15.37109203</v>
      </c>
      <c r="BZ47">
        <v>2.175</v>
      </c>
      <c r="CA47">
        <v>4.08416868</v>
      </c>
      <c r="CB47">
        <v>1.74</v>
      </c>
      <c r="CC47">
        <v>6.88068863</v>
      </c>
    </row>
    <row r="48" spans="14:81">
      <c r="N48" s="5">
        <v>220</v>
      </c>
      <c r="O48" s="9">
        <v>1056.644</v>
      </c>
      <c r="P48" s="5">
        <v>-57.12996771</v>
      </c>
      <c r="Q48" s="9">
        <v>-1664.387</v>
      </c>
      <c r="R48" s="10">
        <v>-5667.081</v>
      </c>
      <c r="S48" s="10">
        <v>-6116.674</v>
      </c>
      <c r="T48" s="10">
        <v>-1150.511</v>
      </c>
      <c r="U48" s="10">
        <v>-4555.521</v>
      </c>
      <c r="V48" s="10">
        <v>-2582.402</v>
      </c>
      <c r="W48" s="10">
        <v>-1258.028</v>
      </c>
      <c r="X48" s="10">
        <v>-4684.147</v>
      </c>
      <c r="Y48" s="10">
        <v>-2817.804</v>
      </c>
      <c r="Z48" s="10">
        <v>-1202.864</v>
      </c>
      <c r="AA48" s="10">
        <v>-4413.932</v>
      </c>
      <c r="AB48" s="10">
        <v>-4002.19</v>
      </c>
      <c r="AC48" s="10">
        <v>-1240.055</v>
      </c>
      <c r="AE48">
        <v>220</v>
      </c>
      <c r="AF48">
        <v>2.13709069</v>
      </c>
      <c r="AG48">
        <v>3.17130939</v>
      </c>
      <c r="AH48">
        <v>2.2309599</v>
      </c>
      <c r="AI48">
        <v>3.90187581</v>
      </c>
      <c r="AJ48">
        <v>1.50830849</v>
      </c>
      <c r="AK48">
        <v>2.69653675</v>
      </c>
      <c r="AL48">
        <v>2.00609744</v>
      </c>
      <c r="AM48">
        <v>3.7158513</v>
      </c>
      <c r="AN48">
        <v>0.94284714</v>
      </c>
      <c r="AO48">
        <v>1.67205595</v>
      </c>
      <c r="AP48">
        <v>7.63250882</v>
      </c>
      <c r="AQ48">
        <v>7.50031931</v>
      </c>
      <c r="AR48">
        <v>5.69305089</v>
      </c>
      <c r="AS48">
        <v>6.48085428</v>
      </c>
      <c r="AT48">
        <v>5.66238988</v>
      </c>
      <c r="BN48">
        <v>2.225</v>
      </c>
      <c r="BO48">
        <v>4.48767607</v>
      </c>
      <c r="BP48">
        <v>9.85337572</v>
      </c>
      <c r="BQ48">
        <v>2.225</v>
      </c>
      <c r="BR48">
        <v>4.94625623</v>
      </c>
      <c r="BS48">
        <v>12.89974335</v>
      </c>
      <c r="BT48">
        <v>2.225</v>
      </c>
      <c r="BU48">
        <v>2.95715187</v>
      </c>
      <c r="BV48">
        <v>6.7880077</v>
      </c>
      <c r="BW48">
        <v>2.225</v>
      </c>
      <c r="BX48">
        <v>4.62989572</v>
      </c>
      <c r="BY48">
        <v>6.59463352</v>
      </c>
      <c r="BZ48">
        <v>2.225</v>
      </c>
      <c r="CA48">
        <v>3.36939507</v>
      </c>
      <c r="CB48">
        <v>1.78</v>
      </c>
      <c r="CC48">
        <v>19.72479515</v>
      </c>
    </row>
    <row r="49" spans="14:81">
      <c r="N49" s="5">
        <v>225</v>
      </c>
      <c r="O49" s="9">
        <v>1056.36</v>
      </c>
      <c r="P49" s="5">
        <v>-58.99900878</v>
      </c>
      <c r="Q49" s="9">
        <v>-1665.568</v>
      </c>
      <c r="R49" s="10">
        <v>-5667.216</v>
      </c>
      <c r="S49" s="10">
        <v>-6118.209</v>
      </c>
      <c r="T49" s="10">
        <v>-1151.88</v>
      </c>
      <c r="U49" s="10">
        <v>-4555.441</v>
      </c>
      <c r="V49" s="10">
        <v>-2584.14</v>
      </c>
      <c r="W49" s="10">
        <v>-1258.162</v>
      </c>
      <c r="X49" s="10">
        <v>-4684.818</v>
      </c>
      <c r="Y49" s="10">
        <v>-2817.553</v>
      </c>
      <c r="Z49" s="10">
        <v>-1203.368</v>
      </c>
      <c r="AA49" s="10">
        <v>-4414.402</v>
      </c>
      <c r="AB49" s="10">
        <v>-4004.74</v>
      </c>
      <c r="AC49" s="10">
        <v>-1240.748</v>
      </c>
      <c r="AE49">
        <v>225</v>
      </c>
      <c r="AF49">
        <v>2.16343798</v>
      </c>
      <c r="AG49">
        <v>3.20536356</v>
      </c>
      <c r="AH49">
        <v>2.28714694</v>
      </c>
      <c r="AI49">
        <v>3.99576411</v>
      </c>
      <c r="AJ49">
        <v>1.54772298</v>
      </c>
      <c r="AK49">
        <v>2.72280423</v>
      </c>
      <c r="AL49">
        <v>2.04293584</v>
      </c>
      <c r="AM49">
        <v>3.77751516</v>
      </c>
      <c r="AN49">
        <v>0.98255703</v>
      </c>
      <c r="AO49">
        <v>1.69815355</v>
      </c>
      <c r="AP49">
        <v>7.69589364</v>
      </c>
      <c r="AQ49">
        <v>7.60641541</v>
      </c>
      <c r="AR49">
        <v>5.75498425</v>
      </c>
      <c r="AS49">
        <v>6.5649252</v>
      </c>
      <c r="AT49">
        <v>5.74912208</v>
      </c>
      <c r="BN49">
        <v>2.275</v>
      </c>
      <c r="BO49">
        <v>3.9815338</v>
      </c>
      <c r="BP49">
        <v>10.21045681</v>
      </c>
      <c r="BQ49">
        <v>2.275</v>
      </c>
      <c r="BR49">
        <v>3.42070601</v>
      </c>
      <c r="BS49">
        <v>5.60862511</v>
      </c>
      <c r="BT49">
        <v>2.275</v>
      </c>
      <c r="BU49">
        <v>2.40781717</v>
      </c>
      <c r="BV49">
        <v>3.24646222</v>
      </c>
      <c r="BW49">
        <v>2.275</v>
      </c>
      <c r="BX49">
        <v>3.40663717</v>
      </c>
      <c r="BY49">
        <v>5.4477806</v>
      </c>
      <c r="BZ49">
        <v>2.275</v>
      </c>
      <c r="CA49">
        <v>2.52732828</v>
      </c>
      <c r="CB49">
        <v>1.82</v>
      </c>
      <c r="CC49">
        <v>55.45852556</v>
      </c>
    </row>
    <row r="50" spans="14:81">
      <c r="N50" s="5">
        <v>230</v>
      </c>
      <c r="O50" s="9">
        <v>1056.33</v>
      </c>
      <c r="P50" s="5">
        <v>-60.28248277</v>
      </c>
      <c r="Q50" s="9">
        <v>-1667.081</v>
      </c>
      <c r="R50" s="10">
        <v>-5668.087</v>
      </c>
      <c r="S50" s="10">
        <v>-6118.963</v>
      </c>
      <c r="T50" s="10">
        <v>-1153.011</v>
      </c>
      <c r="U50" s="10">
        <v>-4556.646</v>
      </c>
      <c r="V50" s="10">
        <v>-2585.825</v>
      </c>
      <c r="W50" s="10">
        <v>-1258.339</v>
      </c>
      <c r="X50" s="10">
        <v>-4684.568</v>
      </c>
      <c r="Y50" s="10">
        <v>-2818.575</v>
      </c>
      <c r="Z50" s="10">
        <v>-1204.95</v>
      </c>
      <c r="AA50" s="10">
        <v>-4413.705</v>
      </c>
      <c r="AB50" s="10">
        <v>-4005.396</v>
      </c>
      <c r="AC50" s="10">
        <v>-1242.273</v>
      </c>
      <c r="AE50">
        <v>230</v>
      </c>
      <c r="AF50">
        <v>2.20179927</v>
      </c>
      <c r="AG50">
        <v>3.28957555</v>
      </c>
      <c r="AH50">
        <v>2.30683959</v>
      </c>
      <c r="AI50">
        <v>4.07807491</v>
      </c>
      <c r="AJ50">
        <v>1.55574885</v>
      </c>
      <c r="AK50">
        <v>2.72884682</v>
      </c>
      <c r="AL50">
        <v>2.10782832</v>
      </c>
      <c r="AM50">
        <v>3.82146773</v>
      </c>
      <c r="AN50">
        <v>1.0011928</v>
      </c>
      <c r="AO50">
        <v>1.72869663</v>
      </c>
      <c r="AP50">
        <v>7.79419212</v>
      </c>
      <c r="AQ50">
        <v>7.71233983</v>
      </c>
      <c r="AR50">
        <v>5.81702527</v>
      </c>
      <c r="AS50">
        <v>6.65700888</v>
      </c>
      <c r="AT50">
        <v>5.80860238</v>
      </c>
      <c r="BN50">
        <v>2.325</v>
      </c>
      <c r="BO50">
        <v>3.1569226</v>
      </c>
      <c r="BP50">
        <v>3.25867875</v>
      </c>
      <c r="BQ50">
        <v>2.325</v>
      </c>
      <c r="BR50">
        <v>2.63714704</v>
      </c>
      <c r="BS50">
        <v>4.2959976</v>
      </c>
      <c r="BT50">
        <v>2.325</v>
      </c>
      <c r="BU50">
        <v>2.32775492</v>
      </c>
      <c r="BV50">
        <v>1.6954561</v>
      </c>
      <c r="BW50">
        <v>2.325</v>
      </c>
      <c r="BX50">
        <v>2.69633555</v>
      </c>
      <c r="BY50">
        <v>2.47073489</v>
      </c>
      <c r="BZ50">
        <v>2.325</v>
      </c>
      <c r="CA50">
        <v>2.17559908</v>
      </c>
      <c r="CB50">
        <v>1.86</v>
      </c>
      <c r="CC50">
        <v>97.43931416</v>
      </c>
    </row>
    <row r="51" spans="14:81">
      <c r="N51" s="5">
        <v>235</v>
      </c>
      <c r="O51" s="9">
        <v>1056.304</v>
      </c>
      <c r="P51" s="5">
        <v>-62.20299818</v>
      </c>
      <c r="Q51" s="9">
        <v>-1668.679</v>
      </c>
      <c r="R51" s="10">
        <v>-5668.408</v>
      </c>
      <c r="S51" s="10">
        <v>-6120.207</v>
      </c>
      <c r="T51" s="10">
        <v>-1153.662</v>
      </c>
      <c r="U51" s="10">
        <v>-4556.676</v>
      </c>
      <c r="V51" s="10">
        <v>-2589.327</v>
      </c>
      <c r="W51" s="10">
        <v>-1260.272</v>
      </c>
      <c r="X51" s="10">
        <v>-4684.429</v>
      </c>
      <c r="Y51" s="10">
        <v>-2819.969</v>
      </c>
      <c r="Z51" s="10">
        <v>-1205.431</v>
      </c>
      <c r="AA51" s="10">
        <v>-4413.201</v>
      </c>
      <c r="AB51" s="10">
        <v>-4007.654</v>
      </c>
      <c r="AC51" s="10">
        <v>-1243.179</v>
      </c>
      <c r="AE51">
        <v>235</v>
      </c>
      <c r="AF51">
        <v>2.22328359</v>
      </c>
      <c r="AG51">
        <v>3.3304803</v>
      </c>
      <c r="AH51">
        <v>2.37878951</v>
      </c>
      <c r="AI51">
        <v>4.19786819</v>
      </c>
      <c r="AJ51">
        <v>1.5710501</v>
      </c>
      <c r="AK51">
        <v>2.76238696</v>
      </c>
      <c r="AL51">
        <v>2.16199488</v>
      </c>
      <c r="AM51">
        <v>3.868188</v>
      </c>
      <c r="AN51">
        <v>1.00949176</v>
      </c>
      <c r="AO51">
        <v>1.78470404</v>
      </c>
      <c r="AP51">
        <v>7.87223917</v>
      </c>
      <c r="AQ51">
        <v>7.84867563</v>
      </c>
      <c r="AR51">
        <v>5.90945052</v>
      </c>
      <c r="AS51">
        <v>6.76159064</v>
      </c>
      <c r="AT51">
        <v>5.88638341</v>
      </c>
      <c r="BN51">
        <v>2.375</v>
      </c>
      <c r="BO51">
        <v>2.03596342</v>
      </c>
      <c r="BP51">
        <v>2.88269587</v>
      </c>
      <c r="BQ51">
        <v>2.375</v>
      </c>
      <c r="BR51">
        <v>1.89546161</v>
      </c>
      <c r="BS51">
        <v>1.54388406</v>
      </c>
      <c r="BT51">
        <v>2.375</v>
      </c>
      <c r="BU51">
        <v>1.63018499</v>
      </c>
      <c r="BV51">
        <v>0.54160751</v>
      </c>
      <c r="BW51">
        <v>2.375</v>
      </c>
      <c r="BX51">
        <v>2.10471361</v>
      </c>
      <c r="BY51">
        <v>1.31544601</v>
      </c>
      <c r="BZ51">
        <v>2.375</v>
      </c>
      <c r="CA51">
        <v>1.6169097</v>
      </c>
      <c r="CB51">
        <v>1.9</v>
      </c>
      <c r="CC51">
        <v>112.79038002</v>
      </c>
    </row>
    <row r="52" spans="14:81">
      <c r="N52" s="5">
        <v>240</v>
      </c>
      <c r="O52" s="9">
        <v>1056.042</v>
      </c>
      <c r="P52" s="5">
        <v>-62.87639087</v>
      </c>
      <c r="Q52" s="9">
        <v>-1668.823</v>
      </c>
      <c r="R52" s="10">
        <v>-5668.992</v>
      </c>
      <c r="S52" s="10">
        <v>-6122.472</v>
      </c>
      <c r="T52" s="10">
        <v>-1154.359</v>
      </c>
      <c r="U52" s="10">
        <v>-4557.35</v>
      </c>
      <c r="V52" s="10">
        <v>-2590.741</v>
      </c>
      <c r="W52" s="10">
        <v>-1260.136</v>
      </c>
      <c r="X52" s="10">
        <v>-4684.764</v>
      </c>
      <c r="Y52" s="10">
        <v>-2821.539</v>
      </c>
      <c r="Z52" s="10">
        <v>-1206.581</v>
      </c>
      <c r="AA52" s="10">
        <v>-4413.952</v>
      </c>
      <c r="AB52" s="10">
        <v>-4009.818</v>
      </c>
      <c r="AC52" s="10">
        <v>-1244.305</v>
      </c>
      <c r="AE52">
        <v>240</v>
      </c>
      <c r="AF52">
        <v>2.2455061</v>
      </c>
      <c r="AG52">
        <v>3.36749187</v>
      </c>
      <c r="AH52">
        <v>2.48616681</v>
      </c>
      <c r="AI52">
        <v>4.34210678</v>
      </c>
      <c r="AJ52">
        <v>1.63207615</v>
      </c>
      <c r="AK52">
        <v>2.78861407</v>
      </c>
      <c r="AL52">
        <v>2.22075396</v>
      </c>
      <c r="AM52">
        <v>3.93703777</v>
      </c>
      <c r="AN52">
        <v>1.04538228</v>
      </c>
      <c r="AO52">
        <v>1.79001267</v>
      </c>
      <c r="AP52">
        <v>7.93311931</v>
      </c>
      <c r="AQ52">
        <v>7.9727129</v>
      </c>
      <c r="AR52">
        <v>5.97053681</v>
      </c>
      <c r="AS52">
        <v>6.86676577</v>
      </c>
      <c r="AT52">
        <v>5.96262396</v>
      </c>
      <c r="BN52">
        <v>2.425</v>
      </c>
      <c r="BO52">
        <v>1.51484669</v>
      </c>
      <c r="BP52">
        <v>0.92168383</v>
      </c>
      <c r="BQ52">
        <v>2.425</v>
      </c>
      <c r="BR52">
        <v>1.5444133</v>
      </c>
      <c r="BS52">
        <v>1.72769019</v>
      </c>
      <c r="BT52">
        <v>2.425</v>
      </c>
      <c r="BU52">
        <v>1.17274219</v>
      </c>
      <c r="BV52">
        <v>1.55851265</v>
      </c>
      <c r="BW52">
        <v>2.425</v>
      </c>
      <c r="BX52">
        <v>1.7389828</v>
      </c>
      <c r="BY52">
        <v>0.75705717</v>
      </c>
      <c r="BZ52">
        <v>2.425</v>
      </c>
      <c r="CA52">
        <v>1.28563332</v>
      </c>
      <c r="CB52">
        <v>1.94</v>
      </c>
      <c r="CC52">
        <v>115.73529759</v>
      </c>
    </row>
    <row r="53" spans="14:81">
      <c r="N53" s="5">
        <v>245</v>
      </c>
      <c r="O53" s="9">
        <v>1055.864</v>
      </c>
      <c r="P53" s="5">
        <v>-63.04320641</v>
      </c>
      <c r="Q53" s="9">
        <v>-1668.83</v>
      </c>
      <c r="R53" s="10">
        <v>-5670.041</v>
      </c>
      <c r="S53" s="10">
        <v>-6123.148</v>
      </c>
      <c r="T53" s="10">
        <v>-1155.537</v>
      </c>
      <c r="U53" s="10">
        <v>-4557.484</v>
      </c>
      <c r="V53" s="10">
        <v>-2591.725</v>
      </c>
      <c r="W53" s="10">
        <v>-1261.141</v>
      </c>
      <c r="X53" s="10">
        <v>-4685.391</v>
      </c>
      <c r="Y53" s="10">
        <v>-2823.307</v>
      </c>
      <c r="Z53" s="10">
        <v>-1207.494</v>
      </c>
      <c r="AA53" s="10">
        <v>-4414.623</v>
      </c>
      <c r="AB53" s="10">
        <v>-4012.838</v>
      </c>
      <c r="AC53" s="10">
        <v>-1245.606</v>
      </c>
      <c r="AE53">
        <v>245</v>
      </c>
      <c r="AF53">
        <v>2.28071699</v>
      </c>
      <c r="AG53">
        <v>3.44124527</v>
      </c>
      <c r="AH53">
        <v>2.55400586</v>
      </c>
      <c r="AI53">
        <v>4.44278178</v>
      </c>
      <c r="AJ53">
        <v>1.64102784</v>
      </c>
      <c r="AK53">
        <v>2.80303294</v>
      </c>
      <c r="AL53">
        <v>2.27265837</v>
      </c>
      <c r="AM53">
        <v>4.02313882</v>
      </c>
      <c r="AN53">
        <v>1.05446251</v>
      </c>
      <c r="AO53">
        <v>1.80299425</v>
      </c>
      <c r="AP53">
        <v>8.02728329</v>
      </c>
      <c r="AQ53">
        <v>8.09224678</v>
      </c>
      <c r="AR53">
        <v>6.0288973</v>
      </c>
      <c r="AS53">
        <v>6.97208255</v>
      </c>
      <c r="AT53">
        <v>6.00849726</v>
      </c>
      <c r="BN53">
        <v>2.475</v>
      </c>
      <c r="BO53">
        <v>1.15640037</v>
      </c>
      <c r="BP53">
        <v>0.88482149</v>
      </c>
      <c r="BQ53">
        <v>2.475</v>
      </c>
      <c r="BR53">
        <v>1.25743325</v>
      </c>
      <c r="BS53">
        <v>0.71082514</v>
      </c>
      <c r="BT53">
        <v>2.475</v>
      </c>
      <c r="BU53">
        <v>1.06658421</v>
      </c>
      <c r="BV53">
        <v>0.74809031</v>
      </c>
      <c r="BW53">
        <v>2.475</v>
      </c>
      <c r="BX53">
        <v>1.17052195</v>
      </c>
      <c r="BY53">
        <v>1.453558</v>
      </c>
      <c r="BZ53">
        <v>2.475</v>
      </c>
      <c r="CA53">
        <v>1.09707999</v>
      </c>
      <c r="CB53">
        <v>1.98</v>
      </c>
      <c r="CC53">
        <v>110.62344365</v>
      </c>
    </row>
    <row r="54" spans="14:81">
      <c r="N54" s="5">
        <v>250</v>
      </c>
      <c r="O54" s="9">
        <v>1054.554</v>
      </c>
      <c r="P54" s="5">
        <v>-62.98475038</v>
      </c>
      <c r="Q54" s="9">
        <v>-1668.975</v>
      </c>
      <c r="R54" s="10">
        <v>-5669.895</v>
      </c>
      <c r="S54" s="10">
        <v>-6123.266</v>
      </c>
      <c r="T54" s="10">
        <v>-1156.223</v>
      </c>
      <c r="U54" s="10">
        <v>-4557.27</v>
      </c>
      <c r="V54" s="10">
        <v>-2592.429</v>
      </c>
      <c r="W54" s="10">
        <v>-1261.592</v>
      </c>
      <c r="X54" s="10">
        <v>-4685.264</v>
      </c>
      <c r="Y54" s="10">
        <v>-2824.051</v>
      </c>
      <c r="Z54" s="10">
        <v>-1209.153</v>
      </c>
      <c r="AA54" s="10">
        <v>-4414.459</v>
      </c>
      <c r="AB54" s="10">
        <v>-4016.222</v>
      </c>
      <c r="AC54" s="10">
        <v>-1247.392</v>
      </c>
      <c r="AE54">
        <v>250</v>
      </c>
      <c r="AF54">
        <v>2.26765865</v>
      </c>
      <c r="AG54">
        <v>3.44677705</v>
      </c>
      <c r="AH54">
        <v>2.61434878</v>
      </c>
      <c r="AI54">
        <v>4.51882672</v>
      </c>
      <c r="AJ54">
        <v>1.66798412</v>
      </c>
      <c r="AK54">
        <v>2.7982696</v>
      </c>
      <c r="AL54">
        <v>2.32854992</v>
      </c>
      <c r="AM54">
        <v>4.11776473</v>
      </c>
      <c r="AN54">
        <v>1.07305816</v>
      </c>
      <c r="AO54">
        <v>1.81917177</v>
      </c>
      <c r="AP54">
        <v>8.11929508</v>
      </c>
      <c r="AQ54">
        <v>8.18957203</v>
      </c>
      <c r="AR54">
        <v>6.07964221</v>
      </c>
      <c r="AS54">
        <v>7.06817456</v>
      </c>
      <c r="AT54">
        <v>6.07442687</v>
      </c>
      <c r="BN54">
        <v>2.525</v>
      </c>
      <c r="BO54">
        <v>1.16155986</v>
      </c>
      <c r="BP54">
        <v>1.06265893</v>
      </c>
      <c r="BQ54">
        <v>2.525</v>
      </c>
      <c r="BR54">
        <v>0.79339788</v>
      </c>
      <c r="BS54">
        <v>1.36590657</v>
      </c>
      <c r="BT54">
        <v>2.525</v>
      </c>
      <c r="BU54">
        <v>0.81601485</v>
      </c>
      <c r="BV54">
        <v>0</v>
      </c>
      <c r="BW54">
        <v>2.525</v>
      </c>
      <c r="BX54">
        <v>1.08775217</v>
      </c>
      <c r="BY54">
        <v>0.23276053</v>
      </c>
      <c r="BZ54">
        <v>2.525</v>
      </c>
      <c r="CA54">
        <v>0.58349909</v>
      </c>
      <c r="CB54">
        <v>2.02</v>
      </c>
      <c r="CC54">
        <v>84.47171277</v>
      </c>
    </row>
    <row r="55" spans="14:81">
      <c r="N55" s="5">
        <v>255</v>
      </c>
      <c r="O55" s="9">
        <v>1054.131</v>
      </c>
      <c r="P55" s="5">
        <v>-64.0677448</v>
      </c>
      <c r="Q55" s="9">
        <v>-1669.424</v>
      </c>
      <c r="R55" s="10">
        <v>-5670.485</v>
      </c>
      <c r="S55" s="10">
        <v>-6124.3</v>
      </c>
      <c r="T55" s="10">
        <v>-1156.747</v>
      </c>
      <c r="U55" s="10">
        <v>-4557.226</v>
      </c>
      <c r="V55" s="10">
        <v>-2594.49</v>
      </c>
      <c r="W55" s="10">
        <v>-1262.509</v>
      </c>
      <c r="X55" s="10">
        <v>-4684.844</v>
      </c>
      <c r="Y55" s="10">
        <v>-2826.348</v>
      </c>
      <c r="Z55" s="10">
        <v>-1211.561</v>
      </c>
      <c r="AA55" s="10">
        <v>-4415.144</v>
      </c>
      <c r="AB55" s="10">
        <v>-4018.036</v>
      </c>
      <c r="AC55" s="10">
        <v>-1248.414</v>
      </c>
      <c r="AE55">
        <v>255</v>
      </c>
      <c r="AF55">
        <v>2.27536571</v>
      </c>
      <c r="AG55">
        <v>3.45985871</v>
      </c>
      <c r="AH55">
        <v>2.67343073</v>
      </c>
      <c r="AI55">
        <v>4.60551322</v>
      </c>
      <c r="AJ55">
        <v>1.7056608</v>
      </c>
      <c r="AK55">
        <v>2.85002619</v>
      </c>
      <c r="AL55">
        <v>2.35409209</v>
      </c>
      <c r="AM55">
        <v>4.20986112</v>
      </c>
      <c r="AN55">
        <v>1.07443895</v>
      </c>
      <c r="AO55">
        <v>1.83822261</v>
      </c>
      <c r="AP55">
        <v>8.21001318</v>
      </c>
      <c r="AQ55">
        <v>8.30428864</v>
      </c>
      <c r="AR55">
        <v>6.15684754</v>
      </c>
      <c r="AS55">
        <v>7.1712512</v>
      </c>
      <c r="AT55">
        <v>6.13410287</v>
      </c>
      <c r="BN55">
        <v>2.575</v>
      </c>
      <c r="BO55">
        <v>0.85790109</v>
      </c>
      <c r="BP55">
        <v>0.81743406</v>
      </c>
      <c r="BQ55">
        <v>2.575</v>
      </c>
      <c r="BR55">
        <v>0.72820975</v>
      </c>
      <c r="BS55">
        <v>0.43779277</v>
      </c>
      <c r="BT55">
        <v>2.575</v>
      </c>
      <c r="BU55">
        <v>0.65690256</v>
      </c>
      <c r="BV55">
        <v>0</v>
      </c>
      <c r="BW55">
        <v>2.575</v>
      </c>
      <c r="BX55">
        <v>0.88637357</v>
      </c>
      <c r="BY55">
        <v>0.44761865</v>
      </c>
      <c r="BZ55">
        <v>2.575</v>
      </c>
      <c r="CA55">
        <v>0.63345443</v>
      </c>
      <c r="CB55">
        <v>2.06</v>
      </c>
      <c r="CC55">
        <v>66.49592389</v>
      </c>
    </row>
    <row r="56" spans="14:81">
      <c r="N56" s="5">
        <v>260</v>
      </c>
      <c r="O56" s="9">
        <v>1054.674</v>
      </c>
      <c r="P56" s="5">
        <v>-65.61905878</v>
      </c>
      <c r="Q56" s="9">
        <v>-1670.125</v>
      </c>
      <c r="R56" s="10">
        <v>-5670.23</v>
      </c>
      <c r="S56" s="10">
        <v>-6126.065</v>
      </c>
      <c r="T56" s="10">
        <v>-1158</v>
      </c>
      <c r="U56" s="10">
        <v>-4556.648</v>
      </c>
      <c r="V56" s="10">
        <v>-2594.171</v>
      </c>
      <c r="W56" s="10">
        <v>-1262.508</v>
      </c>
      <c r="X56" s="10">
        <v>-4685.417</v>
      </c>
      <c r="Y56" s="10">
        <v>-2828.82</v>
      </c>
      <c r="Z56" s="10">
        <v>-1212.6</v>
      </c>
      <c r="AA56" s="10">
        <v>-4415.526</v>
      </c>
      <c r="AB56" s="10">
        <v>-4019.939</v>
      </c>
      <c r="AC56" s="10">
        <v>-1248.625</v>
      </c>
      <c r="AE56">
        <v>260</v>
      </c>
      <c r="AF56">
        <v>2.33659735</v>
      </c>
      <c r="AG56">
        <v>3.53264623</v>
      </c>
      <c r="AH56">
        <v>2.72531396</v>
      </c>
      <c r="AI56">
        <v>4.70313709</v>
      </c>
      <c r="AJ56">
        <v>1.73450435</v>
      </c>
      <c r="AK56">
        <v>2.89804344</v>
      </c>
      <c r="AL56">
        <v>2.3577665</v>
      </c>
      <c r="AM56">
        <v>4.23232949</v>
      </c>
      <c r="AN56">
        <v>1.05930712</v>
      </c>
      <c r="AO56">
        <v>1.86285878</v>
      </c>
      <c r="AP56">
        <v>8.30697839</v>
      </c>
      <c r="AQ56">
        <v>8.42134809</v>
      </c>
      <c r="AR56">
        <v>6.23770554</v>
      </c>
      <c r="AS56">
        <v>7.25541498</v>
      </c>
      <c r="AT56">
        <v>6.18167937</v>
      </c>
      <c r="BN56">
        <v>2.625</v>
      </c>
      <c r="BO56">
        <v>1.01244414</v>
      </c>
      <c r="BP56">
        <v>0.39329561</v>
      </c>
      <c r="BQ56">
        <v>2.625</v>
      </c>
      <c r="BR56">
        <v>0.63399694</v>
      </c>
      <c r="BS56">
        <v>0.42127428</v>
      </c>
      <c r="BT56">
        <v>2.625</v>
      </c>
      <c r="BU56">
        <v>0.56188158</v>
      </c>
      <c r="BV56">
        <v>0</v>
      </c>
      <c r="BW56">
        <v>2.625</v>
      </c>
      <c r="BX56">
        <v>0.85292955</v>
      </c>
      <c r="BY56">
        <v>0.64609414</v>
      </c>
      <c r="BZ56">
        <v>2.625</v>
      </c>
      <c r="CA56">
        <v>0.53989013</v>
      </c>
      <c r="CB56">
        <v>2.1</v>
      </c>
      <c r="CC56">
        <v>40.36760427</v>
      </c>
    </row>
    <row r="57" spans="14:81">
      <c r="N57" s="5">
        <v>265</v>
      </c>
      <c r="O57" s="9">
        <v>1054.316</v>
      </c>
      <c r="P57" s="5">
        <v>-65.31989955</v>
      </c>
      <c r="Q57" s="9">
        <v>-1670.511</v>
      </c>
      <c r="R57" s="10">
        <v>-5670.56</v>
      </c>
      <c r="S57" s="10">
        <v>-6126.723</v>
      </c>
      <c r="T57" s="10">
        <v>-1158.37</v>
      </c>
      <c r="U57" s="10">
        <v>-4557.274</v>
      </c>
      <c r="V57" s="10">
        <v>-2595.583</v>
      </c>
      <c r="W57" s="10">
        <v>-1262.46</v>
      </c>
      <c r="X57" s="10">
        <v>-4686.185</v>
      </c>
      <c r="Y57" s="10">
        <v>-2829.466</v>
      </c>
      <c r="Z57" s="10">
        <v>-1213.649</v>
      </c>
      <c r="AA57" s="10">
        <v>-4416.359</v>
      </c>
      <c r="AB57" s="10">
        <v>-4021.987</v>
      </c>
      <c r="AC57" s="10">
        <v>-1249.272</v>
      </c>
      <c r="AE57">
        <v>265</v>
      </c>
      <c r="AF57">
        <v>2.34576252</v>
      </c>
      <c r="AG57">
        <v>3.59729667</v>
      </c>
      <c r="AH57">
        <v>2.77119889</v>
      </c>
      <c r="AI57">
        <v>4.81043184</v>
      </c>
      <c r="AJ57">
        <v>1.72382379</v>
      </c>
      <c r="AK57">
        <v>2.92915433</v>
      </c>
      <c r="AL57">
        <v>2.39851993</v>
      </c>
      <c r="AM57">
        <v>4.28445671</v>
      </c>
      <c r="AN57">
        <v>1.09864221</v>
      </c>
      <c r="AO57">
        <v>1.88835952</v>
      </c>
      <c r="AP57">
        <v>8.41610467</v>
      </c>
      <c r="AQ57">
        <v>8.50513834</v>
      </c>
      <c r="AR57">
        <v>6.29938238</v>
      </c>
      <c r="AS57">
        <v>7.36600195</v>
      </c>
      <c r="AT57">
        <v>6.26312292</v>
      </c>
      <c r="BN57">
        <v>2.675</v>
      </c>
      <c r="BO57">
        <v>0.83995742</v>
      </c>
      <c r="BP57">
        <v>0</v>
      </c>
      <c r="BQ57">
        <v>2.675</v>
      </c>
      <c r="BR57">
        <v>0.28919288</v>
      </c>
      <c r="BS57">
        <v>1.01418337</v>
      </c>
      <c r="BT57">
        <v>2.675</v>
      </c>
      <c r="BU57">
        <v>0.54107358</v>
      </c>
      <c r="BV57">
        <v>0</v>
      </c>
      <c r="BW57">
        <v>2.675</v>
      </c>
      <c r="BX57">
        <v>0.54208654</v>
      </c>
      <c r="BY57">
        <v>0.41477834</v>
      </c>
      <c r="BZ57">
        <v>2.675</v>
      </c>
      <c r="CA57">
        <v>0.65406338</v>
      </c>
      <c r="CB57">
        <v>2.14</v>
      </c>
      <c r="CC57">
        <v>36.80498608</v>
      </c>
    </row>
    <row r="58" spans="14:81">
      <c r="N58" s="5">
        <v>270</v>
      </c>
      <c r="O58" s="9">
        <v>1054.631</v>
      </c>
      <c r="P58" s="5">
        <v>-65.2701189</v>
      </c>
      <c r="Q58" s="9">
        <v>-1671.549</v>
      </c>
      <c r="R58" s="10">
        <v>-5670.886</v>
      </c>
      <c r="S58" s="10">
        <v>-6126.751</v>
      </c>
      <c r="T58" s="10">
        <v>-1159.118</v>
      </c>
      <c r="U58" s="10">
        <v>-4557.577</v>
      </c>
      <c r="V58" s="10">
        <v>-2597.086</v>
      </c>
      <c r="W58" s="10">
        <v>-1262.733</v>
      </c>
      <c r="X58" s="10">
        <v>-4686.707</v>
      </c>
      <c r="Y58" s="10">
        <v>-2830.514</v>
      </c>
      <c r="Z58" s="10">
        <v>-1214.46</v>
      </c>
      <c r="AA58" s="10">
        <v>-4416.008</v>
      </c>
      <c r="AB58" s="10">
        <v>-4023.251</v>
      </c>
      <c r="AC58" s="10">
        <v>-1249.961</v>
      </c>
      <c r="AE58">
        <v>270</v>
      </c>
      <c r="AF58">
        <v>2.36592274</v>
      </c>
      <c r="AG58">
        <v>3.63019315</v>
      </c>
      <c r="AH58">
        <v>2.82789769</v>
      </c>
      <c r="AI58">
        <v>4.96758956</v>
      </c>
      <c r="AJ58">
        <v>1.77686806</v>
      </c>
      <c r="AK58">
        <v>3.01160223</v>
      </c>
      <c r="AL58">
        <v>2.48344547</v>
      </c>
      <c r="AM58">
        <v>4.36112074</v>
      </c>
      <c r="AN58">
        <v>1.09952334</v>
      </c>
      <c r="AO58">
        <v>1.89202161</v>
      </c>
      <c r="AP58">
        <v>8.52697656</v>
      </c>
      <c r="AQ58">
        <v>8.58586485</v>
      </c>
      <c r="AR58">
        <v>6.39491621</v>
      </c>
      <c r="AS58">
        <v>7.47261519</v>
      </c>
      <c r="AT58">
        <v>6.32805736</v>
      </c>
      <c r="BN58">
        <v>2.725</v>
      </c>
      <c r="BO58">
        <v>0.56370109</v>
      </c>
      <c r="BP58">
        <v>0.36496032</v>
      </c>
      <c r="BQ58">
        <v>2.725</v>
      </c>
      <c r="BR58">
        <v>0.63476646</v>
      </c>
      <c r="BS58">
        <v>0.39092325</v>
      </c>
      <c r="BT58">
        <v>2.725</v>
      </c>
      <c r="BU58">
        <v>0.45622533</v>
      </c>
      <c r="BV58">
        <v>0</v>
      </c>
      <c r="BW58">
        <v>2.725</v>
      </c>
      <c r="BX58">
        <v>0.5540357</v>
      </c>
      <c r="BY58">
        <v>0.39969718</v>
      </c>
      <c r="BZ58">
        <v>2.725</v>
      </c>
      <c r="CA58">
        <v>0.59795977</v>
      </c>
      <c r="CB58">
        <v>2.18</v>
      </c>
      <c r="CC58">
        <v>23.113178</v>
      </c>
    </row>
    <row r="59" spans="14:81">
      <c r="N59" s="5">
        <v>275</v>
      </c>
      <c r="O59" s="9">
        <v>1054.085</v>
      </c>
      <c r="P59" s="5">
        <v>-67.18191203</v>
      </c>
      <c r="Q59" s="9">
        <v>-1671.989</v>
      </c>
      <c r="R59" s="10">
        <v>-5671.263</v>
      </c>
      <c r="S59" s="10">
        <v>-6128.135</v>
      </c>
      <c r="T59" s="10">
        <v>-1160.089</v>
      </c>
      <c r="U59" s="10">
        <v>-4557.892</v>
      </c>
      <c r="V59" s="10">
        <v>-2598.885</v>
      </c>
      <c r="W59" s="10">
        <v>-1262.909</v>
      </c>
      <c r="X59" s="10">
        <v>-4687.486</v>
      </c>
      <c r="Y59" s="10">
        <v>-2831.175</v>
      </c>
      <c r="Z59" s="10">
        <v>-1214.651</v>
      </c>
      <c r="AA59" s="10">
        <v>-4416.457</v>
      </c>
      <c r="AB59" s="10">
        <v>-4024.988</v>
      </c>
      <c r="AC59" s="10">
        <v>-1250.17</v>
      </c>
      <c r="AE59">
        <v>275</v>
      </c>
      <c r="AF59">
        <v>2.36010293</v>
      </c>
      <c r="AG59">
        <v>3.65529205</v>
      </c>
      <c r="AH59">
        <v>2.90995345</v>
      </c>
      <c r="AI59">
        <v>5.08324497</v>
      </c>
      <c r="AJ59">
        <v>1.82072351</v>
      </c>
      <c r="AK59">
        <v>3.00328793</v>
      </c>
      <c r="AL59">
        <v>2.54811539</v>
      </c>
      <c r="AM59">
        <v>4.42566109</v>
      </c>
      <c r="AN59">
        <v>1.12262752</v>
      </c>
      <c r="AO59">
        <v>1.88726597</v>
      </c>
      <c r="AP59">
        <v>8.6155835</v>
      </c>
      <c r="AQ59">
        <v>8.70132632</v>
      </c>
      <c r="AR59">
        <v>6.4631969</v>
      </c>
      <c r="AS59">
        <v>7.5859537</v>
      </c>
      <c r="AT59">
        <v>6.38544317</v>
      </c>
      <c r="BN59">
        <v>2.775</v>
      </c>
      <c r="BO59">
        <v>0.57144652</v>
      </c>
      <c r="BP59">
        <v>0.17596372</v>
      </c>
      <c r="BQ59">
        <v>2.775</v>
      </c>
      <c r="BR59">
        <v>0.41801861</v>
      </c>
      <c r="BS59">
        <v>0.37696321</v>
      </c>
      <c r="BT59">
        <v>2.775</v>
      </c>
      <c r="BU59">
        <v>0.43993334</v>
      </c>
      <c r="BV59">
        <v>0</v>
      </c>
      <c r="BW59">
        <v>2.775</v>
      </c>
      <c r="BX59">
        <v>0.47319361</v>
      </c>
      <c r="BY59">
        <v>0.19271191</v>
      </c>
      <c r="BZ59">
        <v>2.775</v>
      </c>
      <c r="CA59">
        <v>0.37401495</v>
      </c>
      <c r="CB59">
        <v>2.22</v>
      </c>
      <c r="CC59">
        <v>18.82934548</v>
      </c>
    </row>
    <row r="60" spans="14:81">
      <c r="N60" s="5">
        <v>280</v>
      </c>
      <c r="O60" s="9">
        <v>1054.75</v>
      </c>
      <c r="P60" s="5">
        <v>-68.92997858</v>
      </c>
      <c r="Q60" s="9">
        <v>-1673.17</v>
      </c>
      <c r="R60" s="10">
        <v>-5671.653</v>
      </c>
      <c r="S60" s="10">
        <v>-6128.045</v>
      </c>
      <c r="T60" s="10">
        <v>-1161.142</v>
      </c>
      <c r="U60" s="10">
        <v>-4558.741</v>
      </c>
      <c r="V60" s="10">
        <v>-2598.995</v>
      </c>
      <c r="W60" s="10">
        <v>-1262.819</v>
      </c>
      <c r="X60" s="10">
        <v>-4687.572</v>
      </c>
      <c r="Y60" s="10">
        <v>-2833.288</v>
      </c>
      <c r="Z60" s="10">
        <v>-1214.499</v>
      </c>
      <c r="AA60" s="10">
        <v>-4416.879</v>
      </c>
      <c r="AB60" s="10">
        <v>-4025.597</v>
      </c>
      <c r="AC60" s="10">
        <v>-1250.683</v>
      </c>
      <c r="AE60">
        <v>280</v>
      </c>
      <c r="AF60">
        <v>2.40451359</v>
      </c>
      <c r="AG60">
        <v>3.76391439</v>
      </c>
      <c r="AH60">
        <v>2.94621437</v>
      </c>
      <c r="AI60">
        <v>5.15527643</v>
      </c>
      <c r="AJ60">
        <v>1.85832678</v>
      </c>
      <c r="AK60">
        <v>3.02318091</v>
      </c>
      <c r="AL60">
        <v>2.57128467</v>
      </c>
      <c r="AM60">
        <v>4.48175724</v>
      </c>
      <c r="AN60">
        <v>1.11418855</v>
      </c>
      <c r="AO60">
        <v>1.88276453</v>
      </c>
      <c r="AP60">
        <v>8.7145745</v>
      </c>
      <c r="AQ60">
        <v>8.79111919</v>
      </c>
      <c r="AR60">
        <v>6.53043482</v>
      </c>
      <c r="AS60">
        <v>7.69268924</v>
      </c>
      <c r="AT60">
        <v>6.46385906</v>
      </c>
      <c r="BN60">
        <v>2.825</v>
      </c>
      <c r="BO60">
        <v>0.41691058</v>
      </c>
      <c r="BP60">
        <v>0.1697902</v>
      </c>
      <c r="BQ60">
        <v>2.825</v>
      </c>
      <c r="BR60">
        <v>0.41775828</v>
      </c>
      <c r="BS60">
        <v>0.18186891</v>
      </c>
      <c r="BT60">
        <v>2.825</v>
      </c>
      <c r="BU60">
        <v>0.54578403</v>
      </c>
      <c r="BV60">
        <v>0</v>
      </c>
      <c r="BW60">
        <v>2.825</v>
      </c>
      <c r="BX60">
        <v>0.41240573</v>
      </c>
      <c r="BY60">
        <v>0.1859508</v>
      </c>
      <c r="BZ60">
        <v>2.825</v>
      </c>
      <c r="CA60">
        <v>0.36089299</v>
      </c>
      <c r="CB60">
        <v>2.26</v>
      </c>
      <c r="CC60">
        <v>11.86529677</v>
      </c>
    </row>
    <row r="61" spans="14:81">
      <c r="N61" s="5">
        <v>285</v>
      </c>
      <c r="O61" s="9">
        <v>1054.817</v>
      </c>
      <c r="P61" s="5">
        <v>-69.67349141</v>
      </c>
      <c r="Q61" s="9">
        <v>-1673.679</v>
      </c>
      <c r="R61" s="10">
        <v>-5672.343</v>
      </c>
      <c r="S61" s="10">
        <v>-6128.591</v>
      </c>
      <c r="T61" s="10">
        <v>-1161.366</v>
      </c>
      <c r="U61" s="10">
        <v>-4558.926</v>
      </c>
      <c r="V61" s="10">
        <v>-2601.639</v>
      </c>
      <c r="W61" s="10">
        <v>-1263.438</v>
      </c>
      <c r="X61" s="10">
        <v>-4688.437</v>
      </c>
      <c r="Y61" s="10">
        <v>-2834.741</v>
      </c>
      <c r="Z61" s="10">
        <v>-1214.551</v>
      </c>
      <c r="AA61" s="10">
        <v>-4418.484</v>
      </c>
      <c r="AB61" s="10">
        <v>-4027.233</v>
      </c>
      <c r="AC61" s="10">
        <v>-1250.505</v>
      </c>
      <c r="AE61">
        <v>285</v>
      </c>
      <c r="AF61">
        <v>2.39027911</v>
      </c>
      <c r="AG61">
        <v>3.80719521</v>
      </c>
      <c r="AH61">
        <v>3.03135125</v>
      </c>
      <c r="AI61">
        <v>5.28190593</v>
      </c>
      <c r="AJ61">
        <v>1.85310111</v>
      </c>
      <c r="AK61">
        <v>3.03872362</v>
      </c>
      <c r="AL61">
        <v>2.63423797</v>
      </c>
      <c r="AM61">
        <v>4.55204901</v>
      </c>
      <c r="AN61">
        <v>1.13341546</v>
      </c>
      <c r="AO61">
        <v>1.95047272</v>
      </c>
      <c r="AP61">
        <v>8.85728615</v>
      </c>
      <c r="AQ61">
        <v>8.90795172</v>
      </c>
      <c r="AR61">
        <v>6.61300181</v>
      </c>
      <c r="AS61">
        <v>7.80114334</v>
      </c>
      <c r="AT61">
        <v>6.54013778</v>
      </c>
      <c r="BN61">
        <v>2.875</v>
      </c>
      <c r="BO61">
        <v>0.36358072</v>
      </c>
      <c r="BP61">
        <v>0.3278719</v>
      </c>
      <c r="BQ61">
        <v>2.875</v>
      </c>
      <c r="BR61">
        <v>0.2642666</v>
      </c>
      <c r="BS61">
        <v>0.52679459</v>
      </c>
      <c r="BT61">
        <v>2.875</v>
      </c>
      <c r="BU61">
        <v>0.33667259</v>
      </c>
      <c r="BV61">
        <v>0</v>
      </c>
      <c r="BW61">
        <v>2.875</v>
      </c>
      <c r="BX61">
        <v>0.31286065</v>
      </c>
      <c r="BY61">
        <v>0.3590787</v>
      </c>
      <c r="BZ61">
        <v>2.875</v>
      </c>
      <c r="CA61">
        <v>0.31941218</v>
      </c>
      <c r="CB61">
        <v>2.3</v>
      </c>
      <c r="CC61">
        <v>4.65407713</v>
      </c>
    </row>
    <row r="62" spans="14:81">
      <c r="N62" s="5">
        <v>290</v>
      </c>
      <c r="O62" s="9">
        <v>1055.024</v>
      </c>
      <c r="P62" s="5">
        <v>-69.38191976</v>
      </c>
      <c r="Q62" s="9">
        <v>-1674.094</v>
      </c>
      <c r="R62" s="10">
        <v>-5671.215</v>
      </c>
      <c r="S62" s="10">
        <v>-6129.835</v>
      </c>
      <c r="T62" s="10">
        <v>-1162.982</v>
      </c>
      <c r="U62" s="10">
        <v>-4558.718</v>
      </c>
      <c r="V62" s="10">
        <v>-2602.054</v>
      </c>
      <c r="W62" s="10">
        <v>-1263.956</v>
      </c>
      <c r="X62" s="10">
        <v>-4688.581</v>
      </c>
      <c r="Y62" s="10">
        <v>-2836.193</v>
      </c>
      <c r="Z62" s="10">
        <v>-1215.749</v>
      </c>
      <c r="AA62" s="10">
        <v>-4419.008</v>
      </c>
      <c r="AB62" s="10">
        <v>-4028.916</v>
      </c>
      <c r="AC62" s="10">
        <v>-1250.684</v>
      </c>
      <c r="AE62">
        <v>290</v>
      </c>
      <c r="AF62">
        <v>2.40943937</v>
      </c>
      <c r="AG62">
        <v>3.84251749</v>
      </c>
      <c r="AH62">
        <v>3.05226994</v>
      </c>
      <c r="AI62">
        <v>5.36028358</v>
      </c>
      <c r="AJ62">
        <v>1.88878638</v>
      </c>
      <c r="AK62">
        <v>3.07087282</v>
      </c>
      <c r="AL62">
        <v>2.67754002</v>
      </c>
      <c r="AM62">
        <v>4.64604906</v>
      </c>
      <c r="AN62">
        <v>1.11485806</v>
      </c>
      <c r="AO62">
        <v>1.94369324</v>
      </c>
      <c r="AP62">
        <v>8.93880044</v>
      </c>
      <c r="AQ62">
        <v>8.99841632</v>
      </c>
      <c r="AR62">
        <v>6.69757981</v>
      </c>
      <c r="AS62">
        <v>7.91627978</v>
      </c>
      <c r="AT62">
        <v>6.58627632</v>
      </c>
      <c r="BN62">
        <v>2.925</v>
      </c>
      <c r="BO62">
        <v>0.35125715</v>
      </c>
      <c r="BP62">
        <v>1.10865539</v>
      </c>
      <c r="BQ62">
        <v>2.925</v>
      </c>
      <c r="BR62">
        <v>0.22843462</v>
      </c>
      <c r="BS62">
        <v>0</v>
      </c>
      <c r="BT62">
        <v>2.925</v>
      </c>
      <c r="BU62">
        <v>0.197985</v>
      </c>
      <c r="BV62">
        <v>0</v>
      </c>
      <c r="BW62">
        <v>2.925</v>
      </c>
      <c r="BX62">
        <v>0.26103948</v>
      </c>
      <c r="BY62">
        <v>0.17345386</v>
      </c>
      <c r="BZ62">
        <v>2.925</v>
      </c>
      <c r="CA62">
        <v>0.47690518</v>
      </c>
      <c r="CB62">
        <v>2.34</v>
      </c>
      <c r="CC62">
        <v>4.84219849</v>
      </c>
    </row>
    <row r="63" spans="14:81">
      <c r="N63" s="5">
        <v>295</v>
      </c>
      <c r="O63" s="9">
        <v>1055.203</v>
      </c>
      <c r="P63" s="5">
        <v>-71.5988821</v>
      </c>
      <c r="Q63" s="9">
        <v>-1674.94</v>
      </c>
      <c r="R63" s="10">
        <v>-5672.367</v>
      </c>
      <c r="S63" s="10">
        <v>-6131.113</v>
      </c>
      <c r="T63" s="10">
        <v>-1163.034</v>
      </c>
      <c r="U63" s="10">
        <v>-4559.541</v>
      </c>
      <c r="V63" s="10">
        <v>-2602.576</v>
      </c>
      <c r="W63" s="10">
        <v>-1264.316</v>
      </c>
      <c r="X63" s="10">
        <v>-4689.154</v>
      </c>
      <c r="Y63" s="10">
        <v>-2836.881</v>
      </c>
      <c r="Z63" s="10">
        <v>-1216.222</v>
      </c>
      <c r="AA63" s="10">
        <v>-4418.504</v>
      </c>
      <c r="AB63" s="10">
        <v>-4031.257</v>
      </c>
      <c r="AC63" s="10">
        <v>-1251.193</v>
      </c>
      <c r="AE63">
        <v>295</v>
      </c>
      <c r="AF63">
        <v>2.44900488</v>
      </c>
      <c r="AG63">
        <v>3.9051738</v>
      </c>
      <c r="AH63">
        <v>3.10170661</v>
      </c>
      <c r="AI63">
        <v>5.43867801</v>
      </c>
      <c r="AJ63">
        <v>1.92211999</v>
      </c>
      <c r="AK63">
        <v>3.08205121</v>
      </c>
      <c r="AL63">
        <v>2.71725072</v>
      </c>
      <c r="AM63">
        <v>4.69827748</v>
      </c>
      <c r="AN63">
        <v>1.17076681</v>
      </c>
      <c r="AO63">
        <v>1.99492511</v>
      </c>
      <c r="AP63">
        <v>9.0351693</v>
      </c>
      <c r="AQ63">
        <v>9.07942742</v>
      </c>
      <c r="AR63">
        <v>6.80644551</v>
      </c>
      <c r="AS63">
        <v>8.02699127</v>
      </c>
      <c r="AT63">
        <v>6.65551205</v>
      </c>
      <c r="BN63">
        <v>2.975</v>
      </c>
      <c r="BO63">
        <v>0.31529613</v>
      </c>
      <c r="BP63">
        <v>0.61240211</v>
      </c>
      <c r="BQ63">
        <v>2.975</v>
      </c>
      <c r="BR63">
        <v>0.27277869</v>
      </c>
      <c r="BS63">
        <v>0.65596781</v>
      </c>
      <c r="BT63">
        <v>2.975</v>
      </c>
      <c r="BU63">
        <v>0.24606787</v>
      </c>
      <c r="BV63">
        <v>0</v>
      </c>
      <c r="BW63">
        <v>2.975</v>
      </c>
      <c r="BX63">
        <v>0.39842997</v>
      </c>
      <c r="BY63">
        <v>0.50301783</v>
      </c>
      <c r="BZ63">
        <v>2.975</v>
      </c>
      <c r="CA63">
        <v>0.18982758</v>
      </c>
      <c r="CB63">
        <v>2.38</v>
      </c>
      <c r="CC63">
        <v>3.00909026</v>
      </c>
    </row>
    <row r="64" spans="14:81">
      <c r="N64" s="5">
        <v>300</v>
      </c>
      <c r="O64" s="9">
        <v>1054.976</v>
      </c>
      <c r="P64" s="5">
        <v>-73.31777286</v>
      </c>
      <c r="Q64" s="9">
        <v>-1675.904</v>
      </c>
      <c r="R64" s="10">
        <v>-5672.539</v>
      </c>
      <c r="S64" s="10">
        <v>-6132.772</v>
      </c>
      <c r="T64" s="10">
        <v>-1163.681</v>
      </c>
      <c r="U64" s="10">
        <v>-4560.078</v>
      </c>
      <c r="V64" s="10">
        <v>-2602.677</v>
      </c>
      <c r="W64" s="10">
        <v>-1264.942</v>
      </c>
      <c r="X64" s="10">
        <v>-4689.552</v>
      </c>
      <c r="Y64" s="10">
        <v>-2837.066</v>
      </c>
      <c r="Z64" s="10">
        <v>-1216.66</v>
      </c>
      <c r="AA64" s="10">
        <v>-4419.087</v>
      </c>
      <c r="AB64" s="10">
        <v>-4033.579</v>
      </c>
      <c r="AC64" s="10">
        <v>-1251.585</v>
      </c>
      <c r="AE64">
        <v>300</v>
      </c>
      <c r="AF64">
        <v>2.46764784</v>
      </c>
      <c r="AG64">
        <v>3.94669907</v>
      </c>
      <c r="AH64">
        <v>3.10547924</v>
      </c>
      <c r="AI64">
        <v>5.49250726</v>
      </c>
      <c r="AJ64">
        <v>1.92374657</v>
      </c>
      <c r="AK64">
        <v>3.14402828</v>
      </c>
      <c r="AL64">
        <v>2.81109354</v>
      </c>
      <c r="AM64">
        <v>4.79753116</v>
      </c>
      <c r="AN64">
        <v>1.18131186</v>
      </c>
      <c r="AO64">
        <v>2.04725064</v>
      </c>
      <c r="AP64">
        <v>9.12409809</v>
      </c>
      <c r="AQ64">
        <v>9.19782336</v>
      </c>
      <c r="AR64">
        <v>6.88087848</v>
      </c>
      <c r="AS64">
        <v>8.14191364</v>
      </c>
      <c r="AT64">
        <v>6.71018967</v>
      </c>
      <c r="BN64">
        <v>3.025</v>
      </c>
      <c r="BO64">
        <v>0.34014713</v>
      </c>
      <c r="BP64">
        <v>0.59232518</v>
      </c>
      <c r="BQ64">
        <v>3.025</v>
      </c>
      <c r="BR64">
        <v>0.16332701</v>
      </c>
      <c r="BS64">
        <v>0.79307828</v>
      </c>
      <c r="BT64">
        <v>3.025</v>
      </c>
      <c r="BU64">
        <v>0.31733441</v>
      </c>
      <c r="BV64">
        <v>0</v>
      </c>
      <c r="BW64">
        <v>3.025</v>
      </c>
      <c r="BX64">
        <v>0.39821348</v>
      </c>
      <c r="BY64">
        <v>0.81087825</v>
      </c>
      <c r="BZ64">
        <v>3.025</v>
      </c>
      <c r="CA64">
        <v>0.22294807</v>
      </c>
      <c r="CB64">
        <v>2.42</v>
      </c>
      <c r="CC64">
        <v>3.23382283</v>
      </c>
    </row>
    <row r="65" spans="14:81">
      <c r="N65" s="5">
        <v>305</v>
      </c>
      <c r="O65" s="9">
        <v>1054.681</v>
      </c>
      <c r="P65" s="5">
        <v>-73.63553456</v>
      </c>
      <c r="Q65" s="9">
        <v>-1676.084</v>
      </c>
      <c r="R65" s="10">
        <v>-5673.078</v>
      </c>
      <c r="S65" s="10">
        <v>-6134.074</v>
      </c>
      <c r="T65" s="10">
        <v>-1163.94</v>
      </c>
      <c r="U65" s="10">
        <v>-4559.744</v>
      </c>
      <c r="V65" s="10">
        <v>-2604.99</v>
      </c>
      <c r="W65" s="10">
        <v>-1266.675</v>
      </c>
      <c r="X65" s="10">
        <v>-4688.986</v>
      </c>
      <c r="Y65" s="10">
        <v>-2839.371</v>
      </c>
      <c r="Z65" s="10">
        <v>-1217.607</v>
      </c>
      <c r="AA65" s="10">
        <v>-4418.938</v>
      </c>
      <c r="AB65" s="10">
        <v>-4034.353</v>
      </c>
      <c r="AC65" s="10">
        <v>-1252.974</v>
      </c>
      <c r="AE65">
        <v>305</v>
      </c>
      <c r="AF65">
        <v>2.45232612</v>
      </c>
      <c r="AG65">
        <v>3.92062543</v>
      </c>
      <c r="AH65">
        <v>3.17451786</v>
      </c>
      <c r="AI65">
        <v>5.62930777</v>
      </c>
      <c r="AJ65">
        <v>1.96394251</v>
      </c>
      <c r="AK65">
        <v>3.20063124</v>
      </c>
      <c r="AL65">
        <v>2.87231782</v>
      </c>
      <c r="AM65">
        <v>4.83788563</v>
      </c>
      <c r="AN65">
        <v>1.21604591</v>
      </c>
      <c r="AO65">
        <v>2.03034463</v>
      </c>
      <c r="AP65">
        <v>9.21664534</v>
      </c>
      <c r="AQ65">
        <v>9.30302946</v>
      </c>
      <c r="AR65">
        <v>6.97506589</v>
      </c>
      <c r="AS65">
        <v>8.26285417</v>
      </c>
      <c r="AT65">
        <v>6.81109916</v>
      </c>
      <c r="BN65">
        <v>3.075</v>
      </c>
      <c r="BO65">
        <v>0.28377208</v>
      </c>
      <c r="BP65">
        <v>0.2866098</v>
      </c>
      <c r="BQ65">
        <v>3.075</v>
      </c>
      <c r="BR65">
        <v>0.12158374</v>
      </c>
      <c r="BS65">
        <v>0.61399789</v>
      </c>
      <c r="BT65">
        <v>3.075</v>
      </c>
      <c r="BU65">
        <v>0.23032404</v>
      </c>
      <c r="BV65">
        <v>0</v>
      </c>
      <c r="BW65">
        <v>3.075</v>
      </c>
      <c r="BX65">
        <v>0.28591894</v>
      </c>
      <c r="BY65">
        <v>0.47083391</v>
      </c>
      <c r="BZ65">
        <v>3.075</v>
      </c>
      <c r="CA65">
        <v>0.21575683</v>
      </c>
      <c r="CB65">
        <v>2.46</v>
      </c>
      <c r="CC65">
        <v>0.62590303</v>
      </c>
    </row>
    <row r="66" spans="14:81">
      <c r="N66" s="5">
        <v>310</v>
      </c>
      <c r="O66" s="9">
        <v>1055.086</v>
      </c>
      <c r="P66" s="5">
        <v>-74.54733961</v>
      </c>
      <c r="Q66" s="9">
        <v>-1676.936</v>
      </c>
      <c r="R66" s="10">
        <v>-5672.978</v>
      </c>
      <c r="S66" s="10">
        <v>-6135.246</v>
      </c>
      <c r="T66" s="10">
        <v>-1164.567</v>
      </c>
      <c r="U66" s="10">
        <v>-4560.342</v>
      </c>
      <c r="V66" s="10">
        <v>-2605.534</v>
      </c>
      <c r="W66" s="10">
        <v>-1266.97</v>
      </c>
      <c r="X66" s="10">
        <v>-4689.102</v>
      </c>
      <c r="Y66" s="10">
        <v>-2840.701</v>
      </c>
      <c r="Z66" s="10">
        <v>-1218.629</v>
      </c>
      <c r="AA66" s="10">
        <v>-4418.698</v>
      </c>
      <c r="AB66" s="10">
        <v>-4036.08</v>
      </c>
      <c r="AC66" s="10">
        <v>-1253.325</v>
      </c>
      <c r="AE66">
        <v>310</v>
      </c>
      <c r="AF66">
        <v>2.4394086</v>
      </c>
      <c r="AG66">
        <v>3.99473853</v>
      </c>
      <c r="AH66">
        <v>3.22453184</v>
      </c>
      <c r="AI66">
        <v>5.6711578</v>
      </c>
      <c r="AJ66">
        <v>1.98615337</v>
      </c>
      <c r="AK66">
        <v>3.20125826</v>
      </c>
      <c r="AL66">
        <v>2.89858981</v>
      </c>
      <c r="AM66">
        <v>4.90965687</v>
      </c>
      <c r="AN66">
        <v>1.24380324</v>
      </c>
      <c r="AO66">
        <v>2.06663715</v>
      </c>
      <c r="AP66">
        <v>9.33197267</v>
      </c>
      <c r="AQ66">
        <v>9.38242067</v>
      </c>
      <c r="AR66">
        <v>7.02669454</v>
      </c>
      <c r="AS66">
        <v>8.3731372</v>
      </c>
      <c r="AT66">
        <v>6.87916331</v>
      </c>
      <c r="BN66">
        <v>3.125</v>
      </c>
      <c r="BO66">
        <v>0.15386796</v>
      </c>
      <c r="BP66">
        <v>0.83253556</v>
      </c>
      <c r="BQ66">
        <v>3.125</v>
      </c>
      <c r="BR66">
        <v>0.08240699</v>
      </c>
      <c r="BS66">
        <v>0.14862689</v>
      </c>
      <c r="BT66">
        <v>3.125</v>
      </c>
      <c r="BU66">
        <v>0.47080477</v>
      </c>
      <c r="BV66">
        <v>0.46925607</v>
      </c>
      <c r="BW66">
        <v>3.125</v>
      </c>
      <c r="BX66">
        <v>0.26480628</v>
      </c>
      <c r="BY66">
        <v>0</v>
      </c>
      <c r="BZ66">
        <v>3.125</v>
      </c>
      <c r="CA66">
        <v>0.28264022</v>
      </c>
      <c r="CB66">
        <v>2.5</v>
      </c>
      <c r="CC66">
        <v>2.12112176</v>
      </c>
    </row>
    <row r="67" spans="14:81">
      <c r="N67" s="5">
        <v>315</v>
      </c>
      <c r="O67" s="9">
        <v>1054.669</v>
      </c>
      <c r="P67" s="5">
        <v>-75.98690666</v>
      </c>
      <c r="Q67" s="9">
        <v>-1677.549</v>
      </c>
      <c r="R67" s="10">
        <v>-5672.856</v>
      </c>
      <c r="S67" s="10">
        <v>-6137.472</v>
      </c>
      <c r="T67" s="10">
        <v>-1165.879</v>
      </c>
      <c r="U67" s="10">
        <v>-4560.191</v>
      </c>
      <c r="V67" s="10">
        <v>-2605.819</v>
      </c>
      <c r="W67" s="10">
        <v>-1267.285</v>
      </c>
      <c r="X67" s="10">
        <v>-4689.753</v>
      </c>
      <c r="Y67" s="10">
        <v>-2841.743</v>
      </c>
      <c r="Z67" s="10">
        <v>-1219.645</v>
      </c>
      <c r="AA67" s="10">
        <v>-4417.522</v>
      </c>
      <c r="AB67" s="10">
        <v>-4035.974</v>
      </c>
      <c r="AC67" s="10">
        <v>-1254.127</v>
      </c>
      <c r="AE67">
        <v>315</v>
      </c>
      <c r="AF67">
        <v>2.47593026</v>
      </c>
      <c r="AG67">
        <v>3.99683427</v>
      </c>
      <c r="AH67">
        <v>3.3329789</v>
      </c>
      <c r="AI67">
        <v>5.79050638</v>
      </c>
      <c r="AJ67">
        <v>1.99144093</v>
      </c>
      <c r="AK67">
        <v>3.21111417</v>
      </c>
      <c r="AL67">
        <v>2.96031217</v>
      </c>
      <c r="AM67">
        <v>4.99000563</v>
      </c>
      <c r="AN67">
        <v>1.26711052</v>
      </c>
      <c r="AO67">
        <v>2.15403336</v>
      </c>
      <c r="AP67">
        <v>9.4418714</v>
      </c>
      <c r="AQ67">
        <v>9.50807064</v>
      </c>
      <c r="AR67">
        <v>7.11835891</v>
      </c>
      <c r="AS67">
        <v>8.51010146</v>
      </c>
      <c r="AT67">
        <v>6.97706816</v>
      </c>
      <c r="BN67">
        <v>3.175</v>
      </c>
      <c r="BO67">
        <v>0.20229569</v>
      </c>
      <c r="BP67">
        <v>0.94094113</v>
      </c>
      <c r="BQ67">
        <v>3.175</v>
      </c>
      <c r="BR67">
        <v>0.11404569</v>
      </c>
      <c r="BS67">
        <v>0.71991342</v>
      </c>
      <c r="BT67">
        <v>3.175</v>
      </c>
      <c r="BU67">
        <v>0.15603193</v>
      </c>
      <c r="BV67">
        <v>0.15153101</v>
      </c>
      <c r="BW67">
        <v>3.175</v>
      </c>
      <c r="BX67">
        <v>0.24487123</v>
      </c>
      <c r="BY67">
        <v>0.44164276</v>
      </c>
      <c r="BZ67">
        <v>3.175</v>
      </c>
      <c r="CA67">
        <v>0.22618959</v>
      </c>
      <c r="CB67">
        <v>2.54</v>
      </c>
      <c r="CC67">
        <v>0.29354888</v>
      </c>
    </row>
    <row r="68" spans="14:81">
      <c r="N68" s="5">
        <v>320</v>
      </c>
      <c r="O68" s="9">
        <v>1054.117</v>
      </c>
      <c r="P68" s="5">
        <v>-76.02272843</v>
      </c>
      <c r="Q68" s="9">
        <v>-1676.796</v>
      </c>
      <c r="R68" s="10">
        <v>-5672.729</v>
      </c>
      <c r="S68" s="10">
        <v>-6138.437</v>
      </c>
      <c r="T68" s="10">
        <v>-1166.384</v>
      </c>
      <c r="U68" s="10">
        <v>-4560.164</v>
      </c>
      <c r="V68" s="10">
        <v>-2607.337</v>
      </c>
      <c r="W68" s="10">
        <v>-1268.282</v>
      </c>
      <c r="X68" s="10">
        <v>-4690.161</v>
      </c>
      <c r="Y68" s="10">
        <v>-2842.249</v>
      </c>
      <c r="Z68" s="10">
        <v>-1220.581</v>
      </c>
      <c r="AA68" s="10">
        <v>-4417.091</v>
      </c>
      <c r="AB68" s="10">
        <v>-4036.19</v>
      </c>
      <c r="AC68" s="10">
        <v>-1255.059</v>
      </c>
      <c r="AE68">
        <v>320</v>
      </c>
      <c r="AF68">
        <v>2.44985669</v>
      </c>
      <c r="AG68">
        <v>4.02146405</v>
      </c>
      <c r="AH68">
        <v>3.3607384</v>
      </c>
      <c r="AI68">
        <v>5.85998034</v>
      </c>
      <c r="AJ68">
        <v>2.00007111</v>
      </c>
      <c r="AK68">
        <v>3.24092608</v>
      </c>
      <c r="AL68">
        <v>3.00901145</v>
      </c>
      <c r="AM68">
        <v>5.0818811</v>
      </c>
      <c r="AN68">
        <v>1.31470671</v>
      </c>
      <c r="AO68">
        <v>2.16674215</v>
      </c>
      <c r="AP68">
        <v>9.55123781</v>
      </c>
      <c r="AQ68">
        <v>9.60705775</v>
      </c>
      <c r="AR68">
        <v>7.19559857</v>
      </c>
      <c r="AS68">
        <v>8.62296648</v>
      </c>
      <c r="AT68">
        <v>7.09428452</v>
      </c>
      <c r="BN68">
        <v>3.225</v>
      </c>
      <c r="BO68">
        <v>0.19607171</v>
      </c>
      <c r="BP68">
        <v>0.91199142</v>
      </c>
      <c r="BQ68">
        <v>3.225</v>
      </c>
      <c r="BR68">
        <v>0.15475162</v>
      </c>
      <c r="BS68">
        <v>1.11642242</v>
      </c>
      <c r="BT68">
        <v>3.225</v>
      </c>
      <c r="BU68">
        <v>0.18613087</v>
      </c>
      <c r="BV68">
        <v>0.44060667</v>
      </c>
      <c r="BW68">
        <v>3.225</v>
      </c>
      <c r="BX68">
        <v>0.29384622</v>
      </c>
      <c r="BY68">
        <v>0.71342473</v>
      </c>
      <c r="BZ68">
        <v>3.225</v>
      </c>
      <c r="CA68">
        <v>0.18461513</v>
      </c>
      <c r="CB68">
        <v>2.58</v>
      </c>
      <c r="CC68">
        <v>0</v>
      </c>
    </row>
    <row r="69" spans="14:81">
      <c r="N69" s="5">
        <v>325</v>
      </c>
      <c r="O69" s="9">
        <v>1054.222</v>
      </c>
      <c r="P69" s="5">
        <v>-76.60700384</v>
      </c>
      <c r="Q69" s="9">
        <v>-1677.767</v>
      </c>
      <c r="R69" s="10">
        <v>-5672.794</v>
      </c>
      <c r="S69" s="10">
        <v>-6140.396</v>
      </c>
      <c r="T69" s="10">
        <v>-1167.429</v>
      </c>
      <c r="U69" s="10">
        <v>-4559.568</v>
      </c>
      <c r="V69" s="10">
        <v>-2608.583</v>
      </c>
      <c r="W69" s="10">
        <v>-1268.781</v>
      </c>
      <c r="X69" s="10">
        <v>-4690.461</v>
      </c>
      <c r="Y69" s="10">
        <v>-2841.249</v>
      </c>
      <c r="Z69" s="10">
        <v>-1220.788</v>
      </c>
      <c r="AA69" s="10">
        <v>-4416.825</v>
      </c>
      <c r="AB69" s="10">
        <v>-4036.971</v>
      </c>
      <c r="AC69" s="10">
        <v>-1255.717</v>
      </c>
      <c r="AE69">
        <v>325</v>
      </c>
      <c r="AF69">
        <v>2.44230846</v>
      </c>
      <c r="AG69">
        <v>4.10838859</v>
      </c>
      <c r="AH69">
        <v>3.42370007</v>
      </c>
      <c r="AI69">
        <v>5.91944054</v>
      </c>
      <c r="AJ69">
        <v>2.03905136</v>
      </c>
      <c r="AK69">
        <v>3.31897282</v>
      </c>
      <c r="AL69">
        <v>3.04727751</v>
      </c>
      <c r="AM69">
        <v>5.20164246</v>
      </c>
      <c r="AN69">
        <v>1.33397018</v>
      </c>
      <c r="AO69">
        <v>2.21258415</v>
      </c>
      <c r="AP69">
        <v>9.66671594</v>
      </c>
      <c r="AQ69">
        <v>9.69455411</v>
      </c>
      <c r="AR69">
        <v>7.26478064</v>
      </c>
      <c r="AS69">
        <v>8.71753345</v>
      </c>
      <c r="AT69">
        <v>7.19912155</v>
      </c>
      <c r="BN69">
        <v>3.275</v>
      </c>
      <c r="BO69">
        <v>0.18012373</v>
      </c>
      <c r="BP69">
        <v>0.88435746</v>
      </c>
      <c r="BQ69">
        <v>3.275</v>
      </c>
      <c r="BR69">
        <v>0.06431252</v>
      </c>
      <c r="BS69">
        <v>1.08259407</v>
      </c>
      <c r="BT69">
        <v>3.275</v>
      </c>
      <c r="BU69">
        <v>0.19177167</v>
      </c>
      <c r="BV69">
        <v>0.28483733</v>
      </c>
      <c r="BW69">
        <v>3.275</v>
      </c>
      <c r="BX69">
        <v>0.18630855</v>
      </c>
      <c r="BY69">
        <v>0.41508449</v>
      </c>
      <c r="BZ69">
        <v>3.275</v>
      </c>
      <c r="CA69">
        <v>0.22377646</v>
      </c>
      <c r="CB69">
        <v>2.62</v>
      </c>
      <c r="CC69">
        <v>0.8276888</v>
      </c>
    </row>
    <row r="70" spans="14:81">
      <c r="N70" s="5">
        <v>330</v>
      </c>
      <c r="O70" s="9">
        <v>1053.805</v>
      </c>
      <c r="P70" s="5">
        <v>-76.97018782</v>
      </c>
      <c r="Q70" s="9">
        <v>-1678.144</v>
      </c>
      <c r="R70" s="10">
        <v>-5672.662</v>
      </c>
      <c r="S70" s="10">
        <v>-6140.772</v>
      </c>
      <c r="T70" s="10">
        <v>-1167.973</v>
      </c>
      <c r="U70" s="10">
        <v>-4560.422</v>
      </c>
      <c r="V70" s="10">
        <v>-2608.99</v>
      </c>
      <c r="W70" s="10">
        <v>-1269.171</v>
      </c>
      <c r="X70" s="10">
        <v>-4690.389</v>
      </c>
      <c r="Y70" s="10">
        <v>-2841.263</v>
      </c>
      <c r="Z70" s="10">
        <v>-1222.083</v>
      </c>
      <c r="AA70" s="10">
        <v>-4416.684</v>
      </c>
      <c r="AB70" s="10">
        <v>-4037.713</v>
      </c>
      <c r="AC70" s="10">
        <v>-1256.687</v>
      </c>
      <c r="AE70">
        <v>330</v>
      </c>
      <c r="AF70">
        <v>2.47317944</v>
      </c>
      <c r="AG70">
        <v>4.1514594</v>
      </c>
      <c r="AH70">
        <v>3.41333404</v>
      </c>
      <c r="AI70">
        <v>5.99618912</v>
      </c>
      <c r="AJ70">
        <v>2.09577703</v>
      </c>
      <c r="AK70">
        <v>3.41247203</v>
      </c>
      <c r="AL70">
        <v>3.13002578</v>
      </c>
      <c r="AM70">
        <v>5.29440628</v>
      </c>
      <c r="AN70">
        <v>1.35215783</v>
      </c>
      <c r="AO70">
        <v>2.24003724</v>
      </c>
      <c r="AP70">
        <v>9.80625829</v>
      </c>
      <c r="AQ70">
        <v>9.80231034</v>
      </c>
      <c r="AR70">
        <v>7.35474163</v>
      </c>
      <c r="AS70">
        <v>8.83273435</v>
      </c>
      <c r="AT70">
        <v>7.27055543</v>
      </c>
      <c r="BN70">
        <v>3.325</v>
      </c>
      <c r="BO70">
        <v>0.20387185</v>
      </c>
      <c r="BP70">
        <v>1.96105308</v>
      </c>
      <c r="BQ70">
        <v>3.325</v>
      </c>
      <c r="BR70">
        <v>0.11438696</v>
      </c>
      <c r="BS70">
        <v>1.18156529</v>
      </c>
      <c r="BT70">
        <v>3.325</v>
      </c>
      <c r="BU70">
        <v>0.19699155</v>
      </c>
      <c r="BV70">
        <v>0.55267072</v>
      </c>
      <c r="BW70">
        <v>3.325</v>
      </c>
      <c r="BX70">
        <v>0.23390855</v>
      </c>
      <c r="BY70">
        <v>0.26846323</v>
      </c>
      <c r="BZ70">
        <v>3.325</v>
      </c>
      <c r="CA70">
        <v>0.19538736</v>
      </c>
      <c r="CB70">
        <v>2.66</v>
      </c>
      <c r="CC70">
        <v>0</v>
      </c>
    </row>
    <row r="71" spans="14:81">
      <c r="N71" s="5">
        <v>335</v>
      </c>
      <c r="O71" s="9">
        <v>1054.162</v>
      </c>
      <c r="P71" s="5">
        <v>-77.20681189</v>
      </c>
      <c r="Q71" s="9">
        <v>-1679.295</v>
      </c>
      <c r="R71" s="10">
        <v>-5672.974</v>
      </c>
      <c r="S71" s="10">
        <v>-6141.174</v>
      </c>
      <c r="T71" s="10">
        <v>-1168.923</v>
      </c>
      <c r="U71" s="10">
        <v>-4559.566</v>
      </c>
      <c r="V71" s="10">
        <v>-2610.737</v>
      </c>
      <c r="W71" s="10">
        <v>-1270.361</v>
      </c>
      <c r="X71" s="10">
        <v>-4690.235</v>
      </c>
      <c r="Y71" s="10">
        <v>-2842.648</v>
      </c>
      <c r="Z71" s="10">
        <v>-1222.24</v>
      </c>
      <c r="AA71" s="10">
        <v>-4417.415</v>
      </c>
      <c r="AB71" s="10">
        <v>-4038.375</v>
      </c>
      <c r="AC71" s="10">
        <v>-1256.537</v>
      </c>
      <c r="AE71">
        <v>335</v>
      </c>
      <c r="AF71">
        <v>2.4841649</v>
      </c>
      <c r="AG71">
        <v>4.2046482</v>
      </c>
      <c r="AH71">
        <v>3.52372753</v>
      </c>
      <c r="AI71">
        <v>6.18328168</v>
      </c>
      <c r="AJ71">
        <v>2.13461704</v>
      </c>
      <c r="AK71">
        <v>3.40203634</v>
      </c>
      <c r="AL71">
        <v>3.17860472</v>
      </c>
      <c r="AM71">
        <v>5.42111485</v>
      </c>
      <c r="AN71">
        <v>1.42101485</v>
      </c>
      <c r="AO71">
        <v>2.29366842</v>
      </c>
      <c r="AP71">
        <v>9.9066022</v>
      </c>
      <c r="AQ71">
        <v>9.94493223</v>
      </c>
      <c r="AR71">
        <v>7.43719811</v>
      </c>
      <c r="AS71">
        <v>8.95356277</v>
      </c>
      <c r="AT71">
        <v>7.3600727</v>
      </c>
      <c r="BN71">
        <v>3.375</v>
      </c>
      <c r="BO71">
        <v>0.18845339</v>
      </c>
      <c r="BP71">
        <v>2.73610769</v>
      </c>
      <c r="BQ71">
        <v>3.375</v>
      </c>
      <c r="BR71">
        <v>0.06055794</v>
      </c>
      <c r="BS71">
        <v>2.93075178</v>
      </c>
      <c r="BT71">
        <v>3.375</v>
      </c>
      <c r="BU71">
        <v>0.22306445</v>
      </c>
      <c r="BV71">
        <v>0.93872956</v>
      </c>
      <c r="BW71">
        <v>3.375</v>
      </c>
      <c r="BX71">
        <v>0.26830746</v>
      </c>
      <c r="BY71">
        <v>1.17255522</v>
      </c>
      <c r="BZ71">
        <v>3.375</v>
      </c>
      <c r="CA71">
        <v>0.21071233</v>
      </c>
      <c r="CB71">
        <v>2.7</v>
      </c>
      <c r="CC71">
        <v>0.51957873</v>
      </c>
    </row>
    <row r="72" spans="14:81">
      <c r="N72" s="5">
        <v>340</v>
      </c>
      <c r="O72" s="9">
        <v>1053.812</v>
      </c>
      <c r="P72" s="5">
        <v>-77.70495099</v>
      </c>
      <c r="Q72" s="9">
        <v>-1679.606</v>
      </c>
      <c r="R72" s="10">
        <v>-5673.6</v>
      </c>
      <c r="S72" s="10">
        <v>-6141.481</v>
      </c>
      <c r="T72" s="10">
        <v>-1168.912</v>
      </c>
      <c r="U72" s="10">
        <v>-4559.274</v>
      </c>
      <c r="V72" s="10">
        <v>-2611.906</v>
      </c>
      <c r="W72" s="10">
        <v>-1271.158</v>
      </c>
      <c r="X72" s="10">
        <v>-4689.137</v>
      </c>
      <c r="Y72" s="10">
        <v>-2843.479</v>
      </c>
      <c r="Z72" s="10">
        <v>-1223.375</v>
      </c>
      <c r="AA72" s="10">
        <v>-4417.494</v>
      </c>
      <c r="AB72" s="10">
        <v>-4039.17</v>
      </c>
      <c r="AC72" s="10">
        <v>-1256.834</v>
      </c>
      <c r="AE72">
        <v>340</v>
      </c>
      <c r="AF72">
        <v>2.49590729</v>
      </c>
      <c r="AG72">
        <v>4.23963947</v>
      </c>
      <c r="AH72">
        <v>3.54576777</v>
      </c>
      <c r="AI72">
        <v>6.19566714</v>
      </c>
      <c r="AJ72">
        <v>2.15790914</v>
      </c>
      <c r="AK72">
        <v>3.53491898</v>
      </c>
      <c r="AL72">
        <v>3.21448579</v>
      </c>
      <c r="AM72">
        <v>5.53474682</v>
      </c>
      <c r="AN72">
        <v>1.43612903</v>
      </c>
      <c r="AO72">
        <v>2.31676778</v>
      </c>
      <c r="AP72">
        <v>10.02232755</v>
      </c>
      <c r="AQ72">
        <v>10.06033145</v>
      </c>
      <c r="AR72">
        <v>7.52687559</v>
      </c>
      <c r="AS72">
        <v>9.08772285</v>
      </c>
      <c r="AT72">
        <v>7.45778073</v>
      </c>
      <c r="BN72">
        <v>3.425</v>
      </c>
      <c r="BO72">
        <v>0.11894439</v>
      </c>
      <c r="BP72">
        <v>3.11885905</v>
      </c>
      <c r="BQ72">
        <v>3.425</v>
      </c>
      <c r="BR72">
        <v>0.05880276</v>
      </c>
      <c r="BS72">
        <v>3.71192412</v>
      </c>
      <c r="BT72">
        <v>3.425</v>
      </c>
      <c r="BU72">
        <v>0.17534227</v>
      </c>
      <c r="BV72">
        <v>0.52086968</v>
      </c>
      <c r="BW72">
        <v>3.425</v>
      </c>
      <c r="BX72">
        <v>0.23046972</v>
      </c>
      <c r="BY72">
        <v>0.75904702</v>
      </c>
      <c r="BZ72">
        <v>3.425</v>
      </c>
      <c r="CA72">
        <v>0.18414464</v>
      </c>
      <c r="CB72">
        <v>2.74</v>
      </c>
      <c r="CC72">
        <v>0.50451955</v>
      </c>
    </row>
    <row r="73" spans="14:81">
      <c r="N73" s="5">
        <v>345</v>
      </c>
      <c r="O73" s="9">
        <v>1053.659</v>
      </c>
      <c r="P73" s="5">
        <v>-78.59501346</v>
      </c>
      <c r="Q73" s="9">
        <v>-1679.872</v>
      </c>
      <c r="R73" s="10">
        <v>-5673.571</v>
      </c>
      <c r="S73" s="10">
        <v>-6142.704</v>
      </c>
      <c r="T73" s="10">
        <v>-1169.807</v>
      </c>
      <c r="U73" s="10">
        <v>-4559.78</v>
      </c>
      <c r="V73" s="10">
        <v>-2613.768</v>
      </c>
      <c r="W73" s="10">
        <v>-1271.916</v>
      </c>
      <c r="X73" s="10">
        <v>-4689.6</v>
      </c>
      <c r="Y73" s="10">
        <v>-2844.95</v>
      </c>
      <c r="Z73" s="10">
        <v>-1224.419</v>
      </c>
      <c r="AA73" s="10">
        <v>-4417.571</v>
      </c>
      <c r="AB73" s="10">
        <v>-4039.907</v>
      </c>
      <c r="AC73" s="10">
        <v>-1257.804</v>
      </c>
      <c r="AE73">
        <v>345</v>
      </c>
      <c r="AF73">
        <v>2.48805057</v>
      </c>
      <c r="AG73">
        <v>4.28304432</v>
      </c>
      <c r="AH73">
        <v>3.6637804</v>
      </c>
      <c r="AI73">
        <v>6.33332667</v>
      </c>
      <c r="AJ73">
        <v>2.2141801</v>
      </c>
      <c r="AK73">
        <v>3.6046071</v>
      </c>
      <c r="AL73">
        <v>3.32879207</v>
      </c>
      <c r="AM73">
        <v>5.65665101</v>
      </c>
      <c r="AN73">
        <v>1.45815193</v>
      </c>
      <c r="AO73">
        <v>2.33895165</v>
      </c>
      <c r="AP73">
        <v>10.16734193</v>
      </c>
      <c r="AQ73">
        <v>10.16995447</v>
      </c>
      <c r="AR73">
        <v>7.61466823</v>
      </c>
      <c r="AS73">
        <v>9.23236501</v>
      </c>
      <c r="AT73">
        <v>7.54085797</v>
      </c>
      <c r="BN73">
        <v>3.475</v>
      </c>
      <c r="BO73">
        <v>0.15998706</v>
      </c>
      <c r="BP73">
        <v>2.91754179</v>
      </c>
      <c r="BQ73">
        <v>3.475</v>
      </c>
      <c r="BR73">
        <v>0.06664326</v>
      </c>
      <c r="BS73">
        <v>2.64430941</v>
      </c>
      <c r="BT73">
        <v>3.475</v>
      </c>
      <c r="BU73">
        <v>0.15029368</v>
      </c>
      <c r="BV73">
        <v>1.51796615</v>
      </c>
      <c r="BW73">
        <v>3.475</v>
      </c>
      <c r="BX73">
        <v>0.20441704</v>
      </c>
      <c r="BY73">
        <v>0.61446788</v>
      </c>
      <c r="BZ73">
        <v>3.475</v>
      </c>
      <c r="CA73">
        <v>0.31801552</v>
      </c>
      <c r="CB73">
        <v>2.78</v>
      </c>
      <c r="CC73">
        <v>0</v>
      </c>
    </row>
    <row r="74" spans="14:81">
      <c r="N74" s="5">
        <v>350</v>
      </c>
      <c r="O74" s="9">
        <v>1053.778</v>
      </c>
      <c r="P74" s="5">
        <v>-79.77330134</v>
      </c>
      <c r="Q74" s="9">
        <v>-1680.785</v>
      </c>
      <c r="R74" s="10">
        <v>-5673.694</v>
      </c>
      <c r="S74" s="10">
        <v>-6145.334</v>
      </c>
      <c r="T74" s="10">
        <v>-1170.587</v>
      </c>
      <c r="U74" s="10">
        <v>-4560.055</v>
      </c>
      <c r="V74" s="10">
        <v>-2615.418</v>
      </c>
      <c r="W74" s="10">
        <v>-1272.277</v>
      </c>
      <c r="X74" s="10">
        <v>-4689.616</v>
      </c>
      <c r="Y74" s="10">
        <v>-2846.147</v>
      </c>
      <c r="Z74" s="10">
        <v>-1224.537</v>
      </c>
      <c r="AA74" s="10">
        <v>-4418.077</v>
      </c>
      <c r="AB74" s="10">
        <v>-4040.308</v>
      </c>
      <c r="AC74" s="10">
        <v>-1258.006</v>
      </c>
      <c r="AE74">
        <v>350</v>
      </c>
      <c r="AF74">
        <v>2.45876501</v>
      </c>
      <c r="AG74">
        <v>4.36494038</v>
      </c>
      <c r="AH74">
        <v>3.71607862</v>
      </c>
      <c r="AI74">
        <v>6.46504568</v>
      </c>
      <c r="AJ74">
        <v>2.25856419</v>
      </c>
      <c r="AK74">
        <v>3.72438036</v>
      </c>
      <c r="AL74">
        <v>3.33563166</v>
      </c>
      <c r="AM74">
        <v>5.73862438</v>
      </c>
      <c r="AN74">
        <v>1.47447902</v>
      </c>
      <c r="AO74">
        <v>2.36996727</v>
      </c>
      <c r="AP74">
        <v>10.28813262</v>
      </c>
      <c r="AQ74">
        <v>10.29122579</v>
      </c>
      <c r="AR74">
        <v>7.69148213</v>
      </c>
      <c r="AS74">
        <v>9.3708968</v>
      </c>
      <c r="AT74">
        <v>7.64949748</v>
      </c>
      <c r="BN74">
        <v>3.525</v>
      </c>
      <c r="BO74">
        <v>0.20730758</v>
      </c>
      <c r="BP74">
        <v>3.81683485</v>
      </c>
      <c r="BQ74">
        <v>3.525</v>
      </c>
      <c r="BR74">
        <v>0.08327072</v>
      </c>
      <c r="BS74">
        <v>4.90603301</v>
      </c>
      <c r="BT74">
        <v>3.525</v>
      </c>
      <c r="BU74">
        <v>0.18500976</v>
      </c>
      <c r="BV74">
        <v>1.84401176</v>
      </c>
      <c r="BW74">
        <v>3.525</v>
      </c>
      <c r="BX74">
        <v>0.22703908</v>
      </c>
      <c r="BY74">
        <v>1.91091227</v>
      </c>
      <c r="BZ74">
        <v>3.525</v>
      </c>
      <c r="CA74">
        <v>0.3670063</v>
      </c>
      <c r="CB74">
        <v>2.82</v>
      </c>
      <c r="CC74">
        <v>0.23815042</v>
      </c>
    </row>
    <row r="75" spans="14:81">
      <c r="N75" s="5">
        <v>355</v>
      </c>
      <c r="O75" s="9">
        <v>1053.967</v>
      </c>
      <c r="P75" s="5">
        <v>-80.14788714</v>
      </c>
      <c r="Q75" s="9">
        <v>-1681.153</v>
      </c>
      <c r="R75" s="10">
        <v>-5674.272</v>
      </c>
      <c r="S75" s="10">
        <v>-6146.544</v>
      </c>
      <c r="T75" s="10">
        <v>-1171.234</v>
      </c>
      <c r="U75" s="10">
        <v>-4560.331</v>
      </c>
      <c r="V75" s="10">
        <v>-2615.6</v>
      </c>
      <c r="W75" s="10">
        <v>-1272.535</v>
      </c>
      <c r="X75" s="10">
        <v>-4689.352</v>
      </c>
      <c r="Y75" s="10">
        <v>-2846.041</v>
      </c>
      <c r="Z75" s="10">
        <v>-1225.177</v>
      </c>
      <c r="AA75" s="10">
        <v>-4417.733</v>
      </c>
      <c r="AB75" s="10">
        <v>-4039.868</v>
      </c>
      <c r="AC75" s="10">
        <v>-1258.69</v>
      </c>
      <c r="AE75">
        <v>355</v>
      </c>
      <c r="AF75">
        <v>2.4463611</v>
      </c>
      <c r="AG75">
        <v>4.39413755</v>
      </c>
      <c r="AH75">
        <v>3.7854296</v>
      </c>
      <c r="AI75">
        <v>6.59326386</v>
      </c>
      <c r="AJ75">
        <v>2.31280239</v>
      </c>
      <c r="AK75">
        <v>3.78031269</v>
      </c>
      <c r="AL75">
        <v>3.4114048</v>
      </c>
      <c r="AM75">
        <v>5.89036187</v>
      </c>
      <c r="AN75">
        <v>1.51645647</v>
      </c>
      <c r="AO75">
        <v>2.41412779</v>
      </c>
      <c r="AP75">
        <v>10.39884684</v>
      </c>
      <c r="AQ75">
        <v>10.39903383</v>
      </c>
      <c r="AR75">
        <v>7.78760564</v>
      </c>
      <c r="AS75">
        <v>9.53137376</v>
      </c>
      <c r="AT75">
        <v>7.77651646</v>
      </c>
      <c r="BN75">
        <v>3.575</v>
      </c>
      <c r="BO75">
        <v>0.29392622</v>
      </c>
      <c r="BP75">
        <v>5.40719278</v>
      </c>
      <c r="BQ75">
        <v>3.575</v>
      </c>
      <c r="BR75">
        <v>0.0899531</v>
      </c>
      <c r="BS75">
        <v>4.88332899</v>
      </c>
      <c r="BT75">
        <v>3.575</v>
      </c>
      <c r="BU75">
        <v>0.26507296</v>
      </c>
      <c r="BV75">
        <v>2.62942908</v>
      </c>
      <c r="BW75">
        <v>3.575</v>
      </c>
      <c r="BX75">
        <v>0.22993005</v>
      </c>
      <c r="BY75">
        <v>1.85783484</v>
      </c>
      <c r="BZ75">
        <v>3.575</v>
      </c>
      <c r="CA75">
        <v>0.28169395</v>
      </c>
      <c r="CB75">
        <v>2.86</v>
      </c>
      <c r="CC75">
        <v>0.46307112</v>
      </c>
    </row>
    <row r="76" spans="14:81">
      <c r="N76" s="5">
        <v>360</v>
      </c>
      <c r="O76" s="9">
        <v>1053.618</v>
      </c>
      <c r="P76" s="5">
        <v>-80.8976824</v>
      </c>
      <c r="Q76" s="9">
        <v>-1681.539</v>
      </c>
      <c r="R76" s="10">
        <v>-5673.892</v>
      </c>
      <c r="S76" s="10">
        <v>-6146.588</v>
      </c>
      <c r="T76" s="10">
        <v>-1172.384</v>
      </c>
      <c r="U76" s="10">
        <v>-4560.951</v>
      </c>
      <c r="V76" s="10">
        <v>-2617.393</v>
      </c>
      <c r="W76" s="10">
        <v>-1272.985</v>
      </c>
      <c r="X76" s="10">
        <v>-4689.346</v>
      </c>
      <c r="Y76" s="10">
        <v>-2847.032</v>
      </c>
      <c r="Z76" s="10">
        <v>-1226.038</v>
      </c>
      <c r="AA76" s="10">
        <v>-4418.054</v>
      </c>
      <c r="AB76" s="10">
        <v>-4040.942</v>
      </c>
      <c r="AC76" s="10">
        <v>-1258.622</v>
      </c>
      <c r="AE76">
        <v>360</v>
      </c>
      <c r="AF76">
        <v>2.44770474</v>
      </c>
      <c r="AG76">
        <v>4.49606129</v>
      </c>
      <c r="AH76">
        <v>3.82617707</v>
      </c>
      <c r="AI76">
        <v>6.71976774</v>
      </c>
      <c r="AJ76">
        <v>2.30164787</v>
      </c>
      <c r="AK76">
        <v>3.82245983</v>
      </c>
      <c r="AL76">
        <v>3.53159729</v>
      </c>
      <c r="AM76">
        <v>5.9639182</v>
      </c>
      <c r="AN76">
        <v>1.50766614</v>
      </c>
      <c r="AO76">
        <v>2.45824599</v>
      </c>
      <c r="AP76">
        <v>10.5465421</v>
      </c>
      <c r="AQ76">
        <v>10.50307427</v>
      </c>
      <c r="AR76">
        <v>7.88522516</v>
      </c>
      <c r="AS76">
        <v>9.68138256</v>
      </c>
      <c r="AT76">
        <v>7.89630011</v>
      </c>
      <c r="BN76">
        <v>3.625</v>
      </c>
      <c r="BO76">
        <v>0.236867</v>
      </c>
      <c r="BP76">
        <v>4.94970344</v>
      </c>
      <c r="BQ76">
        <v>3.625</v>
      </c>
      <c r="BR76">
        <v>0.06999103</v>
      </c>
      <c r="BS76">
        <v>5.743639</v>
      </c>
      <c r="BT76">
        <v>3.625</v>
      </c>
      <c r="BU76">
        <v>0.19335836</v>
      </c>
      <c r="BV76">
        <v>2.55739449</v>
      </c>
      <c r="BW76">
        <v>3.625</v>
      </c>
      <c r="BX76">
        <v>0.21468576</v>
      </c>
      <c r="BY76">
        <v>1.91987214</v>
      </c>
      <c r="BZ76">
        <v>3.625</v>
      </c>
      <c r="CA76">
        <v>0.3196396</v>
      </c>
      <c r="CB76">
        <v>2.9</v>
      </c>
      <c r="CC76">
        <v>0</v>
      </c>
    </row>
    <row r="77" spans="14:81">
      <c r="N77" s="5">
        <v>365</v>
      </c>
      <c r="O77" s="9">
        <v>1053.315</v>
      </c>
      <c r="P77" s="5">
        <v>-82.04988123</v>
      </c>
      <c r="Q77" s="9">
        <v>-1682.093</v>
      </c>
      <c r="R77" s="10">
        <v>-5673.695</v>
      </c>
      <c r="S77" s="10">
        <v>-6147.471</v>
      </c>
      <c r="T77" s="10">
        <v>-1172.993</v>
      </c>
      <c r="U77" s="10">
        <v>-4560.815</v>
      </c>
      <c r="V77" s="10">
        <v>-2618.415</v>
      </c>
      <c r="W77" s="10">
        <v>-1273.412</v>
      </c>
      <c r="X77" s="10">
        <v>-4689.561</v>
      </c>
      <c r="Y77" s="10">
        <v>-2846.927</v>
      </c>
      <c r="Z77" s="10">
        <v>-1226.39</v>
      </c>
      <c r="AA77" s="10">
        <v>-4418.038</v>
      </c>
      <c r="AB77" s="10">
        <v>-4041.613</v>
      </c>
      <c r="AC77" s="10">
        <v>-1258.926</v>
      </c>
      <c r="AE77">
        <v>365</v>
      </c>
      <c r="AF77">
        <v>2.42822614</v>
      </c>
      <c r="AG77">
        <v>4.55178768</v>
      </c>
      <c r="AH77">
        <v>3.86014442</v>
      </c>
      <c r="AI77">
        <v>6.79068554</v>
      </c>
      <c r="AJ77">
        <v>2.36343871</v>
      </c>
      <c r="AK77">
        <v>3.80856422</v>
      </c>
      <c r="AL77">
        <v>3.59591439</v>
      </c>
      <c r="AM77">
        <v>6.06928079</v>
      </c>
      <c r="AN77">
        <v>1.56818137</v>
      </c>
      <c r="AO77">
        <v>2.48788756</v>
      </c>
      <c r="AP77">
        <v>10.7115634</v>
      </c>
      <c r="AQ77">
        <v>10.61698066</v>
      </c>
      <c r="AR77">
        <v>8.0008005</v>
      </c>
      <c r="AS77">
        <v>9.82315746</v>
      </c>
      <c r="AT77">
        <v>7.99929357</v>
      </c>
      <c r="BN77">
        <v>3.675</v>
      </c>
      <c r="BO77">
        <v>0.23841267</v>
      </c>
      <c r="BP77">
        <v>3.71228394</v>
      </c>
      <c r="BQ77">
        <v>3.675</v>
      </c>
      <c r="BR77">
        <v>0.07661194</v>
      </c>
      <c r="BS77">
        <v>6.44817126</v>
      </c>
      <c r="BT77">
        <v>3.675</v>
      </c>
      <c r="BU77">
        <v>0.241885</v>
      </c>
      <c r="BV77">
        <v>3.28000544</v>
      </c>
      <c r="BW77">
        <v>3.675</v>
      </c>
      <c r="BX77">
        <v>0.21758729</v>
      </c>
      <c r="BY77">
        <v>3.40632905</v>
      </c>
      <c r="BZ77">
        <v>3.675</v>
      </c>
      <c r="CA77">
        <v>0.20437223</v>
      </c>
      <c r="CB77">
        <v>2.94</v>
      </c>
      <c r="CC77">
        <v>0.43821322</v>
      </c>
    </row>
    <row r="78" spans="14:81">
      <c r="N78" s="5">
        <v>370</v>
      </c>
      <c r="O78" s="9">
        <v>1053.397</v>
      </c>
      <c r="P78" s="5">
        <v>-82.01014912</v>
      </c>
      <c r="Q78" s="9">
        <v>-1682.389</v>
      </c>
      <c r="R78" s="10">
        <v>-5673.609</v>
      </c>
      <c r="S78" s="10">
        <v>-6148.634</v>
      </c>
      <c r="T78" s="10">
        <v>-1173.186</v>
      </c>
      <c r="U78" s="10">
        <v>-4560.402</v>
      </c>
      <c r="V78" s="10">
        <v>-2618.816</v>
      </c>
      <c r="W78" s="10">
        <v>-1273.735</v>
      </c>
      <c r="X78" s="10">
        <v>-4689.154</v>
      </c>
      <c r="Y78" s="10">
        <v>-2847.548</v>
      </c>
      <c r="Z78" s="10">
        <v>-1226.967</v>
      </c>
      <c r="AA78" s="10">
        <v>-4417.759</v>
      </c>
      <c r="AB78" s="10">
        <v>-4042.685</v>
      </c>
      <c r="AC78" s="10">
        <v>-1258.501</v>
      </c>
      <c r="AE78">
        <v>370</v>
      </c>
      <c r="AF78">
        <v>2.40123728</v>
      </c>
      <c r="AG78">
        <v>4.57445864</v>
      </c>
      <c r="AH78">
        <v>3.9623365</v>
      </c>
      <c r="AI78">
        <v>7.04577684</v>
      </c>
      <c r="AJ78">
        <v>2.42464742</v>
      </c>
      <c r="AK78">
        <v>3.83375999</v>
      </c>
      <c r="AL78">
        <v>3.68528608</v>
      </c>
      <c r="AM78">
        <v>6.11858072</v>
      </c>
      <c r="AN78">
        <v>1.53605553</v>
      </c>
      <c r="AO78">
        <v>2.53256725</v>
      </c>
      <c r="AP78">
        <v>10.84673483</v>
      </c>
      <c r="AQ78">
        <v>10.71805873</v>
      </c>
      <c r="AR78">
        <v>8.12402197</v>
      </c>
      <c r="AS78">
        <v>9.99283445</v>
      </c>
      <c r="AT78">
        <v>8.12120061</v>
      </c>
      <c r="BN78">
        <v>3.725</v>
      </c>
      <c r="BO78">
        <v>0.30940717</v>
      </c>
      <c r="BP78">
        <v>4.58986204</v>
      </c>
      <c r="BQ78">
        <v>3.725</v>
      </c>
      <c r="BR78">
        <v>0.11599634</v>
      </c>
      <c r="BS78">
        <v>8.57751482</v>
      </c>
      <c r="BT78">
        <v>3.725</v>
      </c>
      <c r="BU78">
        <v>0.23543512</v>
      </c>
      <c r="BV78">
        <v>4.51359652</v>
      </c>
      <c r="BW78">
        <v>3.725</v>
      </c>
      <c r="BX78">
        <v>0.26261379</v>
      </c>
      <c r="BY78">
        <v>2.78074115</v>
      </c>
      <c r="BZ78">
        <v>3.725</v>
      </c>
      <c r="CA78">
        <v>0.32000598</v>
      </c>
      <c r="CB78">
        <v>2.98</v>
      </c>
      <c r="CC78">
        <v>0.63979236</v>
      </c>
    </row>
    <row r="79" spans="14:81">
      <c r="N79" s="5">
        <v>375</v>
      </c>
      <c r="O79" s="9">
        <v>1053.293</v>
      </c>
      <c r="P79" s="5">
        <v>-83.01497672</v>
      </c>
      <c r="Q79" s="9">
        <v>-1683.289</v>
      </c>
      <c r="R79" s="10">
        <v>-5673.767</v>
      </c>
      <c r="S79" s="10">
        <v>-6149.459</v>
      </c>
      <c r="T79" s="10">
        <v>-1173.688</v>
      </c>
      <c r="U79" s="10">
        <v>-4560.27</v>
      </c>
      <c r="V79" s="10">
        <v>-2618.299</v>
      </c>
      <c r="W79" s="10">
        <v>-1273.579</v>
      </c>
      <c r="X79" s="10">
        <v>-4688.848</v>
      </c>
      <c r="Y79" s="10">
        <v>-2847.769</v>
      </c>
      <c r="Z79" s="10">
        <v>-1227.315</v>
      </c>
      <c r="AA79" s="10">
        <v>-4418.059</v>
      </c>
      <c r="AB79" s="10">
        <v>-4044.761</v>
      </c>
      <c r="AC79" s="10">
        <v>-1258.919</v>
      </c>
      <c r="AE79">
        <v>375</v>
      </c>
      <c r="AF79">
        <v>2.44058285</v>
      </c>
      <c r="AG79">
        <v>4.66455648</v>
      </c>
      <c r="AH79">
        <v>4.07940877</v>
      </c>
      <c r="AI79">
        <v>7.15219271</v>
      </c>
      <c r="AJ79">
        <v>2.46477706</v>
      </c>
      <c r="AK79">
        <v>3.8726106</v>
      </c>
      <c r="AL79">
        <v>3.79647828</v>
      </c>
      <c r="AM79">
        <v>6.17748564</v>
      </c>
      <c r="AN79">
        <v>1.61576732</v>
      </c>
      <c r="AO79">
        <v>2.5913022</v>
      </c>
      <c r="AP79">
        <v>10.99528088</v>
      </c>
      <c r="AQ79">
        <v>10.82887426</v>
      </c>
      <c r="AR79">
        <v>8.2427332</v>
      </c>
      <c r="AS79">
        <v>10.16103872</v>
      </c>
      <c r="AT79">
        <v>8.26013114</v>
      </c>
      <c r="BN79">
        <v>3.775</v>
      </c>
      <c r="BO79">
        <v>0.31632862</v>
      </c>
      <c r="BP79">
        <v>6.65608145</v>
      </c>
      <c r="BQ79">
        <v>3.775</v>
      </c>
      <c r="BR79">
        <v>0.0887417</v>
      </c>
      <c r="BS79">
        <v>8.04625014</v>
      </c>
      <c r="BT79">
        <v>3.775</v>
      </c>
      <c r="BU79">
        <v>0.19527837</v>
      </c>
      <c r="BV79">
        <v>5.57392389</v>
      </c>
      <c r="BW79">
        <v>3.775</v>
      </c>
      <c r="BX79">
        <v>0.29694577</v>
      </c>
      <c r="BY79">
        <v>4.58203821</v>
      </c>
      <c r="BZ79">
        <v>3.775</v>
      </c>
      <c r="CA79">
        <v>0.42948239</v>
      </c>
      <c r="CB79">
        <v>3.02</v>
      </c>
      <c r="CC79">
        <v>0.20765223</v>
      </c>
    </row>
    <row r="80" spans="14:81">
      <c r="N80" s="5">
        <v>380</v>
      </c>
      <c r="O80" s="9">
        <v>1053.452</v>
      </c>
      <c r="P80" s="5">
        <v>-83.27443657</v>
      </c>
      <c r="Q80" s="9">
        <v>-1683.612</v>
      </c>
      <c r="R80" s="10">
        <v>-5673.609</v>
      </c>
      <c r="S80" s="10">
        <v>-6149.589</v>
      </c>
      <c r="T80" s="10">
        <v>-1174.525</v>
      </c>
      <c r="U80" s="10">
        <v>-4560.625</v>
      </c>
      <c r="V80" s="10">
        <v>-2618.692</v>
      </c>
      <c r="W80" s="10">
        <v>-1273.717</v>
      </c>
      <c r="X80" s="10">
        <v>-4689.016</v>
      </c>
      <c r="Y80" s="10">
        <v>-2848.247</v>
      </c>
      <c r="Z80" s="10">
        <v>-1227.265</v>
      </c>
      <c r="AA80" s="10">
        <v>-4418.423</v>
      </c>
      <c r="AB80" s="10">
        <v>-4046.81</v>
      </c>
      <c r="AC80" s="10">
        <v>-1258.878</v>
      </c>
      <c r="AE80">
        <v>380</v>
      </c>
      <c r="AF80">
        <v>2.43246236</v>
      </c>
      <c r="AG80">
        <v>4.71527558</v>
      </c>
      <c r="AH80">
        <v>4.14282339</v>
      </c>
      <c r="AI80">
        <v>7.25607379</v>
      </c>
      <c r="AJ80">
        <v>2.54452538</v>
      </c>
      <c r="AK80">
        <v>3.94459782</v>
      </c>
      <c r="AL80">
        <v>3.93202927</v>
      </c>
      <c r="AM80">
        <v>6.34784259</v>
      </c>
      <c r="AN80">
        <v>1.66741177</v>
      </c>
      <c r="AO80">
        <v>2.67499827</v>
      </c>
      <c r="AP80">
        <v>11.1182594</v>
      </c>
      <c r="AQ80">
        <v>10.9360495</v>
      </c>
      <c r="AR80">
        <v>8.37275846</v>
      </c>
      <c r="AS80">
        <v>10.33418648</v>
      </c>
      <c r="AT80">
        <v>8.40828315</v>
      </c>
      <c r="BN80">
        <v>3.825</v>
      </c>
      <c r="BO80">
        <v>0.31544878</v>
      </c>
      <c r="BP80">
        <v>7.31676113</v>
      </c>
      <c r="BQ80">
        <v>3.825</v>
      </c>
      <c r="BR80">
        <v>0.11786843</v>
      </c>
      <c r="BS80">
        <v>10.41662274</v>
      </c>
      <c r="BT80">
        <v>3.825</v>
      </c>
      <c r="BU80">
        <v>0.22328588</v>
      </c>
      <c r="BV80">
        <v>6.05559584</v>
      </c>
      <c r="BW80">
        <v>3.825</v>
      </c>
      <c r="BX80">
        <v>0.28923333</v>
      </c>
      <c r="BY80">
        <v>4.8687611</v>
      </c>
      <c r="BZ80">
        <v>3.825</v>
      </c>
      <c r="CA80">
        <v>0.33630261</v>
      </c>
      <c r="CB80">
        <v>3.06</v>
      </c>
      <c r="CC80">
        <v>0.40451795</v>
      </c>
    </row>
    <row r="81" spans="14:81">
      <c r="N81" s="5">
        <v>385</v>
      </c>
      <c r="O81" s="9">
        <v>1053.377</v>
      </c>
      <c r="P81" s="5">
        <v>-84.23063351</v>
      </c>
      <c r="Q81" s="9">
        <v>-1684.058</v>
      </c>
      <c r="R81" s="10">
        <v>-5672.854</v>
      </c>
      <c r="S81" s="10">
        <v>-6150.264</v>
      </c>
      <c r="T81" s="10">
        <v>-1175.539</v>
      </c>
      <c r="U81" s="10">
        <v>-4560.802</v>
      </c>
      <c r="V81" s="10">
        <v>-2617.259</v>
      </c>
      <c r="W81" s="10">
        <v>-1273.523</v>
      </c>
      <c r="X81" s="10">
        <v>-4688.713</v>
      </c>
      <c r="Y81" s="10">
        <v>-2848.437</v>
      </c>
      <c r="Z81" s="10">
        <v>-1228.078</v>
      </c>
      <c r="AA81" s="10">
        <v>-4418.383</v>
      </c>
      <c r="AB81" s="10">
        <v>-4047.8</v>
      </c>
      <c r="AC81" s="10">
        <v>-1259.873</v>
      </c>
      <c r="AE81">
        <v>385</v>
      </c>
      <c r="AF81">
        <v>2.44425929</v>
      </c>
      <c r="AG81">
        <v>4.77129077</v>
      </c>
      <c r="AH81">
        <v>4.26842292</v>
      </c>
      <c r="AI81">
        <v>7.44127651</v>
      </c>
      <c r="AJ81">
        <v>2.66024168</v>
      </c>
      <c r="AK81">
        <v>3.98043686</v>
      </c>
      <c r="AL81">
        <v>3.95680498</v>
      </c>
      <c r="AM81">
        <v>6.36395512</v>
      </c>
      <c r="AN81">
        <v>1.64264471</v>
      </c>
      <c r="AO81">
        <v>2.74500744</v>
      </c>
      <c r="AP81">
        <v>11.20194286</v>
      </c>
      <c r="AQ81">
        <v>11.08846248</v>
      </c>
      <c r="AR81">
        <v>8.48796706</v>
      </c>
      <c r="AS81">
        <v>10.50180527</v>
      </c>
      <c r="AT81">
        <v>8.52134918</v>
      </c>
      <c r="BN81">
        <v>3.875</v>
      </c>
      <c r="BO81">
        <v>0.37169213</v>
      </c>
      <c r="BP81">
        <v>7.7608602</v>
      </c>
      <c r="BQ81">
        <v>3.875</v>
      </c>
      <c r="BR81">
        <v>0.09953349</v>
      </c>
      <c r="BS81">
        <v>8.02297341</v>
      </c>
      <c r="BT81">
        <v>3.875</v>
      </c>
      <c r="BU81">
        <v>0.21756092</v>
      </c>
      <c r="BV81">
        <v>6.30725227</v>
      </c>
      <c r="BW81">
        <v>3.875</v>
      </c>
      <c r="BX81">
        <v>0.33661535</v>
      </c>
      <c r="BY81">
        <v>4.05210517</v>
      </c>
      <c r="BZ81">
        <v>3.875</v>
      </c>
      <c r="CA81">
        <v>0.41559407</v>
      </c>
      <c r="CB81">
        <v>3.1</v>
      </c>
      <c r="CC81">
        <v>0.39414627</v>
      </c>
    </row>
    <row r="82" spans="14:81">
      <c r="N82" s="5">
        <v>390</v>
      </c>
      <c r="O82" s="9">
        <v>1053.094</v>
      </c>
      <c r="P82" s="5">
        <v>-85.43794692</v>
      </c>
      <c r="Q82" s="9">
        <v>-1684.237</v>
      </c>
      <c r="R82" s="10">
        <v>-5673.101</v>
      </c>
      <c r="S82" s="10">
        <v>-6150.963</v>
      </c>
      <c r="T82" s="10">
        <v>-1175.886</v>
      </c>
      <c r="U82" s="10">
        <v>-4561.411</v>
      </c>
      <c r="V82" s="10">
        <v>-2617.003</v>
      </c>
      <c r="W82" s="10">
        <v>-1272.819</v>
      </c>
      <c r="X82" s="10">
        <v>-4688.366</v>
      </c>
      <c r="Y82" s="10">
        <v>-2848.376</v>
      </c>
      <c r="Z82" s="10">
        <v>-1228.447</v>
      </c>
      <c r="AA82" s="10">
        <v>-4417.875</v>
      </c>
      <c r="AB82" s="10">
        <v>-4048.68</v>
      </c>
      <c r="AC82" s="10">
        <v>-1260.714</v>
      </c>
      <c r="AE82">
        <v>390</v>
      </c>
      <c r="AF82">
        <v>2.39114378</v>
      </c>
      <c r="AG82">
        <v>4.72597718</v>
      </c>
      <c r="AH82">
        <v>4.34808101</v>
      </c>
      <c r="AI82">
        <v>7.54888545</v>
      </c>
      <c r="AJ82">
        <v>2.66942145</v>
      </c>
      <c r="AK82">
        <v>4.12427675</v>
      </c>
      <c r="AL82">
        <v>4.03317121</v>
      </c>
      <c r="AM82">
        <v>6.49157018</v>
      </c>
      <c r="AN82">
        <v>1.67541881</v>
      </c>
      <c r="AO82">
        <v>2.79478758</v>
      </c>
      <c r="AP82">
        <v>11.37378686</v>
      </c>
      <c r="AQ82">
        <v>11.23378376</v>
      </c>
      <c r="AR82">
        <v>8.61909157</v>
      </c>
      <c r="AS82">
        <v>10.69818739</v>
      </c>
      <c r="AT82">
        <v>8.6683089</v>
      </c>
      <c r="BN82">
        <v>3.925</v>
      </c>
      <c r="BO82">
        <v>0.36228271</v>
      </c>
      <c r="BP82">
        <v>8.44397398</v>
      </c>
      <c r="BQ82">
        <v>3.925</v>
      </c>
      <c r="BR82">
        <v>0.20149018</v>
      </c>
      <c r="BS82">
        <v>11.02319185</v>
      </c>
      <c r="BT82">
        <v>3.925</v>
      </c>
      <c r="BU82">
        <v>0.27488397</v>
      </c>
      <c r="BV82">
        <v>5.55265619</v>
      </c>
      <c r="BW82">
        <v>3.925</v>
      </c>
      <c r="BX82">
        <v>0.32046382</v>
      </c>
      <c r="BY82">
        <v>5.29814433</v>
      </c>
      <c r="BZ82">
        <v>3.925</v>
      </c>
      <c r="CA82">
        <v>0.24927586</v>
      </c>
      <c r="CB82">
        <v>3.14</v>
      </c>
      <c r="CC82">
        <v>1.72875792</v>
      </c>
    </row>
    <row r="83" spans="14:81">
      <c r="N83" s="5">
        <v>395</v>
      </c>
      <c r="O83" s="9">
        <v>1052.993</v>
      </c>
      <c r="P83" s="5">
        <v>-86.47732673</v>
      </c>
      <c r="Q83" s="9">
        <v>-1684.892</v>
      </c>
      <c r="R83" s="10">
        <v>-5673.714</v>
      </c>
      <c r="S83" s="10">
        <v>-6151.683</v>
      </c>
      <c r="T83" s="10">
        <v>-1176.366</v>
      </c>
      <c r="U83" s="10">
        <v>-4561.501</v>
      </c>
      <c r="V83" s="10">
        <v>-2617.7</v>
      </c>
      <c r="W83" s="10">
        <v>-1273.027</v>
      </c>
      <c r="X83" s="10">
        <v>-4687.429</v>
      </c>
      <c r="Y83" s="10">
        <v>-2847.813</v>
      </c>
      <c r="Z83" s="10">
        <v>-1229.436</v>
      </c>
      <c r="AA83" s="10">
        <v>-4417.471</v>
      </c>
      <c r="AB83" s="10">
        <v>-4049.146</v>
      </c>
      <c r="AC83" s="10">
        <v>-1261.276</v>
      </c>
      <c r="AE83">
        <v>395</v>
      </c>
      <c r="AF83">
        <v>2.39136572</v>
      </c>
      <c r="AG83">
        <v>4.84344265</v>
      </c>
      <c r="AH83">
        <v>4.45722082</v>
      </c>
      <c r="AI83">
        <v>7.70777848</v>
      </c>
      <c r="AJ83">
        <v>2.74036696</v>
      </c>
      <c r="AK83">
        <v>4.24540728</v>
      </c>
      <c r="AL83">
        <v>4.04753227</v>
      </c>
      <c r="AM83">
        <v>6.5149819</v>
      </c>
      <c r="AN83">
        <v>1.72638058</v>
      </c>
      <c r="AO83">
        <v>2.91373524</v>
      </c>
      <c r="AP83">
        <v>11.4791417</v>
      </c>
      <c r="AQ83">
        <v>11.3442818</v>
      </c>
      <c r="AR83">
        <v>8.78573951</v>
      </c>
      <c r="AS83">
        <v>10.8497845</v>
      </c>
      <c r="AT83">
        <v>8.79317464</v>
      </c>
      <c r="BN83">
        <v>3.975</v>
      </c>
      <c r="BO83">
        <v>0.34643331</v>
      </c>
      <c r="BP83">
        <v>7.03225659</v>
      </c>
      <c r="BQ83">
        <v>3.975</v>
      </c>
      <c r="BR83">
        <v>0.1819011</v>
      </c>
      <c r="BS83">
        <v>10.19646625</v>
      </c>
      <c r="BT83">
        <v>3.975</v>
      </c>
      <c r="BU83">
        <v>0.30629969</v>
      </c>
      <c r="BV83">
        <v>7.54071561</v>
      </c>
      <c r="BW83">
        <v>3.975</v>
      </c>
      <c r="BX83">
        <v>0.32733134</v>
      </c>
      <c r="BY83">
        <v>6.95021147</v>
      </c>
      <c r="BZ83">
        <v>3.975</v>
      </c>
      <c r="CA83">
        <v>0.39494698</v>
      </c>
      <c r="CB83">
        <v>3.18</v>
      </c>
      <c r="CC83">
        <v>0.93641181</v>
      </c>
    </row>
    <row r="84" spans="14:81">
      <c r="N84" s="5">
        <v>400</v>
      </c>
      <c r="O84" s="9">
        <v>1052.764</v>
      </c>
      <c r="P84" s="5">
        <v>-87.42632463</v>
      </c>
      <c r="Q84" s="9">
        <v>-1685.691</v>
      </c>
      <c r="R84" s="10">
        <v>-5673.982</v>
      </c>
      <c r="S84" s="10">
        <v>-6153.032</v>
      </c>
      <c r="T84" s="10">
        <v>-1177.348</v>
      </c>
      <c r="U84" s="10">
        <v>-4561.685</v>
      </c>
      <c r="V84" s="10">
        <v>-2618.275</v>
      </c>
      <c r="W84" s="10">
        <v>-1273.285</v>
      </c>
      <c r="X84" s="10">
        <v>-4687.376</v>
      </c>
      <c r="Y84" s="10">
        <v>-2848.677</v>
      </c>
      <c r="Z84" s="10">
        <v>-1229.979</v>
      </c>
      <c r="AA84" s="10">
        <v>-4417.246</v>
      </c>
      <c r="AB84" s="10">
        <v>-4049.369</v>
      </c>
      <c r="AC84" s="10">
        <v>-1261.892</v>
      </c>
      <c r="AE84">
        <v>400</v>
      </c>
      <c r="AF84">
        <v>2.40171694</v>
      </c>
      <c r="AG84">
        <v>4.89638289</v>
      </c>
      <c r="AH84">
        <v>4.51938052</v>
      </c>
      <c r="AI84">
        <v>7.81567366</v>
      </c>
      <c r="AJ84">
        <v>2.79663004</v>
      </c>
      <c r="AK84">
        <v>4.35322827</v>
      </c>
      <c r="AL84">
        <v>4.18614728</v>
      </c>
      <c r="AM84">
        <v>6.55962404</v>
      </c>
      <c r="AN84">
        <v>1.78961021</v>
      </c>
      <c r="AO84">
        <v>3.02721142</v>
      </c>
      <c r="AP84">
        <v>11.66162222</v>
      </c>
      <c r="AQ84">
        <v>11.50665168</v>
      </c>
      <c r="AR84">
        <v>8.93945383</v>
      </c>
      <c r="AS84">
        <v>11.00968599</v>
      </c>
      <c r="AT84">
        <v>8.93802986</v>
      </c>
      <c r="BN84">
        <v>4.025</v>
      </c>
      <c r="BO84">
        <v>0.3908806</v>
      </c>
      <c r="BP84">
        <v>8.19689874</v>
      </c>
      <c r="BQ84">
        <v>4.025</v>
      </c>
      <c r="BR84">
        <v>0.10644597</v>
      </c>
      <c r="BS84">
        <v>10.39267472</v>
      </c>
      <c r="BT84">
        <v>4.025</v>
      </c>
      <c r="BU84">
        <v>0.33607927</v>
      </c>
      <c r="BV84">
        <v>7.73169031</v>
      </c>
      <c r="BW84">
        <v>4.025</v>
      </c>
      <c r="BX84">
        <v>0.38455053</v>
      </c>
      <c r="BY84">
        <v>7.14502149</v>
      </c>
      <c r="BZ84">
        <v>4.025</v>
      </c>
      <c r="CA84">
        <v>0.42223375</v>
      </c>
      <c r="CB84">
        <v>3.22</v>
      </c>
      <c r="CC84">
        <v>0.73063337</v>
      </c>
    </row>
    <row r="85" spans="14:81">
      <c r="N85" s="5">
        <v>405</v>
      </c>
      <c r="O85" s="9">
        <v>1052.982</v>
      </c>
      <c r="P85" s="5">
        <v>-88.19642031</v>
      </c>
      <c r="Q85" s="9">
        <v>-1686.47</v>
      </c>
      <c r="R85" s="10">
        <v>-5674.721</v>
      </c>
      <c r="S85" s="10">
        <v>-6153.795</v>
      </c>
      <c r="T85" s="10">
        <v>-1177.635</v>
      </c>
      <c r="U85" s="10">
        <v>-4561.7</v>
      </c>
      <c r="V85" s="10">
        <v>-2618.26</v>
      </c>
      <c r="W85" s="10">
        <v>-1273.424</v>
      </c>
      <c r="X85" s="10">
        <v>-4687.59</v>
      </c>
      <c r="Y85" s="10">
        <v>-2849.859</v>
      </c>
      <c r="Z85" s="10">
        <v>-1230.791</v>
      </c>
      <c r="AA85" s="10">
        <v>-4416.993</v>
      </c>
      <c r="AB85" s="10">
        <v>-4050.597</v>
      </c>
      <c r="AC85" s="10">
        <v>-1262.085</v>
      </c>
      <c r="AE85">
        <v>405</v>
      </c>
      <c r="AF85">
        <v>2.40413675</v>
      </c>
      <c r="AG85">
        <v>4.89897898</v>
      </c>
      <c r="AH85">
        <v>4.61457195</v>
      </c>
      <c r="AI85">
        <v>7.95570494</v>
      </c>
      <c r="AJ85">
        <v>2.86146226</v>
      </c>
      <c r="AK85">
        <v>4.34601387</v>
      </c>
      <c r="AL85">
        <v>4.2299527</v>
      </c>
      <c r="AM85">
        <v>6.63799698</v>
      </c>
      <c r="AN85">
        <v>1.72275068</v>
      </c>
      <c r="AO85">
        <v>3.02409061</v>
      </c>
      <c r="AP85">
        <v>11.82157631</v>
      </c>
      <c r="AQ85">
        <v>11.61337507</v>
      </c>
      <c r="AR85">
        <v>9.03744399</v>
      </c>
      <c r="AS85">
        <v>11.15462916</v>
      </c>
      <c r="AT85">
        <v>9.00950132</v>
      </c>
      <c r="BN85">
        <v>4.075</v>
      </c>
      <c r="BO85">
        <v>0.36195686</v>
      </c>
      <c r="BP85">
        <v>8.24179006</v>
      </c>
      <c r="BQ85">
        <v>4.075</v>
      </c>
      <c r="BR85">
        <v>0.29770292</v>
      </c>
      <c r="BS85">
        <v>10.7510563</v>
      </c>
      <c r="BT85">
        <v>4.075</v>
      </c>
      <c r="BU85">
        <v>0.36431403</v>
      </c>
      <c r="BV85">
        <v>8.64699346</v>
      </c>
      <c r="BW85">
        <v>4.075</v>
      </c>
      <c r="BX85">
        <v>0.27606976</v>
      </c>
      <c r="BY85">
        <v>8.49002994</v>
      </c>
      <c r="BZ85">
        <v>4.075</v>
      </c>
      <c r="CA85">
        <v>0.52756701</v>
      </c>
      <c r="CB85">
        <v>3.26</v>
      </c>
      <c r="CC85">
        <v>1.06922091</v>
      </c>
    </row>
    <row r="86" spans="14:81">
      <c r="N86" s="5">
        <v>410</v>
      </c>
      <c r="O86" s="9">
        <v>1053.055</v>
      </c>
      <c r="P86" s="5">
        <v>-89.21586609</v>
      </c>
      <c r="Q86" s="9">
        <v>-1687.034</v>
      </c>
      <c r="R86" s="10">
        <v>-5675.28</v>
      </c>
      <c r="S86" s="10">
        <v>-6153.685</v>
      </c>
      <c r="T86" s="10">
        <v>-1178.402</v>
      </c>
      <c r="U86" s="10">
        <v>-4562.344</v>
      </c>
      <c r="V86" s="10">
        <v>-2618.134</v>
      </c>
      <c r="W86" s="10">
        <v>-1272.922</v>
      </c>
      <c r="X86" s="10">
        <v>-4688.313</v>
      </c>
      <c r="Y86" s="10">
        <v>-2851.623</v>
      </c>
      <c r="Z86" s="10">
        <v>-1231.146</v>
      </c>
      <c r="AA86" s="10">
        <v>-4416.718</v>
      </c>
      <c r="AB86" s="10">
        <v>-4052.512</v>
      </c>
      <c r="AC86" s="10">
        <v>-1262.645</v>
      </c>
      <c r="AE86">
        <v>410</v>
      </c>
      <c r="AF86">
        <v>2.44760623</v>
      </c>
      <c r="AG86">
        <v>4.94401278</v>
      </c>
      <c r="AH86">
        <v>4.70278802</v>
      </c>
      <c r="AI86">
        <v>8.07652573</v>
      </c>
      <c r="AJ86">
        <v>2.99677839</v>
      </c>
      <c r="AK86">
        <v>4.49657983</v>
      </c>
      <c r="AL86">
        <v>4.28696792</v>
      </c>
      <c r="AM86">
        <v>6.71979436</v>
      </c>
      <c r="AN86">
        <v>1.7096827</v>
      </c>
      <c r="AO86">
        <v>3.1391135</v>
      </c>
      <c r="AP86">
        <v>11.97011877</v>
      </c>
      <c r="AQ86">
        <v>11.76411811</v>
      </c>
      <c r="AR86">
        <v>9.17817802</v>
      </c>
      <c r="AS86">
        <v>11.30257366</v>
      </c>
      <c r="AT86">
        <v>9.13607536</v>
      </c>
      <c r="BN86">
        <v>4.125</v>
      </c>
      <c r="BO86">
        <v>0.41631319</v>
      </c>
      <c r="BP86">
        <v>7.96356677</v>
      </c>
      <c r="BQ86">
        <v>4.125</v>
      </c>
      <c r="BR86">
        <v>0.29728621</v>
      </c>
      <c r="BS86">
        <v>10.49200739</v>
      </c>
      <c r="BT86">
        <v>4.125</v>
      </c>
      <c r="BU86">
        <v>0.29865008</v>
      </c>
      <c r="BV86">
        <v>9.51591587</v>
      </c>
      <c r="BW86">
        <v>4.125</v>
      </c>
      <c r="BX86">
        <v>0.26250965</v>
      </c>
      <c r="BY86">
        <v>8.63432243</v>
      </c>
      <c r="BZ86">
        <v>4.125</v>
      </c>
      <c r="CA86">
        <v>0.5360136</v>
      </c>
      <c r="CB86">
        <v>3.3</v>
      </c>
      <c r="CC86">
        <v>1.21736745</v>
      </c>
    </row>
    <row r="87" spans="14:81">
      <c r="N87" s="5">
        <v>415</v>
      </c>
      <c r="O87" s="9">
        <v>1053.114</v>
      </c>
      <c r="P87" s="5">
        <v>-89.83775035</v>
      </c>
      <c r="Q87" s="9">
        <v>-1687.54</v>
      </c>
      <c r="R87" s="10">
        <v>-5676.101</v>
      </c>
      <c r="S87" s="10">
        <v>-6153.56</v>
      </c>
      <c r="T87" s="10">
        <v>-1178.555</v>
      </c>
      <c r="U87" s="10">
        <v>-4562.585</v>
      </c>
      <c r="V87" s="10">
        <v>-2618.498</v>
      </c>
      <c r="W87" s="10">
        <v>-1273.272</v>
      </c>
      <c r="X87" s="10">
        <v>-4688.373</v>
      </c>
      <c r="Y87" s="10">
        <v>-2851.75</v>
      </c>
      <c r="Z87" s="10">
        <v>-1231.712</v>
      </c>
      <c r="AA87" s="10">
        <v>-4416.826</v>
      </c>
      <c r="AB87" s="10">
        <v>-4053.027</v>
      </c>
      <c r="AC87" s="10">
        <v>-1262.994</v>
      </c>
      <c r="AE87">
        <v>415</v>
      </c>
      <c r="AF87">
        <v>2.50175122</v>
      </c>
      <c r="AG87">
        <v>5.1134537</v>
      </c>
      <c r="AH87">
        <v>4.94012694</v>
      </c>
      <c r="AI87">
        <v>8.24917858</v>
      </c>
      <c r="AJ87">
        <v>3.0896578</v>
      </c>
      <c r="AK87">
        <v>4.53485807</v>
      </c>
      <c r="AL87">
        <v>4.34472634</v>
      </c>
      <c r="AM87">
        <v>6.81841981</v>
      </c>
      <c r="AN87">
        <v>1.73049649</v>
      </c>
      <c r="AO87">
        <v>3.14767842</v>
      </c>
      <c r="AP87">
        <v>12.1896612</v>
      </c>
      <c r="AQ87">
        <v>11.98778895</v>
      </c>
      <c r="AR87">
        <v>9.29685609</v>
      </c>
      <c r="AS87">
        <v>11.36132831</v>
      </c>
      <c r="AT87">
        <v>9.30624168</v>
      </c>
      <c r="BN87">
        <v>4.175</v>
      </c>
      <c r="BO87">
        <v>0.40640145</v>
      </c>
      <c r="BP87">
        <v>7.85170677</v>
      </c>
      <c r="BQ87">
        <v>4.175</v>
      </c>
      <c r="BR87">
        <v>0.40892989</v>
      </c>
      <c r="BS87">
        <v>9.15969967</v>
      </c>
      <c r="BT87">
        <v>4.175</v>
      </c>
      <c r="BU87">
        <v>0.40954387</v>
      </c>
      <c r="BV87">
        <v>7.44901291</v>
      </c>
      <c r="BW87">
        <v>4.175</v>
      </c>
      <c r="BX87">
        <v>0.37764591</v>
      </c>
      <c r="BY87">
        <v>10.13153157</v>
      </c>
      <c r="BZ87">
        <v>4.175</v>
      </c>
      <c r="CA87">
        <v>0.53702177</v>
      </c>
      <c r="CB87">
        <v>3.34</v>
      </c>
      <c r="CC87">
        <v>1.52792215</v>
      </c>
    </row>
    <row r="88" spans="14:81">
      <c r="N88" s="5">
        <v>420</v>
      </c>
      <c r="O88" s="9">
        <v>1053.366</v>
      </c>
      <c r="P88" s="5">
        <v>-91.07485312</v>
      </c>
      <c r="Q88" s="9">
        <v>-1688.155</v>
      </c>
      <c r="R88" s="10">
        <v>-5675.453</v>
      </c>
      <c r="S88" s="10">
        <v>-6154.115</v>
      </c>
      <c r="T88" s="10">
        <v>-1179.491</v>
      </c>
      <c r="U88" s="10">
        <v>-4562.606</v>
      </c>
      <c r="V88" s="10">
        <v>-2618.816</v>
      </c>
      <c r="W88" s="10">
        <v>-1273.539</v>
      </c>
      <c r="X88" s="10">
        <v>-4688.351</v>
      </c>
      <c r="Y88" s="10">
        <v>-2852.701</v>
      </c>
      <c r="Z88" s="10">
        <v>-1232.702</v>
      </c>
      <c r="AA88" s="10">
        <v>-4416.841</v>
      </c>
      <c r="AB88" s="10">
        <v>-4054.095</v>
      </c>
      <c r="AC88" s="10">
        <v>-1262.892</v>
      </c>
      <c r="AE88">
        <v>420</v>
      </c>
      <c r="AF88">
        <v>2.5214036</v>
      </c>
      <c r="AG88">
        <v>5.13398823</v>
      </c>
      <c r="AH88">
        <v>5.09323597</v>
      </c>
      <c r="AI88">
        <v>8.27643878</v>
      </c>
      <c r="AJ88">
        <v>3.18471308</v>
      </c>
      <c r="AK88">
        <v>4.55918577</v>
      </c>
      <c r="AL88">
        <v>4.42100473</v>
      </c>
      <c r="AM88">
        <v>6.89907293</v>
      </c>
      <c r="AN88">
        <v>1.69338646</v>
      </c>
      <c r="AO88">
        <v>3.1912048</v>
      </c>
      <c r="AP88">
        <v>12.3529361</v>
      </c>
      <c r="AQ88">
        <v>12.19194434</v>
      </c>
      <c r="AR88">
        <v>9.4121201</v>
      </c>
      <c r="AS88">
        <v>11.49952761</v>
      </c>
      <c r="AT88">
        <v>9.48786223</v>
      </c>
      <c r="BN88">
        <v>4.225</v>
      </c>
      <c r="BO88">
        <v>0.40886495</v>
      </c>
      <c r="BP88">
        <v>8.04652229</v>
      </c>
      <c r="BQ88">
        <v>4.225</v>
      </c>
      <c r="BR88">
        <v>0.48947488</v>
      </c>
      <c r="BS88">
        <v>9.43205216</v>
      </c>
      <c r="BT88">
        <v>4.225</v>
      </c>
      <c r="BU88">
        <v>0.46768901</v>
      </c>
      <c r="BV88">
        <v>6.41801488</v>
      </c>
      <c r="BW88">
        <v>4.225</v>
      </c>
      <c r="BX88">
        <v>0.36876053</v>
      </c>
      <c r="BY88">
        <v>7.4822171</v>
      </c>
      <c r="BZ88">
        <v>4.225</v>
      </c>
      <c r="CA88">
        <v>0.54455527</v>
      </c>
      <c r="CB88">
        <v>3.38</v>
      </c>
      <c r="CC88">
        <v>1.82352221</v>
      </c>
    </row>
    <row r="89" spans="14:81">
      <c r="N89" s="5">
        <v>425</v>
      </c>
      <c r="O89" s="9">
        <v>1053.201</v>
      </c>
      <c r="P89" s="5">
        <v>-91.18509786</v>
      </c>
      <c r="Q89" s="9">
        <v>-1688.464</v>
      </c>
      <c r="R89" s="10">
        <v>-5675.709</v>
      </c>
      <c r="S89" s="10">
        <v>-6154.591</v>
      </c>
      <c r="T89" s="10">
        <v>-1180.287</v>
      </c>
      <c r="U89" s="10">
        <v>-4562.288</v>
      </c>
      <c r="V89" s="10">
        <v>-2619.049</v>
      </c>
      <c r="W89" s="10">
        <v>-1273.701</v>
      </c>
      <c r="X89" s="10">
        <v>-4688.662</v>
      </c>
      <c r="Y89" s="10">
        <v>-2853.887</v>
      </c>
      <c r="Z89" s="10">
        <v>-1233.519</v>
      </c>
      <c r="AA89" s="10">
        <v>-4416.574</v>
      </c>
      <c r="AB89" s="10">
        <v>-4055.264</v>
      </c>
      <c r="AC89" s="10">
        <v>-1262.747</v>
      </c>
      <c r="AE89">
        <v>425</v>
      </c>
      <c r="AF89">
        <v>2.69265414</v>
      </c>
      <c r="AG89">
        <v>5.24695494</v>
      </c>
      <c r="AH89">
        <v>5.23569919</v>
      </c>
      <c r="AI89">
        <v>8.42883503</v>
      </c>
      <c r="AJ89">
        <v>3.13628643</v>
      </c>
      <c r="AK89">
        <v>4.5965311</v>
      </c>
      <c r="AL89">
        <v>4.56448604</v>
      </c>
      <c r="AM89">
        <v>6.97384279</v>
      </c>
      <c r="AN89">
        <v>1.69001231</v>
      </c>
      <c r="AO89">
        <v>3.25683981</v>
      </c>
      <c r="AP89">
        <v>12.5589851</v>
      </c>
      <c r="AQ89">
        <v>12.42484279</v>
      </c>
      <c r="AR89">
        <v>9.57314247</v>
      </c>
      <c r="AS89">
        <v>11.68311915</v>
      </c>
      <c r="AT89">
        <v>9.68441645</v>
      </c>
      <c r="BN89">
        <v>4.275</v>
      </c>
      <c r="BO89">
        <v>0.5168148</v>
      </c>
      <c r="BP89">
        <v>5.70918853</v>
      </c>
      <c r="BQ89">
        <v>4.275</v>
      </c>
      <c r="BR89">
        <v>0.38373195</v>
      </c>
      <c r="BS89">
        <v>7.86257327</v>
      </c>
      <c r="BT89">
        <v>4.275</v>
      </c>
      <c r="BU89">
        <v>0.45019253</v>
      </c>
      <c r="BV89">
        <v>6.60309969</v>
      </c>
      <c r="BW89">
        <v>4.275</v>
      </c>
      <c r="BX89">
        <v>0.43093574</v>
      </c>
      <c r="BY89">
        <v>6.90220776</v>
      </c>
      <c r="BZ89">
        <v>4.275</v>
      </c>
      <c r="CA89">
        <v>0.53189177</v>
      </c>
      <c r="CB89">
        <v>3.42</v>
      </c>
      <c r="CC89">
        <v>1.78111665</v>
      </c>
    </row>
    <row r="90" spans="14:81">
      <c r="N90" s="5">
        <v>430</v>
      </c>
      <c r="O90" s="9">
        <v>1053.102</v>
      </c>
      <c r="P90" s="5">
        <v>-91.68087158</v>
      </c>
      <c r="Q90" s="9">
        <v>-1689.033</v>
      </c>
      <c r="R90" s="10">
        <v>-5676.354</v>
      </c>
      <c r="S90" s="10">
        <v>-6155.029</v>
      </c>
      <c r="T90" s="10">
        <v>-1180.797</v>
      </c>
      <c r="U90" s="10">
        <v>-4561.935</v>
      </c>
      <c r="V90" s="10">
        <v>-2620.636</v>
      </c>
      <c r="W90" s="10">
        <v>-1274.438</v>
      </c>
      <c r="X90" s="10">
        <v>-4688.375</v>
      </c>
      <c r="Y90" s="10">
        <v>-2853.937</v>
      </c>
      <c r="Z90" s="10">
        <v>-1234.205</v>
      </c>
      <c r="AA90" s="10">
        <v>-4416.286</v>
      </c>
      <c r="AB90" s="10">
        <v>-4056.306</v>
      </c>
      <c r="AC90" s="10">
        <v>-1263.654</v>
      </c>
      <c r="AE90">
        <v>430</v>
      </c>
      <c r="AF90">
        <v>2.70466102</v>
      </c>
      <c r="AG90">
        <v>5.32479526</v>
      </c>
      <c r="AH90">
        <v>5.49832846</v>
      </c>
      <c r="AI90">
        <v>8.65715891</v>
      </c>
      <c r="AJ90">
        <v>3.21778134</v>
      </c>
      <c r="AK90">
        <v>4.75050466</v>
      </c>
      <c r="AL90">
        <v>4.64335873</v>
      </c>
      <c r="AM90">
        <v>7.09551487</v>
      </c>
      <c r="AN90">
        <v>1.71733302</v>
      </c>
      <c r="AO90">
        <v>3.28862924</v>
      </c>
      <c r="AP90">
        <v>12.77044736</v>
      </c>
      <c r="AQ90">
        <v>12.73983652</v>
      </c>
      <c r="AR90">
        <v>9.7786765</v>
      </c>
      <c r="AS90">
        <v>11.83587202</v>
      </c>
      <c r="AT90">
        <v>9.95036422</v>
      </c>
      <c r="BN90">
        <v>4.325</v>
      </c>
      <c r="BO90">
        <v>0.51641032</v>
      </c>
      <c r="BP90">
        <v>4.92598064</v>
      </c>
      <c r="BQ90">
        <v>4.325</v>
      </c>
      <c r="BR90">
        <v>0.49168645</v>
      </c>
      <c r="BS90">
        <v>7.75942678</v>
      </c>
      <c r="BT90">
        <v>4.325</v>
      </c>
      <c r="BU90">
        <v>0.41397058</v>
      </c>
      <c r="BV90">
        <v>7.83956787</v>
      </c>
      <c r="BW90">
        <v>4.325</v>
      </c>
      <c r="BX90">
        <v>0.38332547</v>
      </c>
      <c r="BY90">
        <v>7.37822983</v>
      </c>
      <c r="BZ90">
        <v>4.325</v>
      </c>
      <c r="CA90">
        <v>0.50041807</v>
      </c>
      <c r="CB90">
        <v>3.46</v>
      </c>
      <c r="CC90">
        <v>2.05656841</v>
      </c>
    </row>
    <row r="91" spans="14:81">
      <c r="N91" s="5">
        <v>435</v>
      </c>
      <c r="O91" s="9">
        <v>1052.796</v>
      </c>
      <c r="P91" s="5">
        <v>-92.86376325</v>
      </c>
      <c r="Q91" s="9">
        <v>-1689.678</v>
      </c>
      <c r="R91" s="10">
        <v>-5676.296</v>
      </c>
      <c r="S91" s="10">
        <v>-6154.911</v>
      </c>
      <c r="T91" s="10">
        <v>-1181.364</v>
      </c>
      <c r="U91" s="10">
        <v>-4561.996</v>
      </c>
      <c r="V91" s="10">
        <v>-2621.723</v>
      </c>
      <c r="W91" s="10">
        <v>-1274.323</v>
      </c>
      <c r="X91" s="10">
        <v>-4688.656</v>
      </c>
      <c r="Y91" s="10">
        <v>-2854.115</v>
      </c>
      <c r="Z91" s="10">
        <v>-1234.392</v>
      </c>
      <c r="AA91" s="10">
        <v>-4415.974</v>
      </c>
      <c r="AB91" s="10">
        <v>-4057.188</v>
      </c>
      <c r="AC91" s="10">
        <v>-1264.249</v>
      </c>
      <c r="AE91">
        <v>435</v>
      </c>
      <c r="AF91">
        <v>2.71442816</v>
      </c>
      <c r="AG91">
        <v>5.42005095</v>
      </c>
      <c r="AH91">
        <v>5.65454095</v>
      </c>
      <c r="AI91">
        <v>8.70418748</v>
      </c>
      <c r="AJ91">
        <v>3.31262793</v>
      </c>
      <c r="AK91">
        <v>4.82748478</v>
      </c>
      <c r="AL91">
        <v>4.72905467</v>
      </c>
      <c r="AM91">
        <v>7.24679773</v>
      </c>
      <c r="AN91">
        <v>1.70353795</v>
      </c>
      <c r="AO91">
        <v>3.32154159</v>
      </c>
      <c r="AP91">
        <v>13.03168511</v>
      </c>
      <c r="AQ91">
        <v>12.94467026</v>
      </c>
      <c r="AR91">
        <v>9.95066351</v>
      </c>
      <c r="AS91">
        <v>12.06403952</v>
      </c>
      <c r="AT91">
        <v>10.2336767</v>
      </c>
      <c r="BN91">
        <v>4.375</v>
      </c>
      <c r="BO91">
        <v>0.5271042</v>
      </c>
      <c r="BP91">
        <v>4.46005851</v>
      </c>
      <c r="BQ91">
        <v>4.375</v>
      </c>
      <c r="BR91">
        <v>0.48051224</v>
      </c>
      <c r="BS91">
        <v>7.43142217</v>
      </c>
      <c r="BT91">
        <v>4.375</v>
      </c>
      <c r="BU91">
        <v>0.43616902</v>
      </c>
      <c r="BV91">
        <v>7.10275961</v>
      </c>
      <c r="BW91">
        <v>4.375</v>
      </c>
      <c r="BX91">
        <v>0.46673208</v>
      </c>
      <c r="BY91">
        <v>5.11716458</v>
      </c>
      <c r="BZ91">
        <v>4.375</v>
      </c>
      <c r="CA91">
        <v>0.55801337</v>
      </c>
      <c r="CB91">
        <v>3.5</v>
      </c>
      <c r="CC91">
        <v>2.78284189</v>
      </c>
    </row>
    <row r="92" spans="14:81">
      <c r="N92" s="5">
        <v>440</v>
      </c>
      <c r="O92" s="9">
        <v>1052.453</v>
      </c>
      <c r="P92" s="5">
        <v>-93.34233014</v>
      </c>
      <c r="Q92" s="9">
        <v>-1690.051</v>
      </c>
      <c r="R92" s="10">
        <v>-5676.219</v>
      </c>
      <c r="S92" s="10">
        <v>-6155.303</v>
      </c>
      <c r="T92" s="10">
        <v>-1182.269</v>
      </c>
      <c r="U92" s="10">
        <v>-4561.894</v>
      </c>
      <c r="V92" s="10">
        <v>-2623.929</v>
      </c>
      <c r="W92" s="10">
        <v>-1274.677</v>
      </c>
      <c r="X92" s="10">
        <v>-4689.316</v>
      </c>
      <c r="Y92" s="10">
        <v>-2854.462</v>
      </c>
      <c r="Z92" s="10">
        <v>-1234.332</v>
      </c>
      <c r="AA92" s="10">
        <v>-4415.924</v>
      </c>
      <c r="AB92" s="10">
        <v>-4057.965</v>
      </c>
      <c r="AC92" s="10">
        <v>-1264.448</v>
      </c>
      <c r="AE92">
        <v>440</v>
      </c>
      <c r="AF92">
        <v>2.88907576</v>
      </c>
      <c r="AG92">
        <v>5.57316562</v>
      </c>
      <c r="AH92">
        <v>5.87522711</v>
      </c>
      <c r="AI92">
        <v>8.8078119</v>
      </c>
      <c r="AJ92">
        <v>3.4740062</v>
      </c>
      <c r="AK92">
        <v>5.06807583</v>
      </c>
      <c r="AL92">
        <v>4.90011873</v>
      </c>
      <c r="AM92">
        <v>7.43608924</v>
      </c>
      <c r="AN92">
        <v>1.74744084</v>
      </c>
      <c r="AO92">
        <v>3.33757743</v>
      </c>
      <c r="AP92">
        <v>13.29363024</v>
      </c>
      <c r="AQ92">
        <v>13.1417736</v>
      </c>
      <c r="AR92">
        <v>10.24868974</v>
      </c>
      <c r="AS92">
        <v>12.32937735</v>
      </c>
      <c r="AT92">
        <v>10.40075647</v>
      </c>
      <c r="BN92">
        <v>4.425</v>
      </c>
      <c r="BO92">
        <v>0.44948183</v>
      </c>
      <c r="BP92">
        <v>3.59859541</v>
      </c>
      <c r="BQ92">
        <v>4.425</v>
      </c>
      <c r="BR92">
        <v>0.51668614</v>
      </c>
      <c r="BS92">
        <v>4.44761083</v>
      </c>
      <c r="BT92">
        <v>4.425</v>
      </c>
      <c r="BU92">
        <v>0.48816033</v>
      </c>
      <c r="BV92">
        <v>5.85097233</v>
      </c>
      <c r="BW92">
        <v>4.425</v>
      </c>
      <c r="BX92">
        <v>0.44423774</v>
      </c>
      <c r="BY92">
        <v>4.32006196</v>
      </c>
      <c r="BZ92">
        <v>4.425</v>
      </c>
      <c r="CA92">
        <v>0.52095858</v>
      </c>
      <c r="CB92">
        <v>3.54</v>
      </c>
      <c r="CC92">
        <v>2.87143704</v>
      </c>
    </row>
    <row r="93" spans="14:81">
      <c r="N93" s="5">
        <v>445</v>
      </c>
      <c r="O93" s="9">
        <v>1052.729</v>
      </c>
      <c r="P93" s="5">
        <v>-93.8250832</v>
      </c>
      <c r="Q93" s="9">
        <v>-1690.748</v>
      </c>
      <c r="R93" s="10">
        <v>-5675.904</v>
      </c>
      <c r="S93" s="10">
        <v>-6156.097</v>
      </c>
      <c r="T93" s="10">
        <v>-1182.667</v>
      </c>
      <c r="U93" s="10">
        <v>-4562.16</v>
      </c>
      <c r="V93" s="10">
        <v>-2625.852</v>
      </c>
      <c r="W93" s="10">
        <v>-1275.155</v>
      </c>
      <c r="X93" s="10">
        <v>-4689.431</v>
      </c>
      <c r="Y93" s="10">
        <v>-2854.232</v>
      </c>
      <c r="Z93" s="10">
        <v>-1234.812</v>
      </c>
      <c r="AA93" s="10">
        <v>-4416.179</v>
      </c>
      <c r="AB93" s="10">
        <v>-4059.31</v>
      </c>
      <c r="AC93" s="10">
        <v>-1264.559</v>
      </c>
      <c r="AE93">
        <v>445</v>
      </c>
      <c r="AF93">
        <v>2.89197165</v>
      </c>
      <c r="AG93">
        <v>5.70551707</v>
      </c>
      <c r="AH93">
        <v>5.84296612</v>
      </c>
      <c r="AI93">
        <v>8.81644177</v>
      </c>
      <c r="AJ93">
        <v>3.61138579</v>
      </c>
      <c r="AK93">
        <v>5.13127291</v>
      </c>
      <c r="AL93">
        <v>5.01029814</v>
      </c>
      <c r="AM93">
        <v>7.60790191</v>
      </c>
      <c r="AN93">
        <v>1.81462566</v>
      </c>
      <c r="AO93">
        <v>3.39917937</v>
      </c>
      <c r="AP93">
        <v>13.58998358</v>
      </c>
      <c r="AQ93">
        <v>13.36968404</v>
      </c>
      <c r="AR93">
        <v>10.50501818</v>
      </c>
      <c r="AS93">
        <v>12.5253726</v>
      </c>
      <c r="AT93">
        <v>10.76958767</v>
      </c>
      <c r="BN93">
        <v>4.475</v>
      </c>
      <c r="BO93">
        <v>0.50380992</v>
      </c>
      <c r="BP93">
        <v>2.36830862</v>
      </c>
      <c r="BQ93">
        <v>4.475</v>
      </c>
      <c r="BR93">
        <v>0.48224086</v>
      </c>
      <c r="BS93">
        <v>3.76894193</v>
      </c>
      <c r="BT93">
        <v>4.475</v>
      </c>
      <c r="BU93">
        <v>0.50752245</v>
      </c>
      <c r="BV93">
        <v>6.40747087</v>
      </c>
      <c r="BW93">
        <v>4.475</v>
      </c>
      <c r="BX93">
        <v>0.45197564</v>
      </c>
      <c r="BY93">
        <v>3.26068143</v>
      </c>
      <c r="BZ93">
        <v>4.475</v>
      </c>
      <c r="CA93">
        <v>0.58129499</v>
      </c>
      <c r="CB93">
        <v>3.58</v>
      </c>
      <c r="CC93">
        <v>3.25093998</v>
      </c>
    </row>
    <row r="94" spans="14:81">
      <c r="N94" s="5">
        <v>450</v>
      </c>
      <c r="O94" s="9">
        <v>1052.915</v>
      </c>
      <c r="P94" s="5">
        <v>-95.5807092</v>
      </c>
      <c r="Q94" s="9">
        <v>-1691.707</v>
      </c>
      <c r="R94" s="10">
        <v>-5675.66</v>
      </c>
      <c r="S94" s="10">
        <v>-6155.892</v>
      </c>
      <c r="T94" s="10">
        <v>-1183.385</v>
      </c>
      <c r="U94" s="10">
        <v>-4561.859</v>
      </c>
      <c r="V94" s="10">
        <v>-2626.32</v>
      </c>
      <c r="W94" s="10">
        <v>-1275.583</v>
      </c>
      <c r="X94" s="10">
        <v>-4689.417</v>
      </c>
      <c r="Y94" s="10">
        <v>-2854.767</v>
      </c>
      <c r="Z94" s="10">
        <v>-1235.257</v>
      </c>
      <c r="AA94" s="10">
        <v>-4416.286</v>
      </c>
      <c r="AB94" s="10">
        <v>-4060.856</v>
      </c>
      <c r="AC94" s="10">
        <v>-1265.006</v>
      </c>
      <c r="AE94">
        <v>450</v>
      </c>
      <c r="AF94">
        <v>3.0744169</v>
      </c>
      <c r="AG94">
        <v>6.02304493</v>
      </c>
      <c r="AH94">
        <v>6.04915175</v>
      </c>
      <c r="AI94">
        <v>8.98986905</v>
      </c>
      <c r="AJ94">
        <v>3.65720804</v>
      </c>
      <c r="AK94">
        <v>5.24296046</v>
      </c>
      <c r="AL94">
        <v>5.18471482</v>
      </c>
      <c r="AM94">
        <v>7.72108665</v>
      </c>
      <c r="AN94">
        <v>1.95864073</v>
      </c>
      <c r="AO94">
        <v>3.58979224</v>
      </c>
      <c r="AP94">
        <v>13.94564211</v>
      </c>
      <c r="AQ94">
        <v>13.62095614</v>
      </c>
      <c r="AR94">
        <v>10.73584704</v>
      </c>
      <c r="AS94">
        <v>12.76659145</v>
      </c>
      <c r="AT94">
        <v>11.13571796</v>
      </c>
      <c r="BN94">
        <v>4.525</v>
      </c>
      <c r="BO94">
        <v>0.52418897</v>
      </c>
      <c r="BP94">
        <v>1.12504057</v>
      </c>
      <c r="BQ94">
        <v>4.525</v>
      </c>
      <c r="BR94">
        <v>0.63447158</v>
      </c>
      <c r="BS94">
        <v>2.41014977</v>
      </c>
      <c r="BT94">
        <v>4.525</v>
      </c>
      <c r="BU94">
        <v>0.43136791</v>
      </c>
      <c r="BV94">
        <v>3.5063416</v>
      </c>
      <c r="BW94">
        <v>4.525</v>
      </c>
      <c r="BX94">
        <v>0.46500577</v>
      </c>
      <c r="BY94">
        <v>2.31928801</v>
      </c>
      <c r="BZ94">
        <v>4.525</v>
      </c>
      <c r="CA94">
        <v>0.45716025</v>
      </c>
      <c r="CB94">
        <v>3.62</v>
      </c>
      <c r="CC94">
        <v>2.6014039</v>
      </c>
    </row>
    <row r="95" spans="14:81">
      <c r="N95" s="5">
        <v>455</v>
      </c>
      <c r="O95" s="9">
        <v>1052.908</v>
      </c>
      <c r="P95" s="5">
        <v>-96.61382358</v>
      </c>
      <c r="Q95" s="9">
        <v>-1692.104</v>
      </c>
      <c r="R95" s="10">
        <v>-5675.655</v>
      </c>
      <c r="S95" s="10">
        <v>-6156.738</v>
      </c>
      <c r="T95" s="10">
        <v>-1183.696</v>
      </c>
      <c r="U95" s="10">
        <v>-4562.174</v>
      </c>
      <c r="V95" s="10">
        <v>-2627.551</v>
      </c>
      <c r="W95" s="10">
        <v>-1276.01</v>
      </c>
      <c r="X95" s="10">
        <v>-4689.95</v>
      </c>
      <c r="Y95" s="10">
        <v>-2854.557</v>
      </c>
      <c r="Z95" s="10">
        <v>-1235.11</v>
      </c>
      <c r="AA95" s="10">
        <v>-4416.3</v>
      </c>
      <c r="AB95" s="10">
        <v>-4062.145</v>
      </c>
      <c r="AC95" s="10">
        <v>-1265.338</v>
      </c>
      <c r="AE95">
        <v>455</v>
      </c>
      <c r="AF95">
        <v>3.22656448</v>
      </c>
      <c r="AG95">
        <v>6.13376448</v>
      </c>
      <c r="AH95">
        <v>6.31863914</v>
      </c>
      <c r="AI95">
        <v>9.19969959</v>
      </c>
      <c r="AJ95">
        <v>3.83024119</v>
      </c>
      <c r="AK95">
        <v>5.4087777</v>
      </c>
      <c r="AL95">
        <v>5.25177821</v>
      </c>
      <c r="AM95">
        <v>7.95924713</v>
      </c>
      <c r="AN95">
        <v>2.09427836</v>
      </c>
      <c r="AO95">
        <v>3.75186608</v>
      </c>
      <c r="AP95">
        <v>14.263514</v>
      </c>
      <c r="AQ95">
        <v>13.81231205</v>
      </c>
      <c r="AR95">
        <v>11.02810968</v>
      </c>
      <c r="AS95">
        <v>12.92714907</v>
      </c>
      <c r="AT95">
        <v>11.47049631</v>
      </c>
      <c r="BN95">
        <v>4.575</v>
      </c>
      <c r="BO95">
        <v>0.62560869</v>
      </c>
      <c r="BP95">
        <v>1.4890256</v>
      </c>
      <c r="BQ95">
        <v>4.575</v>
      </c>
      <c r="BR95">
        <v>0.68659211</v>
      </c>
      <c r="BS95">
        <v>2.35775729</v>
      </c>
      <c r="BT95">
        <v>4.575</v>
      </c>
      <c r="BU95">
        <v>0.41621003</v>
      </c>
      <c r="BV95">
        <v>3.79502618</v>
      </c>
      <c r="BW95">
        <v>4.575</v>
      </c>
      <c r="BX95">
        <v>0.35942506</v>
      </c>
      <c r="BY95">
        <v>1.91435967</v>
      </c>
      <c r="BZ95">
        <v>4.575</v>
      </c>
      <c r="CA95">
        <v>0.52749306</v>
      </c>
      <c r="CB95">
        <v>3.66</v>
      </c>
      <c r="CC95">
        <v>3.25175775</v>
      </c>
    </row>
    <row r="96" spans="14:81">
      <c r="N96" s="5">
        <v>460</v>
      </c>
      <c r="O96" s="9">
        <v>1052.846</v>
      </c>
      <c r="P96" s="5">
        <v>-96.70466306</v>
      </c>
      <c r="Q96" s="9">
        <v>-1692.318</v>
      </c>
      <c r="R96" s="10">
        <v>-5676.495</v>
      </c>
      <c r="S96" s="10">
        <v>-6157.558</v>
      </c>
      <c r="T96" s="10">
        <v>-1183.867</v>
      </c>
      <c r="U96" s="10">
        <v>-4562.767</v>
      </c>
      <c r="V96" s="10">
        <v>-2628.753</v>
      </c>
      <c r="W96" s="10">
        <v>-1276.177</v>
      </c>
      <c r="X96" s="10">
        <v>-4689.627</v>
      </c>
      <c r="Y96" s="10">
        <v>-2854.901</v>
      </c>
      <c r="Z96" s="10">
        <v>-1235.63</v>
      </c>
      <c r="AA96" s="10">
        <v>-4416.67</v>
      </c>
      <c r="AB96" s="10">
        <v>-4062.807</v>
      </c>
      <c r="AC96" s="10">
        <v>-1265.526</v>
      </c>
      <c r="AE96">
        <v>460</v>
      </c>
      <c r="AF96">
        <v>3.51378011</v>
      </c>
      <c r="AG96">
        <v>6.56279364</v>
      </c>
      <c r="AH96">
        <v>6.58298479</v>
      </c>
      <c r="AI96">
        <v>9.43264818</v>
      </c>
      <c r="AJ96">
        <v>4.1218624</v>
      </c>
      <c r="AK96">
        <v>5.70978527</v>
      </c>
      <c r="AL96">
        <v>5.40227752</v>
      </c>
      <c r="AM96">
        <v>8.12884428</v>
      </c>
      <c r="AN96">
        <v>2.13861323</v>
      </c>
      <c r="AO96">
        <v>3.90591322</v>
      </c>
      <c r="AP96">
        <v>14.73801182</v>
      </c>
      <c r="AQ96">
        <v>14.14758311</v>
      </c>
      <c r="AR96">
        <v>11.49972138</v>
      </c>
      <c r="AS96">
        <v>13.15478868</v>
      </c>
      <c r="AT96">
        <v>11.95293397</v>
      </c>
      <c r="BN96">
        <v>4.625</v>
      </c>
      <c r="BO96">
        <v>0.49173128</v>
      </c>
      <c r="BP96">
        <v>1.52035283</v>
      </c>
      <c r="BQ96">
        <v>4.625</v>
      </c>
      <c r="BR96">
        <v>0.65570341</v>
      </c>
      <c r="BS96">
        <v>1.42494562</v>
      </c>
      <c r="BT96">
        <v>4.625</v>
      </c>
      <c r="BU96">
        <v>0.48079261</v>
      </c>
      <c r="BV96">
        <v>4.07047511</v>
      </c>
      <c r="BW96">
        <v>4.625</v>
      </c>
      <c r="BX96">
        <v>0.46709598</v>
      </c>
      <c r="BY96">
        <v>1.38754981</v>
      </c>
      <c r="BZ96">
        <v>4.625</v>
      </c>
      <c r="CA96">
        <v>0.55542181</v>
      </c>
      <c r="CB96">
        <v>3.7</v>
      </c>
      <c r="CC96">
        <v>4.28855375</v>
      </c>
    </row>
    <row r="97" spans="14:81">
      <c r="N97" s="5">
        <v>465</v>
      </c>
      <c r="O97" s="9">
        <v>1052.756</v>
      </c>
      <c r="P97" s="5">
        <v>-96.90808311</v>
      </c>
      <c r="Q97" s="9">
        <v>-1692.747</v>
      </c>
      <c r="R97" s="10">
        <v>-5676.786</v>
      </c>
      <c r="S97" s="10">
        <v>-6158.137</v>
      </c>
      <c r="T97" s="10">
        <v>-1184.304</v>
      </c>
      <c r="U97" s="10">
        <v>-4562.883</v>
      </c>
      <c r="V97" s="10">
        <v>-2629.585</v>
      </c>
      <c r="W97" s="10">
        <v>-1276.554</v>
      </c>
      <c r="X97" s="10">
        <v>-4689.279</v>
      </c>
      <c r="Y97" s="10">
        <v>-2854.706</v>
      </c>
      <c r="Z97" s="10">
        <v>-1235.857</v>
      </c>
      <c r="AA97" s="10">
        <v>-4416.649</v>
      </c>
      <c r="AB97" s="10">
        <v>-4063.804</v>
      </c>
      <c r="AC97" s="10">
        <v>-1266.381</v>
      </c>
      <c r="AE97">
        <v>465</v>
      </c>
      <c r="AF97">
        <v>3.73344039</v>
      </c>
      <c r="AG97">
        <v>6.7814502</v>
      </c>
      <c r="AH97">
        <v>6.88238108</v>
      </c>
      <c r="AI97">
        <v>9.69420674</v>
      </c>
      <c r="AJ97">
        <v>4.4627423</v>
      </c>
      <c r="AK97">
        <v>6.00389309</v>
      </c>
      <c r="AL97">
        <v>5.44958305</v>
      </c>
      <c r="AM97">
        <v>8.4132467</v>
      </c>
      <c r="AN97">
        <v>2.27164951</v>
      </c>
      <c r="AO97">
        <v>4.02469359</v>
      </c>
      <c r="AP97">
        <v>15.2412146</v>
      </c>
      <c r="AQ97">
        <v>14.54722466</v>
      </c>
      <c r="AR97">
        <v>11.91222672</v>
      </c>
      <c r="AS97">
        <v>13.32418694</v>
      </c>
      <c r="AT97">
        <v>12.40975033</v>
      </c>
      <c r="BN97">
        <v>4.675</v>
      </c>
      <c r="BO97">
        <v>0.52546751</v>
      </c>
      <c r="BP97">
        <v>1.05400434</v>
      </c>
      <c r="BQ97">
        <v>4.675</v>
      </c>
      <c r="BR97">
        <v>0.57336931</v>
      </c>
      <c r="BS97">
        <v>2.12514862</v>
      </c>
      <c r="BT97">
        <v>4.675</v>
      </c>
      <c r="BU97">
        <v>0.50931565</v>
      </c>
      <c r="BV97">
        <v>3.63441005</v>
      </c>
      <c r="BW97">
        <v>4.675</v>
      </c>
      <c r="BX97">
        <v>0.46791481</v>
      </c>
      <c r="BY97">
        <v>1.96914147</v>
      </c>
      <c r="BZ97">
        <v>4.675</v>
      </c>
      <c r="CA97">
        <v>0.42829467</v>
      </c>
      <c r="CB97">
        <v>3.74</v>
      </c>
      <c r="CC97">
        <v>2.97873713</v>
      </c>
    </row>
    <row r="98" spans="14:81">
      <c r="N98" s="5">
        <v>470</v>
      </c>
      <c r="O98" s="9">
        <v>1053.014</v>
      </c>
      <c r="P98" s="5">
        <v>-97.29541339</v>
      </c>
      <c r="Q98" s="9">
        <v>-1693.351</v>
      </c>
      <c r="R98" s="10">
        <v>-5677.04</v>
      </c>
      <c r="S98" s="10">
        <v>-6158.208</v>
      </c>
      <c r="T98" s="10">
        <v>-1185.316</v>
      </c>
      <c r="U98" s="10">
        <v>-4563.31</v>
      </c>
      <c r="V98" s="10">
        <v>-2629.72</v>
      </c>
      <c r="W98" s="10">
        <v>-1276.648</v>
      </c>
      <c r="X98" s="10">
        <v>-4688.843</v>
      </c>
      <c r="Y98" s="10">
        <v>-2855.616</v>
      </c>
      <c r="Z98" s="10">
        <v>-1236.603</v>
      </c>
      <c r="AA98" s="10">
        <v>-4416.589</v>
      </c>
      <c r="AB98" s="10">
        <v>-4064.844</v>
      </c>
      <c r="AC98" s="10">
        <v>-1266.655</v>
      </c>
      <c r="AE98">
        <v>470</v>
      </c>
      <c r="AF98">
        <v>4.01121347</v>
      </c>
      <c r="AG98">
        <v>6.99232225</v>
      </c>
      <c r="AH98">
        <v>7.22251432</v>
      </c>
      <c r="AI98">
        <v>9.93528751</v>
      </c>
      <c r="AJ98">
        <v>4.70690837</v>
      </c>
      <c r="AK98">
        <v>6.14207923</v>
      </c>
      <c r="AL98">
        <v>5.40316534</v>
      </c>
      <c r="AM98">
        <v>8.58232358</v>
      </c>
      <c r="AN98">
        <v>2.50349068</v>
      </c>
      <c r="AO98">
        <v>4.21152574</v>
      </c>
      <c r="AP98">
        <v>15.70921039</v>
      </c>
      <c r="AQ98">
        <v>15.03354456</v>
      </c>
      <c r="AR98">
        <v>12.36999921</v>
      </c>
      <c r="AS98">
        <v>13.58803408</v>
      </c>
      <c r="AT98">
        <v>13.04959984</v>
      </c>
      <c r="BN98">
        <v>4.725</v>
      </c>
      <c r="BO98">
        <v>0.50479039</v>
      </c>
      <c r="BP98">
        <v>1.0318156</v>
      </c>
      <c r="BQ98">
        <v>4.725</v>
      </c>
      <c r="BR98">
        <v>0.59734554</v>
      </c>
      <c r="BS98">
        <v>1.62532056</v>
      </c>
      <c r="BT98">
        <v>4.725</v>
      </c>
      <c r="BU98">
        <v>0.42814017</v>
      </c>
      <c r="BV98">
        <v>2.7368454</v>
      </c>
      <c r="BW98">
        <v>4.725</v>
      </c>
      <c r="BX98">
        <v>0.45806433</v>
      </c>
      <c r="BY98">
        <v>1.66179949</v>
      </c>
      <c r="BZ98">
        <v>4.725</v>
      </c>
      <c r="CA98">
        <v>0.44077973</v>
      </c>
      <c r="CB98">
        <v>3.78</v>
      </c>
      <c r="CC98">
        <v>7.68771338</v>
      </c>
    </row>
    <row r="99" spans="14:81">
      <c r="N99" s="5">
        <v>475</v>
      </c>
      <c r="O99" s="9">
        <v>1053.181</v>
      </c>
      <c r="P99" s="5">
        <v>-96.70992753</v>
      </c>
      <c r="Q99" s="9">
        <v>-1693.997</v>
      </c>
      <c r="R99" s="10">
        <v>-5677.578</v>
      </c>
      <c r="S99" s="10">
        <v>-6159.258</v>
      </c>
      <c r="T99" s="10">
        <v>-1185.742</v>
      </c>
      <c r="U99" s="10">
        <v>-4563.448</v>
      </c>
      <c r="V99" s="10">
        <v>-2630.364</v>
      </c>
      <c r="W99" s="10">
        <v>-1276.678</v>
      </c>
      <c r="X99" s="10">
        <v>-4688.91</v>
      </c>
      <c r="Y99" s="10">
        <v>-2856.098</v>
      </c>
      <c r="Z99" s="10">
        <v>-1236.745</v>
      </c>
      <c r="AA99" s="10">
        <v>-4416.077</v>
      </c>
      <c r="AB99" s="10">
        <v>-4065.011</v>
      </c>
      <c r="AC99" s="10">
        <v>-1267.211</v>
      </c>
      <c r="AE99">
        <v>475</v>
      </c>
      <c r="AF99">
        <v>4.28421265</v>
      </c>
      <c r="AG99">
        <v>7.30334754</v>
      </c>
      <c r="AH99">
        <v>7.46857266</v>
      </c>
      <c r="AI99">
        <v>10.02508054</v>
      </c>
      <c r="AJ99">
        <v>4.76867828</v>
      </c>
      <c r="AK99">
        <v>6.09920858</v>
      </c>
      <c r="AL99">
        <v>5.81837848</v>
      </c>
      <c r="AM99">
        <v>9.21527611</v>
      </c>
      <c r="AN99">
        <v>2.71032777</v>
      </c>
      <c r="AO99">
        <v>4.24062425</v>
      </c>
      <c r="AP99">
        <v>16.31133328</v>
      </c>
      <c r="AQ99">
        <v>15.51598909</v>
      </c>
      <c r="AR99">
        <v>12.95977383</v>
      </c>
      <c r="AS99">
        <v>13.84971168</v>
      </c>
      <c r="AT99">
        <v>13.79520592</v>
      </c>
      <c r="BN99">
        <v>4.775</v>
      </c>
      <c r="BO99">
        <v>0.42837107</v>
      </c>
      <c r="BP99">
        <v>1.24804264</v>
      </c>
      <c r="BQ99">
        <v>4.775</v>
      </c>
      <c r="BR99">
        <v>0.62019706</v>
      </c>
      <c r="BS99">
        <v>2.22804534</v>
      </c>
      <c r="BT99">
        <v>4.775</v>
      </c>
      <c r="BU99">
        <v>0.54657916</v>
      </c>
      <c r="BV99">
        <v>2.54583837</v>
      </c>
      <c r="BW99">
        <v>4.775</v>
      </c>
      <c r="BX99">
        <v>0.54131926</v>
      </c>
      <c r="BY99">
        <v>2.21296471</v>
      </c>
      <c r="BZ99">
        <v>4.775</v>
      </c>
      <c r="CA99">
        <v>0.5526549</v>
      </c>
      <c r="CB99">
        <v>3.82</v>
      </c>
      <c r="CC99">
        <v>7.78712952</v>
      </c>
    </row>
    <row r="100" spans="14:81">
      <c r="N100" s="5">
        <v>480</v>
      </c>
      <c r="O100" s="9">
        <v>1052.998</v>
      </c>
      <c r="P100" s="5">
        <v>-97.28434621</v>
      </c>
      <c r="Q100" s="9">
        <v>-1694.72</v>
      </c>
      <c r="R100" s="10">
        <v>-5677.981</v>
      </c>
      <c r="S100" s="10">
        <v>-6159.188</v>
      </c>
      <c r="T100" s="10">
        <v>-1185.807</v>
      </c>
      <c r="U100" s="10">
        <v>-4563.372</v>
      </c>
      <c r="V100" s="10">
        <v>-2630.757</v>
      </c>
      <c r="W100" s="10">
        <v>-1276.735</v>
      </c>
      <c r="X100" s="10">
        <v>-4688.748</v>
      </c>
      <c r="Y100" s="10">
        <v>-2856.402</v>
      </c>
      <c r="Z100" s="10">
        <v>-1236.937</v>
      </c>
      <c r="AA100" s="10">
        <v>-4415.69</v>
      </c>
      <c r="AB100" s="10">
        <v>-4064.951</v>
      </c>
      <c r="AC100" s="10">
        <v>-1267.396</v>
      </c>
      <c r="AE100">
        <v>480</v>
      </c>
      <c r="AF100">
        <v>4.47797726</v>
      </c>
      <c r="AG100">
        <v>7.63224455</v>
      </c>
      <c r="AH100">
        <v>8.23100991</v>
      </c>
      <c r="AI100">
        <v>10.75090113</v>
      </c>
      <c r="AJ100">
        <v>5.52648438</v>
      </c>
      <c r="AK100">
        <v>6.75635917</v>
      </c>
      <c r="AL100">
        <v>6.20924215</v>
      </c>
      <c r="AM100">
        <v>9.69185653</v>
      </c>
      <c r="AN100">
        <v>2.83953501</v>
      </c>
      <c r="AO100">
        <v>4.44226603</v>
      </c>
      <c r="AP100">
        <v>16.87169059</v>
      </c>
      <c r="AQ100">
        <v>16.13542553</v>
      </c>
      <c r="AR100">
        <v>13.71253975</v>
      </c>
      <c r="AS100">
        <v>14.32035083</v>
      </c>
      <c r="AT100">
        <v>14.90251581</v>
      </c>
      <c r="BN100">
        <v>4.825</v>
      </c>
      <c r="BO100">
        <v>0.47486282</v>
      </c>
      <c r="BP100">
        <v>0.87307909</v>
      </c>
      <c r="BQ100">
        <v>4.825</v>
      </c>
      <c r="BR100">
        <v>0.65185458</v>
      </c>
      <c r="BS100">
        <v>2.30679978</v>
      </c>
      <c r="BT100">
        <v>4.825</v>
      </c>
      <c r="BU100">
        <v>0.53530989</v>
      </c>
      <c r="BV100">
        <v>2.49334874</v>
      </c>
      <c r="BW100">
        <v>4.825</v>
      </c>
      <c r="BX100">
        <v>0.52510931</v>
      </c>
      <c r="BY100">
        <v>1.848612</v>
      </c>
      <c r="BZ100">
        <v>4.825</v>
      </c>
      <c r="CA100">
        <v>0.48971175</v>
      </c>
      <c r="CB100">
        <v>3.86</v>
      </c>
      <c r="CC100">
        <v>9.53321987</v>
      </c>
    </row>
    <row r="101" spans="14:81">
      <c r="N101" s="5">
        <v>485</v>
      </c>
      <c r="O101" s="9">
        <v>1052.777</v>
      </c>
      <c r="P101" s="5">
        <v>-97.38747386</v>
      </c>
      <c r="Q101" s="9">
        <v>-1694.691</v>
      </c>
      <c r="R101" s="10">
        <v>-5678.383</v>
      </c>
      <c r="S101" s="10">
        <v>-6158.742</v>
      </c>
      <c r="T101" s="10">
        <v>-1185.799</v>
      </c>
      <c r="U101" s="10">
        <v>-4563.233</v>
      </c>
      <c r="V101" s="10">
        <v>-2631.728</v>
      </c>
      <c r="W101" s="10">
        <v>-1277.123</v>
      </c>
      <c r="X101" s="10">
        <v>-4688.772</v>
      </c>
      <c r="Y101" s="10">
        <v>-2857.143</v>
      </c>
      <c r="Z101" s="10">
        <v>-1237.361</v>
      </c>
      <c r="AA101" s="10">
        <v>-4415.487</v>
      </c>
      <c r="AB101" s="10">
        <v>-4066.779</v>
      </c>
      <c r="AC101" s="10">
        <v>-1268.07</v>
      </c>
      <c r="AE101">
        <v>485</v>
      </c>
      <c r="AF101">
        <v>4.9263676</v>
      </c>
      <c r="AG101">
        <v>7.93369829</v>
      </c>
      <c r="AH101">
        <v>8.96388194</v>
      </c>
      <c r="AI101">
        <v>11.43159427</v>
      </c>
      <c r="AJ101">
        <v>5.60411065</v>
      </c>
      <c r="AK101">
        <v>7.20500799</v>
      </c>
      <c r="AL101">
        <v>6.86759396</v>
      </c>
      <c r="AM101">
        <v>10.19820676</v>
      </c>
      <c r="AN101">
        <v>2.94937698</v>
      </c>
      <c r="AO101">
        <v>4.73686396</v>
      </c>
      <c r="AP101">
        <v>17.60110901</v>
      </c>
      <c r="AQ101">
        <v>16.89604166</v>
      </c>
      <c r="AR101">
        <v>14.69250661</v>
      </c>
      <c r="AS101">
        <v>15.11514108</v>
      </c>
      <c r="AT101">
        <v>16.12892407</v>
      </c>
      <c r="BN101">
        <v>4.875</v>
      </c>
      <c r="BO101">
        <v>0.60065909</v>
      </c>
      <c r="BP101">
        <v>0.85526177</v>
      </c>
      <c r="BQ101">
        <v>4.875</v>
      </c>
      <c r="BR101">
        <v>0.60468929</v>
      </c>
      <c r="BS101">
        <v>2.01542941</v>
      </c>
      <c r="BT101">
        <v>4.875</v>
      </c>
      <c r="BU101">
        <v>0.50402109</v>
      </c>
      <c r="BV101">
        <v>2.95666919</v>
      </c>
      <c r="BW101">
        <v>4.875</v>
      </c>
      <c r="BX101">
        <v>0.504501</v>
      </c>
      <c r="BY101">
        <v>2.24799709</v>
      </c>
      <c r="BZ101">
        <v>4.875</v>
      </c>
      <c r="CA101">
        <v>0.5049663</v>
      </c>
      <c r="CB101">
        <v>3.9</v>
      </c>
      <c r="CC101">
        <v>9.71221804</v>
      </c>
    </row>
    <row r="102" spans="14:81">
      <c r="N102" s="5">
        <v>490</v>
      </c>
      <c r="O102" s="9">
        <v>1052.61</v>
      </c>
      <c r="P102" s="5">
        <v>-98.03545721</v>
      </c>
      <c r="Q102" s="9">
        <v>-1694.996</v>
      </c>
      <c r="R102" s="10">
        <v>-5677.663</v>
      </c>
      <c r="S102" s="10">
        <v>-6158.826</v>
      </c>
      <c r="T102" s="10">
        <v>-1186.489</v>
      </c>
      <c r="U102" s="10">
        <v>-4563.652</v>
      </c>
      <c r="V102" s="10">
        <v>-2633.377</v>
      </c>
      <c r="W102" s="10">
        <v>-1277.165</v>
      </c>
      <c r="X102" s="10">
        <v>-4688.698</v>
      </c>
      <c r="Y102" s="10">
        <v>-2857.516</v>
      </c>
      <c r="Z102" s="10">
        <v>-1237.839</v>
      </c>
      <c r="AA102" s="10">
        <v>-4415.63</v>
      </c>
      <c r="AB102" s="10">
        <v>-4066.984</v>
      </c>
      <c r="AC102" s="10">
        <v>-1268.111</v>
      </c>
      <c r="AE102">
        <v>490</v>
      </c>
      <c r="AF102">
        <v>5.49312125</v>
      </c>
      <c r="AG102">
        <v>8.86084628</v>
      </c>
      <c r="AH102">
        <v>10.0465087</v>
      </c>
      <c r="AI102">
        <v>12.7325685</v>
      </c>
      <c r="AJ102">
        <v>6.49907438</v>
      </c>
      <c r="AK102">
        <v>8.18253451</v>
      </c>
      <c r="AL102">
        <v>7.27212547</v>
      </c>
      <c r="AM102">
        <v>10.89901104</v>
      </c>
      <c r="AN102">
        <v>3.1273709</v>
      </c>
      <c r="AO102">
        <v>4.91783769</v>
      </c>
      <c r="AP102">
        <v>18.82697858</v>
      </c>
      <c r="AQ102">
        <v>18.14876011</v>
      </c>
      <c r="AR102">
        <v>16.24254422</v>
      </c>
      <c r="AS102">
        <v>15.95853561</v>
      </c>
      <c r="AT102">
        <v>17.86939898</v>
      </c>
      <c r="BN102">
        <v>4.925</v>
      </c>
      <c r="BO102">
        <v>0.49117499</v>
      </c>
      <c r="BP102">
        <v>0.7262531</v>
      </c>
      <c r="BQ102">
        <v>4.925</v>
      </c>
      <c r="BR102">
        <v>0.69674915</v>
      </c>
      <c r="BS102">
        <v>2.27391432</v>
      </c>
      <c r="BT102">
        <v>4.925</v>
      </c>
      <c r="BU102">
        <v>0.55868677</v>
      </c>
      <c r="BV102">
        <v>2.51907874</v>
      </c>
      <c r="BW102">
        <v>4.925</v>
      </c>
      <c r="BX102">
        <v>0.59607899</v>
      </c>
      <c r="BY102">
        <v>2.569682</v>
      </c>
      <c r="BZ102">
        <v>4.925</v>
      </c>
      <c r="CA102">
        <v>0.53434654</v>
      </c>
      <c r="CB102">
        <v>3.94</v>
      </c>
      <c r="CC102">
        <v>10.98002117</v>
      </c>
    </row>
    <row r="103" spans="14:81">
      <c r="N103" s="5">
        <v>495</v>
      </c>
      <c r="O103" s="9">
        <v>1052.708</v>
      </c>
      <c r="P103" s="5">
        <v>-97.94459268</v>
      </c>
      <c r="Q103" s="9">
        <v>-1695.355</v>
      </c>
      <c r="R103" s="10">
        <v>-5677.749</v>
      </c>
      <c r="S103" s="10">
        <v>-6160.287</v>
      </c>
      <c r="T103" s="10">
        <v>-1187.031</v>
      </c>
      <c r="U103" s="10">
        <v>-4564.388</v>
      </c>
      <c r="V103" s="10">
        <v>-2633.707</v>
      </c>
      <c r="W103" s="10">
        <v>-1276.78</v>
      </c>
      <c r="X103" s="10">
        <v>-4688.747</v>
      </c>
      <c r="Y103" s="10">
        <v>-2857.611</v>
      </c>
      <c r="Z103" s="10">
        <v>-1238.117</v>
      </c>
      <c r="AA103" s="10">
        <v>-4415.443</v>
      </c>
      <c r="AB103" s="10">
        <v>-4066.592</v>
      </c>
      <c r="AC103" s="10">
        <v>-1268.924</v>
      </c>
      <c r="AE103">
        <v>495</v>
      </c>
      <c r="AF103">
        <v>6.79496757</v>
      </c>
      <c r="AG103">
        <v>10.13781177</v>
      </c>
      <c r="AH103">
        <v>11.0718574</v>
      </c>
      <c r="AI103">
        <v>13.64183008</v>
      </c>
      <c r="AJ103">
        <v>8.20858932</v>
      </c>
      <c r="AK103">
        <v>10.17719467</v>
      </c>
      <c r="AL103">
        <v>8.49550942</v>
      </c>
      <c r="AM103">
        <v>12.81022041</v>
      </c>
      <c r="AN103">
        <v>3.61323348</v>
      </c>
      <c r="AO103">
        <v>5.38544832</v>
      </c>
      <c r="AP103">
        <v>20.32061726</v>
      </c>
      <c r="AQ103">
        <v>19.65788492</v>
      </c>
      <c r="AR103">
        <v>18.6743228</v>
      </c>
      <c r="AS103">
        <v>17.49440165</v>
      </c>
      <c r="AT103">
        <v>20.64630892</v>
      </c>
      <c r="BN103">
        <v>4.975</v>
      </c>
      <c r="BO103">
        <v>0.55940887</v>
      </c>
      <c r="BP103">
        <v>1.6971988</v>
      </c>
      <c r="BQ103">
        <v>4.975</v>
      </c>
      <c r="BR103">
        <v>0.67352464</v>
      </c>
      <c r="BS103">
        <v>2.8148685</v>
      </c>
      <c r="BT103">
        <v>4.975</v>
      </c>
      <c r="BU103">
        <v>0.63550664</v>
      </c>
      <c r="BV103">
        <v>2.22182898</v>
      </c>
      <c r="BW103">
        <v>4.975</v>
      </c>
      <c r="BX103">
        <v>0.60315482</v>
      </c>
      <c r="BY103">
        <v>2.63820866</v>
      </c>
      <c r="BZ103">
        <v>4.975</v>
      </c>
      <c r="CA103">
        <v>0.59639052</v>
      </c>
      <c r="CB103">
        <v>3.98</v>
      </c>
      <c r="CC103">
        <v>12.31471221</v>
      </c>
    </row>
    <row r="104" spans="14:81">
      <c r="N104" s="5">
        <v>500</v>
      </c>
      <c r="O104" s="9">
        <v>1052.694</v>
      </c>
      <c r="P104" s="5">
        <v>-98.77084661</v>
      </c>
      <c r="Q104" s="9">
        <v>-1695.686</v>
      </c>
      <c r="R104" s="10">
        <v>-5678.211</v>
      </c>
      <c r="S104" s="10">
        <v>-6160.621</v>
      </c>
      <c r="T104" s="10">
        <v>-1187.241</v>
      </c>
      <c r="U104" s="10">
        <v>-4564.612</v>
      </c>
      <c r="V104" s="10">
        <v>-2634.774</v>
      </c>
      <c r="W104" s="10">
        <v>-1276.795</v>
      </c>
      <c r="X104" s="10">
        <v>-4688.337</v>
      </c>
      <c r="Y104" s="10">
        <v>-2858.03</v>
      </c>
      <c r="Z104" s="10">
        <v>-1238.58</v>
      </c>
      <c r="AA104" s="10">
        <v>-4416.04</v>
      </c>
      <c r="AB104" s="10">
        <v>-4068.003</v>
      </c>
      <c r="AC104" s="10">
        <v>-1269.051</v>
      </c>
      <c r="BN104">
        <v>5.025</v>
      </c>
      <c r="BO104">
        <v>0.49732422</v>
      </c>
      <c r="BP104">
        <v>1.87824905</v>
      </c>
      <c r="BQ104">
        <v>5.025</v>
      </c>
      <c r="BR104">
        <v>0.58278661</v>
      </c>
      <c r="BS104">
        <v>2.93157602</v>
      </c>
      <c r="BT104">
        <v>5.025</v>
      </c>
      <c r="BU104">
        <v>0.54146363</v>
      </c>
      <c r="BV104">
        <v>2.54080612</v>
      </c>
      <c r="BW104">
        <v>5.025</v>
      </c>
      <c r="BX104">
        <v>0.58655634</v>
      </c>
      <c r="BY104">
        <v>1.35175633</v>
      </c>
      <c r="BZ104">
        <v>5.025</v>
      </c>
      <c r="CA104">
        <v>0.43724772</v>
      </c>
      <c r="CB104">
        <v>4.02</v>
      </c>
      <c r="CC104">
        <v>10.31297167</v>
      </c>
    </row>
    <row r="105" spans="14:81">
      <c r="BN105">
        <v>5.075</v>
      </c>
      <c r="BO105">
        <v>0.51674412</v>
      </c>
      <c r="BP105">
        <v>1.63097362</v>
      </c>
      <c r="BQ105">
        <v>5.075</v>
      </c>
      <c r="BR105">
        <v>0.56689605</v>
      </c>
      <c r="BS105">
        <v>3.04316047</v>
      </c>
      <c r="BT105">
        <v>5.075</v>
      </c>
      <c r="BU105">
        <v>0.58722018</v>
      </c>
      <c r="BV105">
        <v>2.72822496</v>
      </c>
      <c r="BW105">
        <v>5.075</v>
      </c>
      <c r="BX105">
        <v>0.51572447</v>
      </c>
      <c r="BY105">
        <v>2.07430773</v>
      </c>
      <c r="BZ105">
        <v>5.075</v>
      </c>
      <c r="CA105">
        <v>0.37741995</v>
      </c>
      <c r="CB105">
        <v>4.06</v>
      </c>
      <c r="CC105">
        <v>11.02992336</v>
      </c>
    </row>
    <row r="106" spans="14:81">
      <c r="BN106">
        <v>5.125</v>
      </c>
      <c r="BO106">
        <v>0.54757432</v>
      </c>
      <c r="BP106">
        <v>1.8056672</v>
      </c>
      <c r="BQ106">
        <v>5.125</v>
      </c>
      <c r="BR106">
        <v>0.47710133</v>
      </c>
      <c r="BS106">
        <v>2.54198713</v>
      </c>
      <c r="BT106">
        <v>5.125</v>
      </c>
      <c r="BU106">
        <v>0.52975275</v>
      </c>
      <c r="BV106">
        <v>2.6752514</v>
      </c>
      <c r="BW106">
        <v>5.125</v>
      </c>
      <c r="BX106">
        <v>0.48780946</v>
      </c>
      <c r="BY106">
        <v>2.99454592</v>
      </c>
      <c r="BZ106">
        <v>5.125</v>
      </c>
      <c r="CA106">
        <v>0.47974842</v>
      </c>
      <c r="CB106">
        <v>4.1</v>
      </c>
      <c r="CC106">
        <v>10.25243622</v>
      </c>
    </row>
    <row r="107" spans="14:81">
      <c r="BN107">
        <v>5.175</v>
      </c>
      <c r="BO107">
        <v>0.56910673</v>
      </c>
      <c r="BP107">
        <v>1.26495994</v>
      </c>
      <c r="BQ107">
        <v>5.175</v>
      </c>
      <c r="BR107">
        <v>0.50656273</v>
      </c>
      <c r="BS107">
        <v>3.08928139</v>
      </c>
      <c r="BT107">
        <v>5.175</v>
      </c>
      <c r="BU107">
        <v>0.6144427</v>
      </c>
      <c r="BV107">
        <v>3.13715917</v>
      </c>
      <c r="BW107">
        <v>5.175</v>
      </c>
      <c r="BX107">
        <v>0.67155602</v>
      </c>
      <c r="BY107">
        <v>2.10574511</v>
      </c>
      <c r="BZ107">
        <v>5.175</v>
      </c>
      <c r="CA107">
        <v>0.49292863</v>
      </c>
      <c r="CB107">
        <v>4.14</v>
      </c>
      <c r="CC107">
        <v>12.9282173</v>
      </c>
    </row>
    <row r="108" spans="14:81">
      <c r="BN108">
        <v>5.225</v>
      </c>
      <c r="BO108">
        <v>0.56219839</v>
      </c>
      <c r="BP108">
        <v>1.48903944</v>
      </c>
      <c r="BQ108">
        <v>5.225</v>
      </c>
      <c r="BR108">
        <v>0.45480284</v>
      </c>
      <c r="BS108">
        <v>3.82792387</v>
      </c>
      <c r="BT108">
        <v>5.225</v>
      </c>
      <c r="BU108">
        <v>0.57171603</v>
      </c>
      <c r="BV108">
        <v>2.96549993</v>
      </c>
      <c r="BW108">
        <v>5.225</v>
      </c>
      <c r="BX108">
        <v>0.60279138</v>
      </c>
      <c r="BY108">
        <v>2.2287135</v>
      </c>
      <c r="BZ108">
        <v>5.225</v>
      </c>
      <c r="CA108">
        <v>0.4835398</v>
      </c>
      <c r="CB108">
        <v>4.18</v>
      </c>
      <c r="CC108">
        <v>12.68197305</v>
      </c>
    </row>
    <row r="109" spans="14:81">
      <c r="BN109">
        <v>5.275</v>
      </c>
      <c r="BO109">
        <v>0.54773391</v>
      </c>
      <c r="BP109">
        <v>2.09402144</v>
      </c>
      <c r="BQ109">
        <v>5.275</v>
      </c>
      <c r="BR109">
        <v>0.48753875</v>
      </c>
      <c r="BS109">
        <v>4.22516369</v>
      </c>
      <c r="BT109">
        <v>5.275</v>
      </c>
      <c r="BU109">
        <v>0.52179466</v>
      </c>
      <c r="BV109">
        <v>2.90954877</v>
      </c>
      <c r="BW109">
        <v>5.275</v>
      </c>
      <c r="BX109">
        <v>0.59986714</v>
      </c>
      <c r="BY109">
        <v>2.23999682</v>
      </c>
      <c r="BZ109">
        <v>5.275</v>
      </c>
      <c r="CA109">
        <v>0.4485394</v>
      </c>
      <c r="CB109">
        <v>4.22</v>
      </c>
      <c r="CC109">
        <v>12.44269771</v>
      </c>
    </row>
    <row r="110" spans="14:81">
      <c r="BN110">
        <v>5.325</v>
      </c>
      <c r="BO110">
        <v>0.5829184</v>
      </c>
      <c r="BP110">
        <v>2.29382177</v>
      </c>
      <c r="BQ110">
        <v>5.325</v>
      </c>
      <c r="BR110">
        <v>0.44599047</v>
      </c>
      <c r="BS110">
        <v>3.48075293</v>
      </c>
      <c r="BT110">
        <v>5.325</v>
      </c>
      <c r="BU110">
        <v>0.52484282</v>
      </c>
      <c r="BV110">
        <v>2.96290841</v>
      </c>
      <c r="BW110">
        <v>5.325</v>
      </c>
      <c r="BX110">
        <v>0.74203693</v>
      </c>
      <c r="BY110">
        <v>1.98878334</v>
      </c>
      <c r="BZ110">
        <v>5.325</v>
      </c>
      <c r="CA110">
        <v>0.55019467</v>
      </c>
      <c r="CB110">
        <v>4.26</v>
      </c>
      <c r="CC110">
        <v>11.16652984</v>
      </c>
    </row>
    <row r="111" spans="14:81">
      <c r="BN111">
        <v>5.375</v>
      </c>
      <c r="BO111">
        <v>0.53125794</v>
      </c>
      <c r="BP111">
        <v>1.87612068</v>
      </c>
      <c r="BQ111">
        <v>5.375</v>
      </c>
      <c r="BR111">
        <v>0.43773163</v>
      </c>
      <c r="BS111">
        <v>4.2703705</v>
      </c>
      <c r="BT111">
        <v>5.375</v>
      </c>
      <c r="BU111">
        <v>0.65751573</v>
      </c>
      <c r="BV111">
        <v>4.12413132</v>
      </c>
      <c r="BW111">
        <v>5.375</v>
      </c>
      <c r="BX111">
        <v>0.61030383</v>
      </c>
      <c r="BY111">
        <v>2.46562747</v>
      </c>
      <c r="BZ111">
        <v>5.375</v>
      </c>
      <c r="CA111">
        <v>0.48600556</v>
      </c>
      <c r="CB111">
        <v>4.3</v>
      </c>
      <c r="CC111">
        <v>12.80344417</v>
      </c>
    </row>
    <row r="112" spans="14:81">
      <c r="BN112">
        <v>5.425</v>
      </c>
      <c r="BO112">
        <v>0.59080195</v>
      </c>
      <c r="BP112">
        <v>2.80858857</v>
      </c>
      <c r="BQ112">
        <v>5.425</v>
      </c>
      <c r="BR112">
        <v>0.52735919</v>
      </c>
      <c r="BS112">
        <v>3.60020309</v>
      </c>
      <c r="BT112">
        <v>5.425</v>
      </c>
      <c r="BU112">
        <v>0.64134041</v>
      </c>
      <c r="BV112">
        <v>3.58133117</v>
      </c>
      <c r="BW112">
        <v>5.425</v>
      </c>
      <c r="BX112">
        <v>0.71493305</v>
      </c>
      <c r="BY112">
        <v>2.21868889</v>
      </c>
      <c r="BZ112">
        <v>5.425</v>
      </c>
      <c r="CA112">
        <v>0.50155434</v>
      </c>
      <c r="CB112">
        <v>4.34</v>
      </c>
      <c r="CC112">
        <v>12.26688064</v>
      </c>
    </row>
    <row r="113" spans="66:81">
      <c r="BN113">
        <v>5.475</v>
      </c>
      <c r="BO113">
        <v>0.60870535</v>
      </c>
      <c r="BP113">
        <v>2.62190877</v>
      </c>
      <c r="BQ113">
        <v>5.475</v>
      </c>
      <c r="BR113">
        <v>0.43722894</v>
      </c>
      <c r="BS113">
        <v>3.19579836</v>
      </c>
      <c r="BT113">
        <v>5.475</v>
      </c>
      <c r="BU113">
        <v>0.61353436</v>
      </c>
      <c r="BV113">
        <v>4.12773402</v>
      </c>
      <c r="BW113">
        <v>5.475</v>
      </c>
      <c r="BX113">
        <v>0.81957731</v>
      </c>
      <c r="BY113">
        <v>2.27736613</v>
      </c>
      <c r="BZ113">
        <v>5.475</v>
      </c>
      <c r="CA113">
        <v>0.56449915</v>
      </c>
      <c r="CB113">
        <v>4.38</v>
      </c>
      <c r="CC113">
        <v>9.37840985</v>
      </c>
    </row>
    <row r="114" spans="66:81">
      <c r="BN114">
        <v>5.525</v>
      </c>
      <c r="BO114">
        <v>0.59422188</v>
      </c>
      <c r="BP114">
        <v>2.70784097</v>
      </c>
      <c r="BQ114">
        <v>5.525</v>
      </c>
      <c r="BR114">
        <v>0.51974087</v>
      </c>
      <c r="BS114">
        <v>3.5661568</v>
      </c>
      <c r="BT114">
        <v>5.525</v>
      </c>
      <c r="BU114">
        <v>0.62229841</v>
      </c>
      <c r="BV114">
        <v>3.95327944</v>
      </c>
      <c r="BW114">
        <v>5.525</v>
      </c>
      <c r="BX114">
        <v>0.72009365</v>
      </c>
      <c r="BY114">
        <v>2.72249311</v>
      </c>
      <c r="BZ114">
        <v>5.525</v>
      </c>
      <c r="CA114">
        <v>0.56219108</v>
      </c>
      <c r="CB114">
        <v>4.42</v>
      </c>
      <c r="CC114">
        <v>6.10730893</v>
      </c>
    </row>
    <row r="115" spans="66:81">
      <c r="BN115">
        <v>5.575</v>
      </c>
      <c r="BO115">
        <v>0.67339737</v>
      </c>
      <c r="BP115">
        <v>2.83388062</v>
      </c>
      <c r="BQ115">
        <v>5.575</v>
      </c>
      <c r="BR115">
        <v>0.61403163</v>
      </c>
      <c r="BS115">
        <v>3.92277439</v>
      </c>
      <c r="BT115">
        <v>5.575</v>
      </c>
      <c r="BU115">
        <v>0.61507914</v>
      </c>
      <c r="BV115">
        <v>4.47246231</v>
      </c>
      <c r="BW115">
        <v>5.575</v>
      </c>
      <c r="BX115">
        <v>0.85473343</v>
      </c>
      <c r="BY115">
        <v>2.67387847</v>
      </c>
      <c r="BZ115">
        <v>5.575</v>
      </c>
      <c r="CA115">
        <v>0.54056861</v>
      </c>
      <c r="CB115">
        <v>4.46</v>
      </c>
      <c r="CC115">
        <v>7.42640819</v>
      </c>
    </row>
    <row r="116" spans="66:81">
      <c r="BN116">
        <v>5.625</v>
      </c>
      <c r="BO116">
        <v>0.78359838</v>
      </c>
      <c r="BP116">
        <v>3.55460238</v>
      </c>
      <c r="BQ116">
        <v>5.625</v>
      </c>
      <c r="BR116">
        <v>0.6031641</v>
      </c>
      <c r="BS116">
        <v>2.4312782</v>
      </c>
      <c r="BT116">
        <v>5.625</v>
      </c>
      <c r="BU116">
        <v>0.59654506</v>
      </c>
      <c r="BV116">
        <v>4.00708109</v>
      </c>
      <c r="BW116">
        <v>5.625</v>
      </c>
      <c r="BX116">
        <v>0.83589073</v>
      </c>
      <c r="BY116">
        <v>2.57965167</v>
      </c>
      <c r="BZ116">
        <v>5.625</v>
      </c>
      <c r="CA116">
        <v>0.49307261</v>
      </c>
      <c r="CB116">
        <v>4.5</v>
      </c>
      <c r="CC116">
        <v>6.7338192</v>
      </c>
    </row>
    <row r="117" spans="66:81">
      <c r="BN117">
        <v>5.675</v>
      </c>
      <c r="BO117">
        <v>0.77984946</v>
      </c>
      <c r="BP117">
        <v>3.40809213</v>
      </c>
      <c r="BQ117">
        <v>5.675</v>
      </c>
      <c r="BR117">
        <v>0.61757097</v>
      </c>
      <c r="BS117">
        <v>3.01958293</v>
      </c>
      <c r="BT117">
        <v>5.675</v>
      </c>
      <c r="BU117">
        <v>0.76641182</v>
      </c>
      <c r="BV117">
        <v>2.89329853</v>
      </c>
      <c r="BW117">
        <v>5.675</v>
      </c>
      <c r="BX117">
        <v>1.02197058</v>
      </c>
      <c r="BY117">
        <v>2.76479541</v>
      </c>
      <c r="BZ117">
        <v>5.675</v>
      </c>
      <c r="CA117">
        <v>0.67073876</v>
      </c>
      <c r="CB117">
        <v>4.54</v>
      </c>
      <c r="CC117">
        <v>5.42118638</v>
      </c>
    </row>
    <row r="118" spans="66:81">
      <c r="BN118">
        <v>5.725</v>
      </c>
      <c r="BO118">
        <v>0.79248506</v>
      </c>
      <c r="BP118">
        <v>4.29972268</v>
      </c>
      <c r="BQ118">
        <v>5.725</v>
      </c>
      <c r="BR118">
        <v>0.75766168</v>
      </c>
      <c r="BS118">
        <v>3.05563902</v>
      </c>
      <c r="BT118">
        <v>5.725</v>
      </c>
      <c r="BU118">
        <v>0.71985899</v>
      </c>
      <c r="BV118">
        <v>4.4742005</v>
      </c>
      <c r="BW118">
        <v>5.725</v>
      </c>
      <c r="BX118">
        <v>0.98626553</v>
      </c>
      <c r="BY118">
        <v>2.76199179</v>
      </c>
      <c r="BZ118">
        <v>5.725</v>
      </c>
      <c r="CA118">
        <v>0.57485902</v>
      </c>
      <c r="CB118">
        <v>4.58</v>
      </c>
      <c r="CC118">
        <v>4.06289538</v>
      </c>
    </row>
    <row r="119" spans="66:81">
      <c r="BN119">
        <v>5.775</v>
      </c>
      <c r="BO119">
        <v>0.9139893</v>
      </c>
      <c r="BP119">
        <v>4.67252893</v>
      </c>
      <c r="BQ119">
        <v>5.775</v>
      </c>
      <c r="BR119">
        <v>0.62739349</v>
      </c>
      <c r="BS119">
        <v>3.52521028</v>
      </c>
      <c r="BT119">
        <v>5.775</v>
      </c>
      <c r="BU119">
        <v>0.74009938</v>
      </c>
      <c r="BV119">
        <v>3.93903385</v>
      </c>
      <c r="BW119">
        <v>5.775</v>
      </c>
      <c r="BX119">
        <v>1.08557274</v>
      </c>
      <c r="BY119">
        <v>3.0703557</v>
      </c>
      <c r="BZ119">
        <v>5.775</v>
      </c>
      <c r="CA119">
        <v>0.66210455</v>
      </c>
      <c r="CB119">
        <v>4.62</v>
      </c>
      <c r="CC119">
        <v>4.70268671</v>
      </c>
    </row>
    <row r="120" spans="66:81">
      <c r="BN120">
        <v>5.825</v>
      </c>
      <c r="BO120">
        <v>0.89836594</v>
      </c>
      <c r="BP120">
        <v>4.23323315</v>
      </c>
      <c r="BQ120">
        <v>5.825</v>
      </c>
      <c r="BR120">
        <v>0.79963683</v>
      </c>
      <c r="BS120">
        <v>2.13885911</v>
      </c>
      <c r="BT120">
        <v>5.825</v>
      </c>
      <c r="BU120">
        <v>0.80589874</v>
      </c>
      <c r="BV120">
        <v>3.96174116</v>
      </c>
      <c r="BW120">
        <v>5.825</v>
      </c>
      <c r="BX120">
        <v>1.06355206</v>
      </c>
      <c r="BY120">
        <v>3.14908412</v>
      </c>
      <c r="BZ120">
        <v>5.825</v>
      </c>
      <c r="CA120">
        <v>0.767504</v>
      </c>
      <c r="CB120">
        <v>4.66</v>
      </c>
      <c r="CC120">
        <v>3.22688929</v>
      </c>
    </row>
    <row r="121" spans="66:81">
      <c r="BN121">
        <v>5.875</v>
      </c>
      <c r="BO121">
        <v>0.92667482</v>
      </c>
      <c r="BP121">
        <v>4.51481881</v>
      </c>
      <c r="BQ121">
        <v>5.875</v>
      </c>
      <c r="BR121">
        <v>0.89600252</v>
      </c>
      <c r="BS121">
        <v>3.1539122</v>
      </c>
      <c r="BT121">
        <v>5.875</v>
      </c>
      <c r="BU121">
        <v>0.76419589</v>
      </c>
      <c r="BV121">
        <v>4.07162166</v>
      </c>
      <c r="BW121">
        <v>5.875</v>
      </c>
      <c r="BX121">
        <v>1.08979929</v>
      </c>
      <c r="BY121">
        <v>3.18170307</v>
      </c>
      <c r="BZ121">
        <v>5.875</v>
      </c>
      <c r="CA121">
        <v>0.65366454</v>
      </c>
      <c r="CB121">
        <v>4.7</v>
      </c>
      <c r="CC121">
        <v>4.71542883</v>
      </c>
    </row>
    <row r="122" spans="66:81">
      <c r="BN122">
        <v>5.925</v>
      </c>
      <c r="BO122">
        <v>0.91721559</v>
      </c>
      <c r="BP122">
        <v>4.13014539</v>
      </c>
      <c r="BQ122">
        <v>5.925</v>
      </c>
      <c r="BR122">
        <v>0.91369286</v>
      </c>
      <c r="BS122">
        <v>2.60476149</v>
      </c>
      <c r="BT122">
        <v>5.925</v>
      </c>
      <c r="BU122">
        <v>0.86853599</v>
      </c>
      <c r="BV122">
        <v>4.00319267</v>
      </c>
      <c r="BW122">
        <v>5.925</v>
      </c>
      <c r="BX122">
        <v>1.1652386</v>
      </c>
      <c r="BY122">
        <v>4.01597139</v>
      </c>
      <c r="BZ122">
        <v>5.925</v>
      </c>
      <c r="CA122">
        <v>0.71446744</v>
      </c>
      <c r="CB122">
        <v>4.74</v>
      </c>
      <c r="CC122">
        <v>4.38329727</v>
      </c>
    </row>
    <row r="123" spans="66:81">
      <c r="BN123">
        <v>5.975</v>
      </c>
      <c r="BO123">
        <v>0.94401905</v>
      </c>
      <c r="BP123">
        <v>4.82043483</v>
      </c>
      <c r="BQ123">
        <v>5.975</v>
      </c>
      <c r="BR123">
        <v>0.88880408</v>
      </c>
      <c r="BS123">
        <v>2.15478635</v>
      </c>
      <c r="BT123">
        <v>5.975</v>
      </c>
      <c r="BU123">
        <v>0.75238683</v>
      </c>
      <c r="BV123">
        <v>3.59417223</v>
      </c>
      <c r="BW123">
        <v>5.975</v>
      </c>
      <c r="BX123">
        <v>1.06350387</v>
      </c>
      <c r="BY123">
        <v>4.11531546</v>
      </c>
      <c r="BZ123">
        <v>5.975</v>
      </c>
      <c r="CA123">
        <v>0.66894462</v>
      </c>
      <c r="CB123">
        <v>4.78</v>
      </c>
      <c r="CC123">
        <v>4.1444654</v>
      </c>
    </row>
    <row r="124" spans="66:81">
      <c r="BN124">
        <v>6.025</v>
      </c>
      <c r="BO124">
        <v>1.07329595</v>
      </c>
      <c r="BP124">
        <v>4.21815658</v>
      </c>
      <c r="BQ124">
        <v>6.025</v>
      </c>
      <c r="BR124">
        <v>0.94695623</v>
      </c>
      <c r="BS124">
        <v>2.95884234</v>
      </c>
      <c r="BT124">
        <v>6.025</v>
      </c>
      <c r="BU124">
        <v>0.85660991</v>
      </c>
      <c r="BV124">
        <v>4.37637669</v>
      </c>
      <c r="BW124">
        <v>6.025</v>
      </c>
      <c r="BX124">
        <v>1.11716521</v>
      </c>
      <c r="BY124">
        <v>3.27054164</v>
      </c>
      <c r="BZ124">
        <v>6.025</v>
      </c>
      <c r="CA124">
        <v>0.74053718</v>
      </c>
      <c r="CB124">
        <v>4.82</v>
      </c>
      <c r="CC124">
        <v>3.91292488</v>
      </c>
    </row>
    <row r="125" spans="66:81">
      <c r="BN125">
        <v>6.075</v>
      </c>
      <c r="BO125">
        <v>1.04115999</v>
      </c>
      <c r="BP125">
        <v>5.17708082</v>
      </c>
      <c r="BQ125">
        <v>6.075</v>
      </c>
      <c r="BR125">
        <v>0.9625843</v>
      </c>
      <c r="BS125">
        <v>2.12376003</v>
      </c>
      <c r="BT125">
        <v>6.075</v>
      </c>
      <c r="BU125">
        <v>0.73765632</v>
      </c>
      <c r="BV125">
        <v>3.51821083</v>
      </c>
      <c r="BW125">
        <v>6.075</v>
      </c>
      <c r="BX125">
        <v>1.07974098</v>
      </c>
      <c r="BY125">
        <v>4.10158245</v>
      </c>
      <c r="BZ125">
        <v>6.075</v>
      </c>
      <c r="CA125">
        <v>0.76416702</v>
      </c>
      <c r="CB125">
        <v>4.86</v>
      </c>
      <c r="CC125">
        <v>3.12713377</v>
      </c>
    </row>
    <row r="126" spans="66:81">
      <c r="BN126">
        <v>6.125</v>
      </c>
      <c r="BO126">
        <v>0.96128937</v>
      </c>
      <c r="BP126">
        <v>4.33438512</v>
      </c>
      <c r="BQ126">
        <v>6.125</v>
      </c>
      <c r="BR126">
        <v>0.93467484</v>
      </c>
      <c r="BS126">
        <v>2.32136457</v>
      </c>
      <c r="BT126">
        <v>6.125</v>
      </c>
      <c r="BU126">
        <v>0.97077473</v>
      </c>
      <c r="BV126">
        <v>3.33885229</v>
      </c>
      <c r="BW126">
        <v>6.125</v>
      </c>
      <c r="BX126">
        <v>1.13425023</v>
      </c>
      <c r="BY126">
        <v>4.90516226</v>
      </c>
      <c r="BZ126">
        <v>6.125</v>
      </c>
      <c r="CA126">
        <v>0.81252094</v>
      </c>
      <c r="CB126">
        <v>4.9</v>
      </c>
      <c r="CC126">
        <v>4.49611205</v>
      </c>
    </row>
    <row r="127" spans="66:81">
      <c r="BN127">
        <v>6.175</v>
      </c>
      <c r="BO127">
        <v>1.00771145</v>
      </c>
      <c r="BP127">
        <v>3.44711908</v>
      </c>
      <c r="BQ127">
        <v>6.175</v>
      </c>
      <c r="BR127">
        <v>0.92864502</v>
      </c>
      <c r="BS127">
        <v>2.96910123</v>
      </c>
      <c r="BT127">
        <v>6.175</v>
      </c>
      <c r="BU127">
        <v>0.96463686</v>
      </c>
      <c r="BV127">
        <v>3.12475706</v>
      </c>
      <c r="BW127">
        <v>6.175</v>
      </c>
      <c r="BX127">
        <v>1.26392838</v>
      </c>
      <c r="BY127">
        <v>3.93089432</v>
      </c>
      <c r="BZ127">
        <v>6.175</v>
      </c>
      <c r="CA127">
        <v>0.81200528</v>
      </c>
      <c r="CB127">
        <v>4.94</v>
      </c>
      <c r="CC127">
        <v>4.65641652</v>
      </c>
    </row>
    <row r="128" spans="66:81">
      <c r="BN128">
        <v>6.225</v>
      </c>
      <c r="BO128">
        <v>0.98327901</v>
      </c>
      <c r="BP128">
        <v>4.26618449</v>
      </c>
      <c r="BQ128">
        <v>6.225</v>
      </c>
      <c r="BR128">
        <v>0.83071547</v>
      </c>
      <c r="BS128">
        <v>3.33361668</v>
      </c>
      <c r="BT128">
        <v>6.225</v>
      </c>
      <c r="BU128">
        <v>0.91173446</v>
      </c>
      <c r="BV128">
        <v>3.50838231</v>
      </c>
      <c r="BW128">
        <v>6.225</v>
      </c>
      <c r="BX128">
        <v>1.07383392</v>
      </c>
      <c r="BY128">
        <v>4.86372449</v>
      </c>
      <c r="BZ128">
        <v>6.225</v>
      </c>
      <c r="CA128">
        <v>0.82069213</v>
      </c>
      <c r="CB128">
        <v>4.98</v>
      </c>
      <c r="CC128">
        <v>3.9709934</v>
      </c>
    </row>
    <row r="129" spans="66:81">
      <c r="BN129">
        <v>6.275</v>
      </c>
      <c r="BO129">
        <v>1.05217265</v>
      </c>
      <c r="BP129">
        <v>4.30170975</v>
      </c>
      <c r="BQ129">
        <v>6.275</v>
      </c>
      <c r="BR129">
        <v>0.89052352</v>
      </c>
      <c r="BS129">
        <v>2.54346656</v>
      </c>
      <c r="BT129">
        <v>6.275</v>
      </c>
      <c r="BU129">
        <v>0.94028224</v>
      </c>
      <c r="BV129">
        <v>4.15099272</v>
      </c>
      <c r="BW129">
        <v>6.275</v>
      </c>
      <c r="BX129">
        <v>1.24486197</v>
      </c>
      <c r="BY129">
        <v>4.56038915</v>
      </c>
      <c r="BZ129">
        <v>6.275</v>
      </c>
      <c r="CA129">
        <v>0.85947806</v>
      </c>
      <c r="CB129">
        <v>5.02</v>
      </c>
      <c r="CC129">
        <v>5.18556641</v>
      </c>
    </row>
    <row r="130" spans="66:81">
      <c r="BN130">
        <v>6.325</v>
      </c>
      <c r="BO130">
        <v>1.07852991</v>
      </c>
      <c r="BP130">
        <v>4.67430034</v>
      </c>
      <c r="BQ130">
        <v>6.325</v>
      </c>
      <c r="BR130">
        <v>0.98282931</v>
      </c>
      <c r="BS130">
        <v>3.19275836</v>
      </c>
      <c r="BT130">
        <v>6.325</v>
      </c>
      <c r="BU130">
        <v>1.05854978</v>
      </c>
      <c r="BV130">
        <v>3.43650626</v>
      </c>
      <c r="BW130">
        <v>6.325</v>
      </c>
      <c r="BX130">
        <v>1.09303614</v>
      </c>
      <c r="BY130">
        <v>5.04500822</v>
      </c>
      <c r="BZ130">
        <v>6.325</v>
      </c>
      <c r="CA130">
        <v>0.84294345</v>
      </c>
      <c r="CB130">
        <v>5.06</v>
      </c>
      <c r="CC130">
        <v>4.66008777</v>
      </c>
    </row>
    <row r="131" spans="66:81">
      <c r="BN131">
        <v>6.375</v>
      </c>
      <c r="BO131">
        <v>0.98773049</v>
      </c>
      <c r="BP131">
        <v>3.40093566</v>
      </c>
      <c r="BQ131">
        <v>6.375</v>
      </c>
      <c r="BR131">
        <v>0.91089555</v>
      </c>
      <c r="BS131">
        <v>3.5357316</v>
      </c>
      <c r="BT131">
        <v>6.375</v>
      </c>
      <c r="BU131">
        <v>0.92887774</v>
      </c>
      <c r="BV131">
        <v>2.85659676</v>
      </c>
      <c r="BW131">
        <v>6.375</v>
      </c>
      <c r="BX131">
        <v>1.09331196</v>
      </c>
      <c r="BY131">
        <v>3.50553994</v>
      </c>
      <c r="BZ131">
        <v>6.375</v>
      </c>
      <c r="CA131">
        <v>0.74413782</v>
      </c>
      <c r="CB131">
        <v>5.1</v>
      </c>
      <c r="CC131">
        <v>4.80571707</v>
      </c>
    </row>
    <row r="132" spans="66:81">
      <c r="BN132">
        <v>6.425</v>
      </c>
      <c r="BO132">
        <v>1.01141783</v>
      </c>
      <c r="BP132">
        <v>3.21690672</v>
      </c>
      <c r="BQ132">
        <v>6.425</v>
      </c>
      <c r="BR132">
        <v>0.99146378</v>
      </c>
      <c r="BS132">
        <v>3.05898605</v>
      </c>
      <c r="BT132">
        <v>6.425</v>
      </c>
      <c r="BU132">
        <v>0.90861479</v>
      </c>
      <c r="BV132">
        <v>2.77530526</v>
      </c>
      <c r="BW132">
        <v>6.425</v>
      </c>
      <c r="BX132">
        <v>1.21304259</v>
      </c>
      <c r="BY132">
        <v>4.31398948</v>
      </c>
      <c r="BZ132">
        <v>6.425</v>
      </c>
      <c r="CA132">
        <v>0.7616725</v>
      </c>
      <c r="CB132">
        <v>5.14</v>
      </c>
      <c r="CC132">
        <v>5.59143158</v>
      </c>
    </row>
    <row r="133" spans="66:81">
      <c r="BN133">
        <v>6.475</v>
      </c>
      <c r="BO133">
        <v>1.01889828</v>
      </c>
      <c r="BP133">
        <v>2.65028756</v>
      </c>
      <c r="BQ133">
        <v>6.475</v>
      </c>
      <c r="BR133">
        <v>0.94878915</v>
      </c>
      <c r="BS133">
        <v>3.11578517</v>
      </c>
      <c r="BT133">
        <v>6.475</v>
      </c>
      <c r="BU133">
        <v>0.94081116</v>
      </c>
      <c r="BV133">
        <v>2.55043517</v>
      </c>
      <c r="BW133">
        <v>6.475</v>
      </c>
      <c r="BX133">
        <v>1.13269913</v>
      </c>
      <c r="BY133">
        <v>3.71666901</v>
      </c>
      <c r="BZ133">
        <v>6.475</v>
      </c>
      <c r="CA133">
        <v>0.7757165</v>
      </c>
      <c r="CB133">
        <v>5.18</v>
      </c>
      <c r="CC133">
        <v>4.16434955</v>
      </c>
    </row>
    <row r="134" spans="66:81">
      <c r="BN134">
        <v>6.525</v>
      </c>
      <c r="BO134">
        <v>0.97309134</v>
      </c>
      <c r="BP134">
        <v>2.73713453</v>
      </c>
      <c r="BQ134">
        <v>6.525</v>
      </c>
      <c r="BR134">
        <v>0.98020921</v>
      </c>
      <c r="BS134">
        <v>3.13639946</v>
      </c>
      <c r="BT134">
        <v>6.525</v>
      </c>
      <c r="BU134">
        <v>0.97475962</v>
      </c>
      <c r="BV134">
        <v>2.72676924</v>
      </c>
      <c r="BW134">
        <v>6.525</v>
      </c>
      <c r="BX134">
        <v>1.02429642</v>
      </c>
      <c r="BY134">
        <v>3.34621905</v>
      </c>
      <c r="BZ134">
        <v>6.525</v>
      </c>
      <c r="CA134">
        <v>0.84279796</v>
      </c>
      <c r="CB134">
        <v>5.22</v>
      </c>
      <c r="CC134">
        <v>4.65680994</v>
      </c>
    </row>
    <row r="135" spans="66:81">
      <c r="BN135">
        <v>6.575</v>
      </c>
      <c r="BO135">
        <v>1.08993444</v>
      </c>
      <c r="BP135">
        <v>2.50759404</v>
      </c>
      <c r="BQ135">
        <v>6.575</v>
      </c>
      <c r="BR135">
        <v>0.9307858</v>
      </c>
      <c r="BS135">
        <v>2.65240711</v>
      </c>
      <c r="BT135">
        <v>6.575</v>
      </c>
      <c r="BU135">
        <v>1.00757053</v>
      </c>
      <c r="BV135">
        <v>2.08476139</v>
      </c>
      <c r="BW135">
        <v>6.575</v>
      </c>
      <c r="BX135">
        <v>1.06315859</v>
      </c>
      <c r="BY135">
        <v>3.26119141</v>
      </c>
      <c r="BZ135">
        <v>6.575</v>
      </c>
      <c r="CA135">
        <v>0.89110087</v>
      </c>
      <c r="CB135">
        <v>5.26</v>
      </c>
      <c r="CC135">
        <v>4.99696285</v>
      </c>
    </row>
    <row r="136" spans="66:81">
      <c r="BN136">
        <v>6.625</v>
      </c>
      <c r="BO136">
        <v>1.04175414</v>
      </c>
      <c r="BP136">
        <v>1.94503567</v>
      </c>
      <c r="BQ136">
        <v>6.625</v>
      </c>
      <c r="BR136">
        <v>0.96131905</v>
      </c>
      <c r="BS136">
        <v>2.21568326</v>
      </c>
      <c r="BT136">
        <v>6.625</v>
      </c>
      <c r="BU136">
        <v>0.90144761</v>
      </c>
      <c r="BV136">
        <v>1.42694746</v>
      </c>
      <c r="BW136">
        <v>6.625</v>
      </c>
      <c r="BX136">
        <v>1.09537894</v>
      </c>
      <c r="BY136">
        <v>2.36684874</v>
      </c>
      <c r="BZ136">
        <v>6.625</v>
      </c>
      <c r="CA136">
        <v>0.80387578</v>
      </c>
      <c r="CB136">
        <v>5.3</v>
      </c>
      <c r="CC136">
        <v>6.00057748</v>
      </c>
    </row>
    <row r="137" spans="66:81">
      <c r="BN137">
        <v>6.675</v>
      </c>
      <c r="BO137">
        <v>0.98284505</v>
      </c>
      <c r="BP137">
        <v>1.33816281</v>
      </c>
      <c r="BQ137">
        <v>6.675</v>
      </c>
      <c r="BR137">
        <v>0.99083643</v>
      </c>
      <c r="BS137">
        <v>2.4432246</v>
      </c>
      <c r="BT137">
        <v>6.675</v>
      </c>
      <c r="BU137">
        <v>0.85812208</v>
      </c>
      <c r="BV137">
        <v>1.16566109</v>
      </c>
      <c r="BW137">
        <v>6.675</v>
      </c>
      <c r="BX137">
        <v>1.02362777</v>
      </c>
      <c r="BY137">
        <v>2.39813825</v>
      </c>
      <c r="BZ137">
        <v>6.675</v>
      </c>
      <c r="CA137">
        <v>0.88614904</v>
      </c>
      <c r="CB137">
        <v>5.34</v>
      </c>
      <c r="CC137">
        <v>5.04761113</v>
      </c>
    </row>
    <row r="138" spans="66:81">
      <c r="BN138">
        <v>6.725</v>
      </c>
      <c r="BO138">
        <v>0.97777764</v>
      </c>
      <c r="BP138">
        <v>1.37826302</v>
      </c>
      <c r="BQ138">
        <v>6.725</v>
      </c>
      <c r="BR138">
        <v>0.90497948</v>
      </c>
      <c r="BS138">
        <v>1.9577172</v>
      </c>
      <c r="BT138">
        <v>6.725</v>
      </c>
      <c r="BU138">
        <v>0.87216286</v>
      </c>
      <c r="BV138">
        <v>0.84440614</v>
      </c>
      <c r="BW138">
        <v>6.725</v>
      </c>
      <c r="BX138">
        <v>1.02665712</v>
      </c>
      <c r="BY138">
        <v>2.03447053</v>
      </c>
      <c r="BZ138">
        <v>6.725</v>
      </c>
      <c r="CA138">
        <v>0.78280011</v>
      </c>
      <c r="CB138">
        <v>5.38</v>
      </c>
      <c r="CC138">
        <v>5.4962892</v>
      </c>
    </row>
    <row r="139" spans="66:81">
      <c r="BN139">
        <v>6.775</v>
      </c>
      <c r="BO139">
        <v>0.92130858</v>
      </c>
      <c r="BP139">
        <v>1.00373529</v>
      </c>
      <c r="BQ139">
        <v>6.775</v>
      </c>
      <c r="BR139">
        <v>0.96931673</v>
      </c>
      <c r="BS139">
        <v>1.86568423</v>
      </c>
      <c r="BT139">
        <v>6.775</v>
      </c>
      <c r="BU139">
        <v>0.82243311</v>
      </c>
      <c r="BV139">
        <v>0.86526817</v>
      </c>
      <c r="BW139">
        <v>6.775</v>
      </c>
      <c r="BX139">
        <v>1.00899858</v>
      </c>
      <c r="BY139">
        <v>1.77823196</v>
      </c>
      <c r="BZ139">
        <v>6.775</v>
      </c>
      <c r="CA139">
        <v>0.84449561</v>
      </c>
      <c r="CB139">
        <v>5.42</v>
      </c>
      <c r="CC139">
        <v>5.80228166</v>
      </c>
    </row>
    <row r="140" spans="66:81">
      <c r="BN140">
        <v>6.825</v>
      </c>
      <c r="BO140">
        <v>0.896338</v>
      </c>
      <c r="BP140">
        <v>0.63999455</v>
      </c>
      <c r="BQ140">
        <v>6.825</v>
      </c>
      <c r="BR140">
        <v>0.99959271</v>
      </c>
      <c r="BS140">
        <v>2.02540931</v>
      </c>
      <c r="BT140">
        <v>6.825</v>
      </c>
      <c r="BU140">
        <v>0.8909502</v>
      </c>
      <c r="BV140">
        <v>0.7870493</v>
      </c>
      <c r="BW140">
        <v>6.825</v>
      </c>
      <c r="BX140">
        <v>0.95136901</v>
      </c>
      <c r="BY140">
        <v>1.84785135</v>
      </c>
      <c r="BZ140">
        <v>6.825</v>
      </c>
      <c r="CA140">
        <v>0.85535475</v>
      </c>
      <c r="CB140">
        <v>5.46</v>
      </c>
      <c r="CC140">
        <v>4.89170591</v>
      </c>
    </row>
    <row r="141" spans="66:81">
      <c r="BN141">
        <v>6.875</v>
      </c>
      <c r="BO141">
        <v>0.93557662</v>
      </c>
      <c r="BP141">
        <v>0.45870504</v>
      </c>
      <c r="BQ141">
        <v>6.875</v>
      </c>
      <c r="BR141">
        <v>0.96321487</v>
      </c>
      <c r="BS141">
        <v>2.05747318</v>
      </c>
      <c r="BT141">
        <v>6.875</v>
      </c>
      <c r="BU141">
        <v>0.93435542</v>
      </c>
      <c r="BV141">
        <v>1.0018722</v>
      </c>
      <c r="BW141">
        <v>6.875</v>
      </c>
      <c r="BX141">
        <v>1.03457247</v>
      </c>
      <c r="BY141">
        <v>1.47569576</v>
      </c>
      <c r="BZ141">
        <v>6.875</v>
      </c>
      <c r="CA141">
        <v>0.91912948</v>
      </c>
      <c r="CB141">
        <v>5.5</v>
      </c>
      <c r="CC141">
        <v>5.00863675</v>
      </c>
    </row>
    <row r="142" spans="66:81">
      <c r="BN142">
        <v>6.925</v>
      </c>
      <c r="BO142">
        <v>0.94225861</v>
      </c>
      <c r="BP142">
        <v>0.36733538</v>
      </c>
      <c r="BQ142">
        <v>6.925</v>
      </c>
      <c r="BR142">
        <v>0.903806</v>
      </c>
      <c r="BS142">
        <v>1.51333565</v>
      </c>
      <c r="BT142">
        <v>6.925</v>
      </c>
      <c r="BU142">
        <v>0.92848083</v>
      </c>
      <c r="BV142">
        <v>0.70077595</v>
      </c>
      <c r="BW142">
        <v>6.925</v>
      </c>
      <c r="BX142">
        <v>0.99027275</v>
      </c>
      <c r="BY142">
        <v>1.98054549</v>
      </c>
      <c r="BZ142">
        <v>6.925</v>
      </c>
      <c r="CA142">
        <v>0.86586483</v>
      </c>
      <c r="CB142">
        <v>5.54</v>
      </c>
      <c r="CC142">
        <v>4.99827843</v>
      </c>
    </row>
    <row r="143" spans="66:81">
      <c r="BN143">
        <v>6.975</v>
      </c>
      <c r="BO143">
        <v>0.96630291</v>
      </c>
      <c r="BP143">
        <v>0.44564655</v>
      </c>
      <c r="BQ143">
        <v>6.975</v>
      </c>
      <c r="BR143">
        <v>1.10121203</v>
      </c>
      <c r="BS143">
        <v>1.70055731</v>
      </c>
      <c r="BT143">
        <v>6.975</v>
      </c>
      <c r="BU143">
        <v>1.02464517</v>
      </c>
      <c r="BV143">
        <v>0.59656981</v>
      </c>
      <c r="BW143">
        <v>6.975</v>
      </c>
      <c r="BX143">
        <v>0.98095854</v>
      </c>
      <c r="BY143">
        <v>1.55570119</v>
      </c>
      <c r="BZ143">
        <v>6.975</v>
      </c>
      <c r="CA143">
        <v>0.90776405</v>
      </c>
      <c r="CB143">
        <v>5.58</v>
      </c>
      <c r="CC143">
        <v>4.7443988</v>
      </c>
    </row>
    <row r="144" spans="66:81">
      <c r="CB144">
        <v>5.62</v>
      </c>
      <c r="CC144">
        <v>6.89572951</v>
      </c>
    </row>
    <row r="145" spans="80:81">
      <c r="CB145">
        <v>5.66</v>
      </c>
      <c r="CC145">
        <v>6.44389819</v>
      </c>
    </row>
    <row r="146" spans="80:81">
      <c r="CB146">
        <v>5.7</v>
      </c>
      <c r="CC146">
        <v>5.88744309</v>
      </c>
    </row>
    <row r="147" spans="80:81">
      <c r="CB147">
        <v>5.74</v>
      </c>
      <c r="CC147">
        <v>5.8631563</v>
      </c>
    </row>
    <row r="148" spans="80:81">
      <c r="CB148">
        <v>5.78</v>
      </c>
      <c r="CC148">
        <v>4.70519389</v>
      </c>
    </row>
    <row r="149" spans="80:81">
      <c r="CB149">
        <v>5.82</v>
      </c>
      <c r="CC149">
        <v>4.80847779</v>
      </c>
    </row>
    <row r="150" spans="80:81">
      <c r="CB150">
        <v>5.86</v>
      </c>
      <c r="CC150">
        <v>5.07396832</v>
      </c>
    </row>
    <row r="151" spans="80:81">
      <c r="CB151">
        <v>5.9</v>
      </c>
      <c r="CC151">
        <v>4.18930404</v>
      </c>
    </row>
    <row r="152" spans="80:81">
      <c r="CB152">
        <v>5.94</v>
      </c>
      <c r="CC152">
        <v>4.77718783</v>
      </c>
    </row>
    <row r="153" spans="80:81">
      <c r="CB153">
        <v>5.98</v>
      </c>
      <c r="CC153">
        <v>4.50165057</v>
      </c>
    </row>
    <row r="154" spans="80:81">
      <c r="CB154">
        <v>6.02</v>
      </c>
      <c r="CC154">
        <v>4.96461834</v>
      </c>
    </row>
    <row r="155" spans="80:81">
      <c r="CB155">
        <v>6.06</v>
      </c>
      <c r="CC155">
        <v>4.64143771</v>
      </c>
    </row>
    <row r="156" spans="80:81">
      <c r="CB156">
        <v>6.1</v>
      </c>
      <c r="CC156">
        <v>3.91909996</v>
      </c>
    </row>
    <row r="157" spans="80:81">
      <c r="CB157">
        <v>6.14</v>
      </c>
      <c r="CC157">
        <v>3.81796687</v>
      </c>
    </row>
    <row r="158" spans="80:81">
      <c r="CB158">
        <v>6.18</v>
      </c>
      <c r="CC158">
        <v>3.86787988</v>
      </c>
    </row>
    <row r="159" spans="80:81">
      <c r="CB159">
        <v>6.22</v>
      </c>
      <c r="CC159">
        <v>3.81829236</v>
      </c>
    </row>
    <row r="160" spans="80:81">
      <c r="CB160">
        <v>6.26</v>
      </c>
      <c r="CC160">
        <v>3.62466573</v>
      </c>
    </row>
    <row r="161" spans="80:81">
      <c r="CB161">
        <v>6.3</v>
      </c>
      <c r="CC161">
        <v>3.67421875</v>
      </c>
    </row>
    <row r="162" spans="80:81">
      <c r="CB162">
        <v>6.34</v>
      </c>
      <c r="CC162">
        <v>3.15683359</v>
      </c>
    </row>
    <row r="163" spans="80:81">
      <c r="CB163">
        <v>6.38</v>
      </c>
      <c r="CC163">
        <v>3.39654148</v>
      </c>
    </row>
    <row r="164" spans="80:81">
      <c r="CB164">
        <v>6.42</v>
      </c>
      <c r="CC164">
        <v>2.66509917</v>
      </c>
    </row>
    <row r="165" spans="80:81">
      <c r="CB165">
        <v>6.46</v>
      </c>
      <c r="CC165">
        <v>3.22217235</v>
      </c>
    </row>
    <row r="166" spans="80:81">
      <c r="CB166">
        <v>6.5</v>
      </c>
      <c r="CC166">
        <v>2.59990064</v>
      </c>
    </row>
    <row r="167" spans="80:81">
      <c r="CB167">
        <v>6.54</v>
      </c>
      <c r="CC167">
        <v>2.39107804</v>
      </c>
    </row>
    <row r="168" spans="80:81">
      <c r="CB168">
        <v>6.58</v>
      </c>
      <c r="CC168">
        <v>2.62455071</v>
      </c>
    </row>
    <row r="169" spans="80:81">
      <c r="CB169">
        <v>6.62</v>
      </c>
      <c r="CC169">
        <v>1.901482</v>
      </c>
    </row>
    <row r="170" spans="80:81">
      <c r="CB170">
        <v>6.66</v>
      </c>
      <c r="CC170">
        <v>2.3910855</v>
      </c>
    </row>
    <row r="171" spans="80:81">
      <c r="CB171">
        <v>6.7</v>
      </c>
      <c r="CC171">
        <v>2.7423274</v>
      </c>
    </row>
    <row r="172" spans="80:81">
      <c r="CB172">
        <v>6.74</v>
      </c>
      <c r="CC172">
        <v>2.12620899</v>
      </c>
    </row>
    <row r="173" spans="80:81">
      <c r="CB173">
        <v>6.78</v>
      </c>
      <c r="CC173">
        <v>1.85399564</v>
      </c>
    </row>
    <row r="174" spans="80:81">
      <c r="CB174">
        <v>6.82</v>
      </c>
      <c r="CC174">
        <v>1.87302977</v>
      </c>
    </row>
    <row r="175" spans="80:81">
      <c r="CB175">
        <v>6.86</v>
      </c>
      <c r="CC175">
        <v>2.29394096</v>
      </c>
    </row>
    <row r="176" spans="80:81">
      <c r="CB176">
        <v>6.9</v>
      </c>
      <c r="CC176">
        <v>2.38675969</v>
      </c>
    </row>
    <row r="177" spans="80:81">
      <c r="CB177">
        <v>6.94</v>
      </c>
      <c r="CC177">
        <v>2.39864808</v>
      </c>
    </row>
    <row r="178" spans="80:81">
      <c r="CB178">
        <v>6.98</v>
      </c>
      <c r="CC178">
        <v>2.37123525</v>
      </c>
    </row>
  </sheetData>
  <mergeCells count="20">
    <mergeCell ref="A1:K1"/>
    <mergeCell ref="N1:AG1"/>
    <mergeCell ref="AH1:AI1"/>
    <mergeCell ref="AJ1:AK1"/>
    <mergeCell ref="AL1:AM1"/>
    <mergeCell ref="AN1:AO1"/>
    <mergeCell ref="AP1:AT1"/>
    <mergeCell ref="AW1:BF1"/>
    <mergeCell ref="BG1:BI1"/>
    <mergeCell ref="BN1:CC1"/>
    <mergeCell ref="CI1:CK1"/>
    <mergeCell ref="CL1:CN1"/>
    <mergeCell ref="CO1:CQ1"/>
    <mergeCell ref="CR1:CT1"/>
    <mergeCell ref="N2:Q2"/>
    <mergeCell ref="R2:T2"/>
    <mergeCell ref="U2:W2"/>
    <mergeCell ref="X2:Z2"/>
    <mergeCell ref="AA2:AC2"/>
    <mergeCell ref="BK3:BK7"/>
  </mergeCells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Q148"/>
  <sheetViews>
    <sheetView zoomScale="85" zoomScaleNormal="85" topLeftCell="AK1" workbookViewId="0">
      <selection activeCell="BE30" sqref="BE30"/>
    </sheetView>
  </sheetViews>
  <sheetFormatPr defaultColWidth="9" defaultRowHeight="13.8"/>
  <cols>
    <col min="11" max="11" width="11.75" customWidth="1"/>
    <col min="45" max="45" width="12.3796296296296" customWidth="1"/>
    <col min="47" max="47" width="12.8888888888889"/>
    <col min="54" max="54" width="11.3796296296296" customWidth="1"/>
    <col min="57" max="57" width="12.8888888888889"/>
    <col min="69" max="69" width="13.1296296296296" customWidth="1"/>
    <col min="73" max="73" width="12.6296296296296" customWidth="1"/>
    <col min="74" max="74" width="12.1296296296296" customWidth="1"/>
    <col min="119" max="120" width="23.5" customWidth="1"/>
    <col min="121" max="121" width="17.25" customWidth="1"/>
    <col min="132" max="132" width="12.8888888888889"/>
    <col min="136" max="136" width="10.1111111111111" customWidth="1"/>
    <col min="137" max="137" width="12.8888888888889"/>
    <col min="142" max="142" width="12.8888888888889"/>
    <col min="147" max="147" width="12.8888888888889"/>
    <col min="152" max="152" width="12.8888888888889"/>
    <col min="157" max="157" width="12.8888888888889"/>
    <col min="167" max="167" width="12.8888888888889"/>
    <col min="173" max="173" width="12.8888888888889"/>
    <col min="179" max="179" width="12.8888888888889"/>
    <col min="199" max="199" width="12.8888888888889"/>
  </cols>
  <sheetData>
    <row r="1" spans="1:199">
      <c r="O1" s="13" t="s">
        <v>118</v>
      </c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C1" s="13" t="s">
        <v>119</v>
      </c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R1" t="s">
        <v>73</v>
      </c>
      <c r="AS1" s="6" t="s">
        <v>63</v>
      </c>
      <c r="AT1" s="6"/>
      <c r="AU1" s="6"/>
      <c r="AV1" s="6"/>
      <c r="AW1" s="6"/>
      <c r="AX1" s="6"/>
      <c r="AY1" s="6"/>
      <c r="AZ1" s="6"/>
      <c r="BA1" s="6"/>
      <c r="BB1" s="6"/>
      <c r="BC1" s="7" t="s">
        <v>64</v>
      </c>
      <c r="BD1" s="7"/>
      <c r="BE1" s="7"/>
      <c r="BJ1" s="7" t="s">
        <v>120</v>
      </c>
      <c r="BK1" s="7"/>
      <c r="BL1" s="7"/>
      <c r="BM1" s="7"/>
      <c r="BN1" s="7"/>
      <c r="BO1" s="7"/>
      <c r="BP1" s="7"/>
      <c r="BQ1" s="11" t="s">
        <v>121</v>
      </c>
      <c r="BT1" s="13" t="s">
        <v>122</v>
      </c>
      <c r="BU1" s="13"/>
      <c r="BV1" s="13"/>
      <c r="BW1" s="13"/>
      <c r="BX1" s="15"/>
      <c r="BY1" s="15"/>
      <c r="BZ1" s="15"/>
      <c r="CA1" s="15"/>
      <c r="CC1" s="16" t="s">
        <v>123</v>
      </c>
      <c r="CD1" s="16"/>
      <c r="CE1" s="16"/>
      <c r="CF1" s="16">
        <v>320</v>
      </c>
      <c r="CG1" s="16"/>
      <c r="CH1" s="16">
        <v>340</v>
      </c>
      <c r="CI1" s="16"/>
      <c r="CJ1" s="16">
        <v>360</v>
      </c>
      <c r="CK1" s="16"/>
      <c r="CL1" s="16"/>
      <c r="CM1" s="16"/>
      <c r="CN1" s="16"/>
      <c r="CO1" s="16"/>
      <c r="CP1" s="16"/>
      <c r="CQ1" s="16"/>
      <c r="CS1" t="s">
        <v>124</v>
      </c>
      <c r="CV1">
        <v>320</v>
      </c>
      <c r="DD1">
        <v>380</v>
      </c>
      <c r="DF1">
        <v>400</v>
      </c>
      <c r="DN1" s="4"/>
      <c r="DO1" s="7" t="s">
        <v>125</v>
      </c>
      <c r="DP1" s="7"/>
      <c r="DQ1" s="7"/>
      <c r="DR1" s="7"/>
      <c r="FG1" t="s">
        <v>126</v>
      </c>
      <c r="FH1" t="s">
        <v>127</v>
      </c>
      <c r="FI1" t="s">
        <v>127</v>
      </c>
      <c r="FJ1" t="s">
        <v>127</v>
      </c>
      <c r="FM1" t="s">
        <v>126</v>
      </c>
      <c r="FN1" t="s">
        <v>127</v>
      </c>
      <c r="FO1" t="s">
        <v>127</v>
      </c>
      <c r="FP1" t="s">
        <v>127</v>
      </c>
      <c r="FS1" t="s">
        <v>126</v>
      </c>
      <c r="FT1" t="s">
        <v>127</v>
      </c>
      <c r="FU1" t="s">
        <v>127</v>
      </c>
      <c r="FV1" t="s">
        <v>127</v>
      </c>
      <c r="GM1" t="s">
        <v>126</v>
      </c>
      <c r="GN1" t="s">
        <v>127</v>
      </c>
      <c r="GO1" t="s">
        <v>127</v>
      </c>
      <c r="GP1" t="s">
        <v>127</v>
      </c>
    </row>
    <row r="2" spans="1:199">
      <c r="P2">
        <v>298</v>
      </c>
      <c r="R2">
        <v>320</v>
      </c>
      <c r="T2">
        <v>340</v>
      </c>
      <c r="V2">
        <v>360</v>
      </c>
      <c r="X2">
        <v>380</v>
      </c>
      <c r="Z2">
        <v>410</v>
      </c>
      <c r="AD2">
        <v>298</v>
      </c>
      <c r="AF2">
        <v>320</v>
      </c>
      <c r="AH2">
        <v>340</v>
      </c>
      <c r="AJ2">
        <v>360</v>
      </c>
      <c r="AL2">
        <v>380</v>
      </c>
      <c r="AN2">
        <v>410</v>
      </c>
      <c r="AR2" t="s">
        <v>128</v>
      </c>
      <c r="AS2" t="s">
        <v>80</v>
      </c>
      <c r="AT2" t="s">
        <v>81</v>
      </c>
      <c r="AU2" t="s">
        <v>82</v>
      </c>
      <c r="AV2" t="s">
        <v>83</v>
      </c>
      <c r="AW2" t="s">
        <v>84</v>
      </c>
      <c r="AX2" t="s">
        <v>85</v>
      </c>
      <c r="AY2" t="s">
        <v>86</v>
      </c>
      <c r="AZ2" t="s">
        <v>87</v>
      </c>
      <c r="BA2" t="s">
        <v>88</v>
      </c>
      <c r="BB2" t="s">
        <v>89</v>
      </c>
      <c r="BC2" t="s">
        <v>80</v>
      </c>
      <c r="BD2" t="s">
        <v>81</v>
      </c>
      <c r="BE2" t="s">
        <v>82</v>
      </c>
      <c r="BF2" t="s">
        <v>90</v>
      </c>
      <c r="BK2">
        <v>300</v>
      </c>
      <c r="BL2">
        <v>320</v>
      </c>
      <c r="BM2">
        <v>340</v>
      </c>
      <c r="BN2">
        <v>360</v>
      </c>
      <c r="BO2">
        <v>380</v>
      </c>
      <c r="BP2">
        <v>410</v>
      </c>
      <c r="CC2">
        <v>298</v>
      </c>
      <c r="CD2" t="s">
        <v>129</v>
      </c>
      <c r="CE2" t="s">
        <v>130</v>
      </c>
      <c r="CF2" t="s">
        <v>129</v>
      </c>
      <c r="CG2" t="s">
        <v>130</v>
      </c>
      <c r="CH2" t="s">
        <v>129</v>
      </c>
      <c r="CI2" t="s">
        <v>130</v>
      </c>
      <c r="CJ2" t="s">
        <v>129</v>
      </c>
      <c r="CK2" t="s">
        <v>130</v>
      </c>
      <c r="CL2">
        <v>380</v>
      </c>
      <c r="CM2" t="s">
        <v>129</v>
      </c>
      <c r="CN2" t="s">
        <v>130</v>
      </c>
      <c r="CO2">
        <v>410</v>
      </c>
      <c r="CP2" t="s">
        <v>129</v>
      </c>
      <c r="CQ2" t="s">
        <v>130</v>
      </c>
      <c r="CS2">
        <v>298</v>
      </c>
      <c r="CT2" t="s">
        <v>129</v>
      </c>
      <c r="CU2" t="s">
        <v>130</v>
      </c>
      <c r="CV2" t="s">
        <v>129</v>
      </c>
      <c r="CW2" t="s">
        <v>130</v>
      </c>
      <c r="CX2">
        <v>340</v>
      </c>
      <c r="CY2" t="s">
        <v>129</v>
      </c>
      <c r="CZ2" t="s">
        <v>130</v>
      </c>
      <c r="DA2">
        <v>360</v>
      </c>
      <c r="DB2" t="s">
        <v>129</v>
      </c>
      <c r="DC2" t="s">
        <v>130</v>
      </c>
      <c r="DD2" t="s">
        <v>129</v>
      </c>
      <c r="DE2" t="s">
        <v>130</v>
      </c>
      <c r="DF2" t="s">
        <v>129</v>
      </c>
      <c r="DG2" t="s">
        <v>130</v>
      </c>
      <c r="DN2" t="s">
        <v>131</v>
      </c>
      <c r="DO2" t="s">
        <v>72</v>
      </c>
      <c r="DP2" t="s">
        <v>132</v>
      </c>
      <c r="DQ2" t="s">
        <v>73</v>
      </c>
      <c r="DR2" t="s">
        <v>132</v>
      </c>
      <c r="DX2" t="s">
        <v>126</v>
      </c>
      <c r="DY2" t="s">
        <v>133</v>
      </c>
      <c r="DZ2" t="s">
        <v>133</v>
      </c>
      <c r="EA2" t="s">
        <v>133</v>
      </c>
      <c r="EC2" t="s">
        <v>126</v>
      </c>
      <c r="ED2" t="s">
        <v>133</v>
      </c>
      <c r="EE2" t="s">
        <v>133</v>
      </c>
      <c r="EF2" t="s">
        <v>133</v>
      </c>
      <c r="EH2" t="s">
        <v>126</v>
      </c>
      <c r="EI2" t="s">
        <v>133</v>
      </c>
      <c r="EJ2" t="s">
        <v>133</v>
      </c>
      <c r="EK2" t="s">
        <v>133</v>
      </c>
      <c r="EM2" t="s">
        <v>126</v>
      </c>
      <c r="EN2" t="s">
        <v>133</v>
      </c>
      <c r="EO2" t="s">
        <v>133</v>
      </c>
      <c r="EP2" t="s">
        <v>133</v>
      </c>
      <c r="ER2" t="s">
        <v>126</v>
      </c>
      <c r="ES2" t="s">
        <v>133</v>
      </c>
      <c r="ET2" t="s">
        <v>133</v>
      </c>
      <c r="EU2" t="s">
        <v>133</v>
      </c>
      <c r="EW2" t="s">
        <v>126</v>
      </c>
      <c r="EX2" t="s">
        <v>133</v>
      </c>
      <c r="EY2" t="s">
        <v>133</v>
      </c>
      <c r="EZ2" t="s">
        <v>133</v>
      </c>
      <c r="FG2">
        <v>0.23765601</v>
      </c>
      <c r="FH2">
        <v>1.00834851</v>
      </c>
      <c r="FI2">
        <v>1.06947707</v>
      </c>
      <c r="FJ2">
        <v>0.99184025</v>
      </c>
      <c r="FK2">
        <f>AVERAGE(FH2:FJ2)</f>
        <v>1.02322194333333</v>
      </c>
      <c r="FM2">
        <v>0.27769959</v>
      </c>
      <c r="FN2">
        <v>0.99261307</v>
      </c>
      <c r="FO2">
        <v>1.01527425</v>
      </c>
      <c r="FP2">
        <v>0.9419103</v>
      </c>
      <c r="FQ2">
        <f>AVERAGE(FN2:FP2)</f>
        <v>0.983265873333333</v>
      </c>
      <c r="FS2">
        <v>0.27926265</v>
      </c>
      <c r="FT2">
        <v>0.95354443</v>
      </c>
      <c r="FU2">
        <v>1.0140262</v>
      </c>
      <c r="FV2">
        <v>0.91156739</v>
      </c>
      <c r="FW2">
        <f>AVERAGE(FT2:FV2)</f>
        <v>0.959712673333333</v>
      </c>
      <c r="GM2">
        <v>0.28086404</v>
      </c>
      <c r="GN2">
        <v>0.88849269</v>
      </c>
      <c r="GO2">
        <v>1.00863049</v>
      </c>
      <c r="GP2">
        <v>0.97087853</v>
      </c>
      <c r="GQ2">
        <f>AVERAGE(GN2:GP2)</f>
        <v>0.95600057</v>
      </c>
    </row>
    <row r="3" spans="1:199">
      <c r="A3" s="5"/>
      <c r="B3" s="5"/>
      <c r="C3" s="5"/>
      <c r="D3" s="5"/>
      <c r="E3" s="5"/>
      <c r="F3" s="5"/>
      <c r="G3" s="5"/>
      <c r="H3" s="5"/>
      <c r="I3" s="5"/>
      <c r="J3" s="5"/>
      <c r="K3" s="5"/>
      <c r="O3" t="s">
        <v>134</v>
      </c>
      <c r="P3" t="s">
        <v>63</v>
      </c>
      <c r="Q3" t="s">
        <v>64</v>
      </c>
      <c r="R3" t="s">
        <v>63</v>
      </c>
      <c r="S3" t="s">
        <v>64</v>
      </c>
      <c r="T3" t="s">
        <v>63</v>
      </c>
      <c r="U3" t="s">
        <v>64</v>
      </c>
      <c r="V3" t="s">
        <v>63</v>
      </c>
      <c r="W3" t="s">
        <v>64</v>
      </c>
      <c r="X3" t="s">
        <v>63</v>
      </c>
      <c r="Y3" t="s">
        <v>64</v>
      </c>
      <c r="Z3" t="s">
        <v>63</v>
      </c>
      <c r="AA3" t="s">
        <v>64</v>
      </c>
      <c r="AC3" t="s">
        <v>134</v>
      </c>
      <c r="AD3" t="s">
        <v>63</v>
      </c>
      <c r="AE3" t="s">
        <v>64</v>
      </c>
      <c r="AF3" t="s">
        <v>63</v>
      </c>
      <c r="AG3" t="s">
        <v>64</v>
      </c>
      <c r="AH3" t="s">
        <v>63</v>
      </c>
      <c r="AI3" t="s">
        <v>64</v>
      </c>
      <c r="AJ3" t="s">
        <v>63</v>
      </c>
      <c r="AK3" t="s">
        <v>64</v>
      </c>
      <c r="AL3" t="s">
        <v>63</v>
      </c>
      <c r="AM3" t="s">
        <v>64</v>
      </c>
      <c r="AN3" t="s">
        <v>63</v>
      </c>
      <c r="AO3" t="s">
        <v>64</v>
      </c>
      <c r="AR3">
        <v>298</v>
      </c>
      <c r="AS3">
        <v>0.0109</v>
      </c>
      <c r="AT3">
        <f>AS3/6*10000</f>
        <v>18.1666666666667</v>
      </c>
      <c r="AU3">
        <v>0.9953</v>
      </c>
      <c r="AV3">
        <v>10</v>
      </c>
      <c r="AW3" s="5">
        <v>33.047235</v>
      </c>
      <c r="AX3" s="5">
        <f>AW3^3*10^-30</f>
        <v>3.60915377337654e-26</v>
      </c>
      <c r="AY3" s="5">
        <f>AV3/AX3</f>
        <v>2.77073259492751e+26</v>
      </c>
      <c r="AZ3" s="9">
        <v>2.567e-38</v>
      </c>
      <c r="BA3" s="5">
        <f>1.3806E-23*298</f>
        <v>4.114188e-21</v>
      </c>
      <c r="BB3" s="10">
        <f>AY3*AZ3*AT3/BA3*0.00000000000001</f>
        <v>0.000314059255539814</v>
      </c>
      <c r="BC3">
        <v>0.01986</v>
      </c>
      <c r="BD3">
        <f>BC3/6*10000</f>
        <v>33.1</v>
      </c>
      <c r="BE3">
        <v>0.9972</v>
      </c>
      <c r="BF3">
        <f>AT3/(AT3+BD3)</f>
        <v>0.354356306892068</v>
      </c>
      <c r="BG3" s="5" t="s">
        <v>135</v>
      </c>
      <c r="BJ3" t="s">
        <v>104</v>
      </c>
      <c r="BK3" t="s">
        <v>136</v>
      </c>
      <c r="BL3" t="s">
        <v>105</v>
      </c>
      <c r="BM3" t="s">
        <v>105</v>
      </c>
      <c r="BN3" t="s">
        <v>105</v>
      </c>
      <c r="BO3" t="s">
        <v>105</v>
      </c>
      <c r="BP3" t="s">
        <v>105</v>
      </c>
      <c r="BQ3" t="s">
        <v>137</v>
      </c>
      <c r="BT3" t="s">
        <v>131</v>
      </c>
      <c r="BU3" t="s">
        <v>138</v>
      </c>
      <c r="BV3" t="s">
        <v>139</v>
      </c>
      <c r="BW3" t="s">
        <v>93</v>
      </c>
      <c r="BX3" t="s">
        <v>4</v>
      </c>
      <c r="CC3" t="s">
        <v>104</v>
      </c>
      <c r="CD3" t="s">
        <v>105</v>
      </c>
      <c r="CE3" t="s">
        <v>105</v>
      </c>
      <c r="CF3" t="s">
        <v>105</v>
      </c>
      <c r="CG3" t="s">
        <v>105</v>
      </c>
      <c r="CH3" t="s">
        <v>105</v>
      </c>
      <c r="CI3" t="s">
        <v>105</v>
      </c>
      <c r="CJ3" t="s">
        <v>105</v>
      </c>
      <c r="CK3" t="s">
        <v>105</v>
      </c>
      <c r="CL3" t="s">
        <v>104</v>
      </c>
      <c r="CM3" t="s">
        <v>105</v>
      </c>
      <c r="CN3" t="s">
        <v>105</v>
      </c>
      <c r="CO3" t="s">
        <v>104</v>
      </c>
      <c r="CP3" t="s">
        <v>105</v>
      </c>
      <c r="CQ3" t="s">
        <v>105</v>
      </c>
      <c r="CS3" t="s">
        <v>104</v>
      </c>
      <c r="CT3" t="s">
        <v>105</v>
      </c>
      <c r="CU3" t="s">
        <v>105</v>
      </c>
      <c r="CV3" t="s">
        <v>105</v>
      </c>
      <c r="CW3" t="s">
        <v>105</v>
      </c>
      <c r="CX3" t="s">
        <v>104</v>
      </c>
      <c r="CY3" t="s">
        <v>105</v>
      </c>
      <c r="CZ3" t="s">
        <v>105</v>
      </c>
      <c r="DA3" t="s">
        <v>104</v>
      </c>
      <c r="DB3" t="s">
        <v>105</v>
      </c>
      <c r="DC3" t="s">
        <v>105</v>
      </c>
      <c r="DD3" t="s">
        <v>105</v>
      </c>
      <c r="DE3" t="s">
        <v>105</v>
      </c>
      <c r="DF3" t="s">
        <v>105</v>
      </c>
      <c r="DG3" t="s">
        <v>105</v>
      </c>
      <c r="DN3">
        <v>298</v>
      </c>
      <c r="DO3">
        <v>1.218</v>
      </c>
      <c r="DP3">
        <v>0.023</v>
      </c>
      <c r="DQ3">
        <v>1.238</v>
      </c>
      <c r="DR3">
        <v>0.03</v>
      </c>
      <c r="DX3">
        <v>0.23765601</v>
      </c>
      <c r="DY3">
        <v>0.97798685</v>
      </c>
      <c r="DZ3">
        <v>1.05606805</v>
      </c>
      <c r="EA3">
        <v>0.99435235</v>
      </c>
      <c r="EB3">
        <f>AVERAGE(DY3:EA3)</f>
        <v>1.00946908333333</v>
      </c>
      <c r="EC3">
        <v>0.27575185</v>
      </c>
      <c r="ED3">
        <v>0.96824078</v>
      </c>
      <c r="EE3">
        <v>0.96232554</v>
      </c>
      <c r="EF3">
        <v>0.97821219</v>
      </c>
      <c r="EG3">
        <f>AVERAGE(ED3:EF3)</f>
        <v>0.969592836666667</v>
      </c>
      <c r="EH3">
        <v>0.27713416</v>
      </c>
      <c r="EI3">
        <v>0.98372583</v>
      </c>
      <c r="EJ3">
        <v>1.00149178</v>
      </c>
      <c r="EK3">
        <v>1.01316654</v>
      </c>
      <c r="EL3">
        <f>AVERAGE(EI3:EK3)</f>
        <v>0.999461383333333</v>
      </c>
      <c r="EM3">
        <v>0.27769959</v>
      </c>
      <c r="EN3">
        <v>1.01387265</v>
      </c>
      <c r="EO3">
        <v>1.0028872</v>
      </c>
      <c r="EP3">
        <v>0.96435362</v>
      </c>
      <c r="EQ3">
        <f>AVERAGE(EN3:EP3)</f>
        <v>0.99370449</v>
      </c>
      <c r="ER3">
        <v>0.27926265</v>
      </c>
      <c r="ES3">
        <v>0.97871921</v>
      </c>
      <c r="ET3">
        <v>1.01843584</v>
      </c>
      <c r="EU3">
        <v>0.96519865</v>
      </c>
      <c r="EV3">
        <f>AVERAGE(ES3:EU3)</f>
        <v>0.987451233333333</v>
      </c>
      <c r="EW3">
        <v>0.28086404</v>
      </c>
      <c r="EX3">
        <v>0.95370618</v>
      </c>
      <c r="EY3">
        <v>1.0197879</v>
      </c>
      <c r="EZ3">
        <v>1.01235159</v>
      </c>
      <c r="FA3">
        <f>AVERAGE(EX3:EZ3)</f>
        <v>0.99528189</v>
      </c>
      <c r="FG3">
        <v>0.71296803</v>
      </c>
      <c r="FH3">
        <v>0.90511493</v>
      </c>
      <c r="FI3">
        <v>1.11708966</v>
      </c>
      <c r="FJ3">
        <v>1.04576206</v>
      </c>
      <c r="FK3">
        <f t="shared" ref="FK3:FK34" si="0">AVERAGE(FH3:FJ3)</f>
        <v>1.02265555</v>
      </c>
      <c r="FM3">
        <v>0.83309877</v>
      </c>
      <c r="FN3">
        <v>0.94360899</v>
      </c>
      <c r="FO3">
        <v>0.97382923</v>
      </c>
      <c r="FP3">
        <v>0.97806182</v>
      </c>
      <c r="FQ3">
        <f t="shared" ref="FQ3:FQ34" si="1">AVERAGE(FN3:FP3)</f>
        <v>0.96516668</v>
      </c>
      <c r="FS3">
        <v>0.83778795</v>
      </c>
      <c r="FT3">
        <v>0.98411546</v>
      </c>
      <c r="FU3">
        <v>1.00817015</v>
      </c>
      <c r="FV3">
        <v>0.9222448</v>
      </c>
      <c r="FW3">
        <f t="shared" ref="FW3:FW34" si="2">AVERAGE(FT3:FV3)</f>
        <v>0.971510136666667</v>
      </c>
      <c r="GM3">
        <v>0.84259211</v>
      </c>
      <c r="GN3">
        <v>0.86310963</v>
      </c>
      <c r="GO3">
        <v>0.99662166</v>
      </c>
      <c r="GP3">
        <v>0.94598038</v>
      </c>
      <c r="GQ3">
        <f t="shared" ref="GQ3:GQ34" si="3">AVERAGE(GN3:GP3)</f>
        <v>0.935237223333333</v>
      </c>
    </row>
    <row r="4" ht="27.6" spans="1:199">
      <c r="A4" s="17" t="s">
        <v>131</v>
      </c>
      <c r="B4" s="17" t="s">
        <v>69</v>
      </c>
      <c r="C4" s="17" t="s">
        <v>20</v>
      </c>
      <c r="D4" s="17" t="s">
        <v>42</v>
      </c>
      <c r="E4" s="17" t="s">
        <v>70</v>
      </c>
      <c r="F4" s="17" t="s">
        <v>43</v>
      </c>
      <c r="G4" s="17" t="s">
        <v>21</v>
      </c>
      <c r="H4" s="17" t="s">
        <v>14</v>
      </c>
      <c r="I4" s="17" t="s">
        <v>22</v>
      </c>
      <c r="J4" s="17" t="s">
        <v>7</v>
      </c>
      <c r="K4" s="17" t="s">
        <v>44</v>
      </c>
      <c r="L4" s="18" t="s">
        <v>71</v>
      </c>
      <c r="O4" t="s">
        <v>99</v>
      </c>
      <c r="P4" t="s">
        <v>102</v>
      </c>
      <c r="Q4" t="s">
        <v>102</v>
      </c>
      <c r="R4" t="s">
        <v>102</v>
      </c>
      <c r="S4" t="s">
        <v>102</v>
      </c>
      <c r="T4" t="s">
        <v>102</v>
      </c>
      <c r="U4" t="s">
        <v>102</v>
      </c>
      <c r="V4" t="s">
        <v>102</v>
      </c>
      <c r="W4" t="s">
        <v>102</v>
      </c>
      <c r="X4" t="s">
        <v>102</v>
      </c>
      <c r="Y4" t="s">
        <v>102</v>
      </c>
      <c r="Z4" t="s">
        <v>102</v>
      </c>
      <c r="AA4" t="s">
        <v>102</v>
      </c>
      <c r="AC4" t="s">
        <v>99</v>
      </c>
      <c r="AD4" t="s">
        <v>102</v>
      </c>
      <c r="AE4" t="s">
        <v>102</v>
      </c>
      <c r="AF4" t="s">
        <v>102</v>
      </c>
      <c r="AG4" t="s">
        <v>102</v>
      </c>
      <c r="AH4" t="s">
        <v>102</v>
      </c>
      <c r="AI4" t="s">
        <v>102</v>
      </c>
      <c r="AJ4" t="s">
        <v>102</v>
      </c>
      <c r="AK4" t="s">
        <v>102</v>
      </c>
      <c r="AL4" t="s">
        <v>102</v>
      </c>
      <c r="AM4" t="s">
        <v>102</v>
      </c>
      <c r="AN4" t="s">
        <v>102</v>
      </c>
      <c r="AO4" t="s">
        <v>102</v>
      </c>
      <c r="AR4">
        <v>320</v>
      </c>
      <c r="AS4">
        <v>0.004241</v>
      </c>
      <c r="AT4">
        <f t="shared" ref="AT4:AT8" si="4">AS4/6*10000</f>
        <v>7.06833333333333</v>
      </c>
      <c r="AU4">
        <v>0.9692</v>
      </c>
      <c r="AV4">
        <v>10</v>
      </c>
      <c r="AW4" s="5">
        <v>33.036496</v>
      </c>
      <c r="AX4" s="5">
        <f t="shared" ref="AX4:AX8" si="5">AW4^3*10^-30</f>
        <v>3.60563643444547e-26</v>
      </c>
      <c r="AY4" s="5">
        <f t="shared" ref="AY4:AY7" si="6">AV4/AX4</f>
        <v>2.77343547576447e+26</v>
      </c>
      <c r="AZ4" s="9">
        <v>2.567e-38</v>
      </c>
      <c r="BA4" s="5">
        <f t="shared" ref="BA4:BA8" si="7">1.3806E-23*298</f>
        <v>4.114188e-21</v>
      </c>
      <c r="BB4" s="10">
        <f t="shared" ref="BB4:BB7" si="8">AY4*AZ4*AT4/BA4*0.00000000000001</f>
        <v>0.000122314184483568</v>
      </c>
      <c r="BC4">
        <v>0.008236</v>
      </c>
      <c r="BD4">
        <f t="shared" ref="BD4:BD8" si="9">BC4/6*10000</f>
        <v>13.7266666666667</v>
      </c>
      <c r="BE4">
        <v>0.9773</v>
      </c>
      <c r="BF4">
        <f t="shared" ref="BF4:BF7" si="10">AT4/(AT4+BD4)</f>
        <v>0.33990542598381</v>
      </c>
      <c r="BG4" s="5"/>
      <c r="BJ4">
        <v>0.025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T4">
        <v>298</v>
      </c>
      <c r="BU4">
        <v>-4634.222157</v>
      </c>
      <c r="BV4">
        <v>1671.446261</v>
      </c>
      <c r="BW4">
        <v>-5677.701813</v>
      </c>
      <c r="BX4">
        <f>BU4-BV4-BW4</f>
        <v>-627.966605000001</v>
      </c>
      <c r="CC4">
        <v>0.025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0.03</v>
      </c>
      <c r="CM4">
        <v>0</v>
      </c>
      <c r="CN4">
        <v>0</v>
      </c>
      <c r="CO4">
        <v>0.03</v>
      </c>
      <c r="CP4">
        <v>0</v>
      </c>
      <c r="CQ4">
        <v>0</v>
      </c>
      <c r="CS4">
        <v>0.025</v>
      </c>
      <c r="CT4">
        <v>0</v>
      </c>
      <c r="CU4">
        <v>0</v>
      </c>
      <c r="CV4">
        <v>0</v>
      </c>
      <c r="CW4">
        <v>0</v>
      </c>
      <c r="CX4">
        <v>0.03</v>
      </c>
      <c r="CY4">
        <v>0</v>
      </c>
      <c r="CZ4">
        <v>0</v>
      </c>
      <c r="DA4">
        <v>0.025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N4">
        <v>320</v>
      </c>
      <c r="DO4">
        <v>1.21</v>
      </c>
      <c r="DP4">
        <v>0.06</v>
      </c>
      <c r="DQ4">
        <v>1.24</v>
      </c>
      <c r="DR4">
        <v>0.007</v>
      </c>
      <c r="DX4">
        <v>0.71296803</v>
      </c>
      <c r="DY4">
        <v>0.94900215</v>
      </c>
      <c r="DZ4">
        <v>1.08130642</v>
      </c>
      <c r="EA4">
        <v>1.0126896</v>
      </c>
      <c r="EB4">
        <f t="shared" ref="EB4:EB35" si="11">AVERAGE(DY4:EA4)</f>
        <v>1.01433272333333</v>
      </c>
      <c r="EC4">
        <v>0.82725555</v>
      </c>
      <c r="ED4">
        <v>0.93410138</v>
      </c>
      <c r="EE4">
        <v>1.01488669</v>
      </c>
      <c r="EF4">
        <v>0.97787417</v>
      </c>
      <c r="EG4">
        <f t="shared" ref="EG4:EG35" si="12">AVERAGE(ED4:EF4)</f>
        <v>0.975620746666667</v>
      </c>
      <c r="EH4">
        <v>0.83140247</v>
      </c>
      <c r="EI4">
        <v>0.94954753</v>
      </c>
      <c r="EJ4">
        <v>1.04396085</v>
      </c>
      <c r="EK4">
        <v>1.02196491</v>
      </c>
      <c r="EL4">
        <f t="shared" ref="EL4:EL35" si="13">AVERAGE(EI4:EK4)</f>
        <v>1.00515776333333</v>
      </c>
      <c r="EM4">
        <v>0.83309877</v>
      </c>
      <c r="EN4">
        <v>0.997986</v>
      </c>
      <c r="EO4">
        <v>0.98615551</v>
      </c>
      <c r="EP4">
        <v>1.00592933</v>
      </c>
      <c r="EQ4">
        <f t="shared" ref="EQ4:EQ35" si="14">AVERAGE(EN4:EP4)</f>
        <v>0.99669028</v>
      </c>
      <c r="ER4">
        <v>0.83778795</v>
      </c>
      <c r="ES4">
        <v>1.02063293</v>
      </c>
      <c r="ET4">
        <v>1.02654817</v>
      </c>
      <c r="EU4">
        <v>0.98024027</v>
      </c>
      <c r="EV4">
        <f t="shared" ref="EV4:EV35" si="15">AVERAGE(ES4:EU4)</f>
        <v>1.00914045666667</v>
      </c>
      <c r="EW4">
        <v>0.84259211</v>
      </c>
      <c r="EX4">
        <v>0.93781953</v>
      </c>
      <c r="EY4">
        <v>1.01606974</v>
      </c>
      <c r="EZ4">
        <v>1.00221117</v>
      </c>
      <c r="FA4">
        <f t="shared" ref="FA4:FA35" si="16">AVERAGE(EX4:EZ4)</f>
        <v>0.985366813333333</v>
      </c>
      <c r="FG4">
        <v>1.18828005</v>
      </c>
      <c r="FH4">
        <v>0.86202036</v>
      </c>
      <c r="FI4">
        <v>1.14610675</v>
      </c>
      <c r="FJ4">
        <v>1.15384981</v>
      </c>
      <c r="FK4">
        <f t="shared" si="0"/>
        <v>1.05399230666667</v>
      </c>
      <c r="FM4">
        <v>1.38849795</v>
      </c>
      <c r="FN4">
        <v>0.94986995</v>
      </c>
      <c r="FO4">
        <v>0.98061052</v>
      </c>
      <c r="FP4">
        <v>0.99448648</v>
      </c>
      <c r="FQ4">
        <f t="shared" si="1"/>
        <v>0.974988983333333</v>
      </c>
      <c r="FS4">
        <v>1.39631325</v>
      </c>
      <c r="FT4">
        <v>0.99623722</v>
      </c>
      <c r="FU4">
        <v>1.04526531</v>
      </c>
      <c r="FV4">
        <v>0.93965375</v>
      </c>
      <c r="FW4">
        <f t="shared" si="2"/>
        <v>0.99371876</v>
      </c>
      <c r="GM4">
        <v>1.40432018</v>
      </c>
      <c r="GN4">
        <v>0.89909193</v>
      </c>
      <c r="GO4">
        <v>0.97172312</v>
      </c>
      <c r="GP4">
        <v>0.96204018</v>
      </c>
      <c r="GQ4">
        <f t="shared" si="3"/>
        <v>0.944285076666667</v>
      </c>
    </row>
    <row r="5" spans="1:199">
      <c r="A5" s="17">
        <v>298</v>
      </c>
      <c r="B5" s="17">
        <v>32.417126</v>
      </c>
      <c r="C5" s="17">
        <v>1020</v>
      </c>
      <c r="D5" s="17">
        <v>2010</v>
      </c>
      <c r="E5" s="17">
        <v>10</v>
      </c>
      <c r="F5" s="17">
        <v>10</v>
      </c>
      <c r="G5" s="17">
        <v>545</v>
      </c>
      <c r="H5" s="17">
        <v>60</v>
      </c>
      <c r="I5" s="17">
        <v>20</v>
      </c>
      <c r="J5" s="17"/>
      <c r="K5" s="19">
        <v>24987.3</v>
      </c>
      <c r="L5" s="20">
        <v>1.218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R5">
        <v>340</v>
      </c>
      <c r="AS5">
        <v>0.008894</v>
      </c>
      <c r="AT5">
        <f t="shared" si="4"/>
        <v>14.8233333333333</v>
      </c>
      <c r="AU5">
        <v>0.9706</v>
      </c>
      <c r="AV5">
        <v>10</v>
      </c>
      <c r="AW5" s="5">
        <v>33.205347</v>
      </c>
      <c r="AX5" s="5">
        <f t="shared" si="5"/>
        <v>3.66120518795976e-26</v>
      </c>
      <c r="AY5" s="5">
        <f t="shared" si="6"/>
        <v>2.73134104389615e+26</v>
      </c>
      <c r="AZ5" s="9">
        <v>2.567e-38</v>
      </c>
      <c r="BA5" s="5">
        <f t="shared" si="7"/>
        <v>4.114188e-21</v>
      </c>
      <c r="BB5" s="10">
        <f t="shared" si="8"/>
        <v>0.000252617562997471</v>
      </c>
      <c r="BC5">
        <v>0.02077</v>
      </c>
      <c r="BD5">
        <f t="shared" si="9"/>
        <v>34.6166666666667</v>
      </c>
      <c r="BE5">
        <v>0.9932</v>
      </c>
      <c r="BF5">
        <f t="shared" si="10"/>
        <v>0.299824703344121</v>
      </c>
      <c r="BG5" s="5"/>
      <c r="BJ5">
        <v>0.075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T5">
        <v>320</v>
      </c>
      <c r="BU5">
        <v>-4432.212157</v>
      </c>
      <c r="BV5">
        <v>1881.469524</v>
      </c>
      <c r="BW5">
        <v>-5665.805985</v>
      </c>
      <c r="BX5">
        <f t="shared" ref="BX5:BX9" si="17">BU5-BV5-BW5</f>
        <v>-647.875696</v>
      </c>
      <c r="CC5">
        <v>0.075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0.09</v>
      </c>
      <c r="CM5">
        <v>0</v>
      </c>
      <c r="CN5">
        <v>0</v>
      </c>
      <c r="CO5">
        <v>0.09</v>
      </c>
      <c r="CP5">
        <v>0</v>
      </c>
      <c r="CQ5">
        <v>0</v>
      </c>
      <c r="CS5">
        <v>0.075</v>
      </c>
      <c r="CT5">
        <v>0</v>
      </c>
      <c r="CU5">
        <v>0</v>
      </c>
      <c r="CV5">
        <v>0</v>
      </c>
      <c r="CW5">
        <v>0</v>
      </c>
      <c r="CX5">
        <v>0.09</v>
      </c>
      <c r="CY5">
        <v>0</v>
      </c>
      <c r="CZ5">
        <v>0</v>
      </c>
      <c r="DA5">
        <v>0.075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N5">
        <v>340</v>
      </c>
      <c r="DO5">
        <v>1.203</v>
      </c>
      <c r="DP5">
        <v>0.007</v>
      </c>
      <c r="DQ5">
        <v>1.221</v>
      </c>
      <c r="DR5">
        <v>0.006</v>
      </c>
      <c r="DX5">
        <v>1.18828005</v>
      </c>
      <c r="DY5">
        <v>0.91942594</v>
      </c>
      <c r="DZ5">
        <v>1.09984085</v>
      </c>
      <c r="EA5">
        <v>1.05902567</v>
      </c>
      <c r="EB5">
        <f t="shared" si="11"/>
        <v>1.02609748666667</v>
      </c>
      <c r="EC5">
        <v>1.37875924</v>
      </c>
      <c r="ED5">
        <v>0.94981902</v>
      </c>
      <c r="EE5">
        <v>1.04835007</v>
      </c>
      <c r="EF5">
        <v>0.98987367</v>
      </c>
      <c r="EG5">
        <f t="shared" si="12"/>
        <v>0.996014253333333</v>
      </c>
      <c r="EH5">
        <v>1.38567079</v>
      </c>
      <c r="EI5">
        <v>0.93195079</v>
      </c>
      <c r="EJ5">
        <v>1.04057686</v>
      </c>
      <c r="EK5">
        <v>1.0258565</v>
      </c>
      <c r="EL5">
        <f t="shared" si="13"/>
        <v>0.999461383333333</v>
      </c>
      <c r="EM5">
        <v>1.38849795</v>
      </c>
      <c r="EN5">
        <v>0.99680295</v>
      </c>
      <c r="EO5">
        <v>1.00559131</v>
      </c>
      <c r="EP5">
        <v>0.98919764</v>
      </c>
      <c r="EQ5">
        <f t="shared" si="14"/>
        <v>0.9971973</v>
      </c>
      <c r="ER5">
        <v>1.39631325</v>
      </c>
      <c r="ES5">
        <v>1.00069011</v>
      </c>
      <c r="ET5">
        <v>1.06389871</v>
      </c>
      <c r="EU5">
        <v>0.97466304</v>
      </c>
      <c r="EV5">
        <f t="shared" si="15"/>
        <v>1.01308395333333</v>
      </c>
      <c r="EW5">
        <v>1.40432018</v>
      </c>
      <c r="EX5">
        <v>0.95522724</v>
      </c>
      <c r="EY5">
        <v>1.01775981</v>
      </c>
      <c r="EZ5">
        <v>1.02299903</v>
      </c>
      <c r="FA5">
        <f t="shared" si="16"/>
        <v>0.998662026666667</v>
      </c>
      <c r="FG5">
        <v>1.66359208</v>
      </c>
      <c r="FH5">
        <v>0.82151003</v>
      </c>
      <c r="FI5">
        <v>1.03434106</v>
      </c>
      <c r="FJ5">
        <v>1.06988553</v>
      </c>
      <c r="FK5">
        <f t="shared" si="0"/>
        <v>0.97524554</v>
      </c>
      <c r="FM5">
        <v>1.94389713</v>
      </c>
      <c r="FN5">
        <v>0.94506111</v>
      </c>
      <c r="FO5">
        <v>1.02006694</v>
      </c>
      <c r="FP5">
        <v>1.0504395</v>
      </c>
      <c r="FQ5">
        <f t="shared" si="1"/>
        <v>1.00518918333333</v>
      </c>
      <c r="FS5">
        <v>1.95483855</v>
      </c>
      <c r="FT5">
        <v>0.99712309</v>
      </c>
      <c r="FU5">
        <v>1.04011308</v>
      </c>
      <c r="FV5">
        <v>0.98581637</v>
      </c>
      <c r="FW5">
        <f t="shared" si="2"/>
        <v>1.00768418</v>
      </c>
      <c r="GM5">
        <v>1.96604826</v>
      </c>
      <c r="GN5">
        <v>0.92079727</v>
      </c>
      <c r="GO5">
        <v>0.9931749</v>
      </c>
      <c r="GP5">
        <v>0.98962663</v>
      </c>
      <c r="GQ5">
        <f t="shared" si="3"/>
        <v>0.967866266666667</v>
      </c>
    </row>
    <row r="6" spans="1:199">
      <c r="A6" s="17">
        <v>320</v>
      </c>
      <c r="B6" s="17">
        <v>32.485035</v>
      </c>
      <c r="C6" s="17">
        <v>1020</v>
      </c>
      <c r="D6" s="17">
        <v>2010</v>
      </c>
      <c r="E6" s="17">
        <v>10</v>
      </c>
      <c r="F6" s="17">
        <v>10</v>
      </c>
      <c r="G6" s="17">
        <v>545</v>
      </c>
      <c r="H6" s="17">
        <v>60</v>
      </c>
      <c r="I6" s="17">
        <v>20</v>
      </c>
      <c r="J6" s="17"/>
      <c r="K6" s="19">
        <v>24987.3</v>
      </c>
      <c r="L6" s="20">
        <v>1.21</v>
      </c>
      <c r="O6">
        <v>5</v>
      </c>
      <c r="P6">
        <v>0.45417632</v>
      </c>
      <c r="Q6">
        <v>0.75473519</v>
      </c>
      <c r="R6">
        <v>0.51435307</v>
      </c>
      <c r="S6">
        <v>0.78287992</v>
      </c>
      <c r="T6">
        <v>0.59364207</v>
      </c>
      <c r="U6">
        <v>0.97474509</v>
      </c>
      <c r="V6">
        <v>0.80928371</v>
      </c>
      <c r="W6">
        <v>1.28808024</v>
      </c>
      <c r="X6">
        <v>0.92674093</v>
      </c>
      <c r="Y6">
        <v>1.57820222</v>
      </c>
      <c r="Z6">
        <v>1.32508396</v>
      </c>
      <c r="AA6">
        <v>2.25064539</v>
      </c>
      <c r="AC6">
        <v>5</v>
      </c>
      <c r="AD6">
        <v>0.45411484</v>
      </c>
      <c r="AE6">
        <v>0.75763596</v>
      </c>
      <c r="AF6">
        <v>0.54062501</v>
      </c>
      <c r="AG6">
        <v>0.84624812</v>
      </c>
      <c r="AH6">
        <v>0.62884742</v>
      </c>
      <c r="AI6">
        <v>1.06027618</v>
      </c>
      <c r="AJ6">
        <v>0.67648721</v>
      </c>
      <c r="AK6">
        <v>1.20312323</v>
      </c>
      <c r="AL6">
        <v>0.86679103</v>
      </c>
      <c r="AM6">
        <v>1.62162434</v>
      </c>
      <c r="AN6">
        <v>1.26371474</v>
      </c>
      <c r="AO6">
        <v>2.1944399</v>
      </c>
      <c r="AR6">
        <v>360</v>
      </c>
      <c r="AS6">
        <v>0.007644</v>
      </c>
      <c r="AT6">
        <f t="shared" si="4"/>
        <v>12.74</v>
      </c>
      <c r="AU6">
        <v>0.9767</v>
      </c>
      <c r="AV6">
        <v>10</v>
      </c>
      <c r="AW6" s="5">
        <v>33.304079</v>
      </c>
      <c r="AX6" s="5">
        <f t="shared" si="5"/>
        <v>3.69396081491582e-26</v>
      </c>
      <c r="AY6" s="5">
        <f t="shared" si="6"/>
        <v>2.70712129907309e+26</v>
      </c>
      <c r="AZ6" s="9">
        <v>2.567e-38</v>
      </c>
      <c r="BA6" s="5">
        <f t="shared" si="7"/>
        <v>4.114188e-21</v>
      </c>
      <c r="BB6" s="10">
        <f t="shared" si="8"/>
        <v>0.000215188411355876</v>
      </c>
      <c r="BC6">
        <v>0.02264</v>
      </c>
      <c r="BD6">
        <f t="shared" si="9"/>
        <v>37.7333333333333</v>
      </c>
      <c r="BE6">
        <v>0.9972</v>
      </c>
      <c r="BF6">
        <f t="shared" si="10"/>
        <v>0.252410513802668</v>
      </c>
      <c r="BG6" s="5"/>
      <c r="BJ6">
        <v>0.125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T6">
        <v>340</v>
      </c>
      <c r="BU6">
        <v>-4131.076391</v>
      </c>
      <c r="BV6">
        <v>2172.130012</v>
      </c>
      <c r="BW6">
        <v>-5673.201325</v>
      </c>
      <c r="BX6">
        <f t="shared" si="17"/>
        <v>-630.005078</v>
      </c>
      <c r="CC6">
        <v>0.125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0.15</v>
      </c>
      <c r="CM6">
        <v>0</v>
      </c>
      <c r="CN6">
        <v>0</v>
      </c>
      <c r="CO6">
        <v>0.15</v>
      </c>
      <c r="CP6">
        <v>0</v>
      </c>
      <c r="CQ6">
        <v>0</v>
      </c>
      <c r="CS6">
        <v>0.125</v>
      </c>
      <c r="CT6">
        <v>0</v>
      </c>
      <c r="CU6">
        <v>0</v>
      </c>
      <c r="CV6">
        <v>0</v>
      </c>
      <c r="CW6">
        <v>0</v>
      </c>
      <c r="CX6">
        <v>0.15</v>
      </c>
      <c r="CY6">
        <v>0</v>
      </c>
      <c r="CZ6">
        <v>0</v>
      </c>
      <c r="DA6">
        <v>0.125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N6">
        <v>360</v>
      </c>
      <c r="DO6">
        <v>1.179</v>
      </c>
      <c r="DP6">
        <v>0.008</v>
      </c>
      <c r="DQ6">
        <v>1.21</v>
      </c>
      <c r="DR6">
        <v>0.007</v>
      </c>
      <c r="DX6">
        <v>1.66359208</v>
      </c>
      <c r="DY6">
        <v>0.89951129</v>
      </c>
      <c r="DZ6">
        <v>1.07046181</v>
      </c>
      <c r="EA6">
        <v>1.06415222</v>
      </c>
      <c r="EB6">
        <f t="shared" si="11"/>
        <v>1.01137510666667</v>
      </c>
      <c r="EC6">
        <v>1.93026294</v>
      </c>
      <c r="ED6">
        <v>0.96671972</v>
      </c>
      <c r="EE6">
        <v>1.06795488</v>
      </c>
      <c r="EF6">
        <v>1.03330845</v>
      </c>
      <c r="EG6">
        <f t="shared" si="12"/>
        <v>1.02266101666667</v>
      </c>
      <c r="EH6">
        <v>1.93993911</v>
      </c>
      <c r="EI6">
        <v>0.93245838</v>
      </c>
      <c r="EJ6">
        <v>1.07086357</v>
      </c>
      <c r="EK6">
        <v>1.05445122</v>
      </c>
      <c r="EL6">
        <f t="shared" si="13"/>
        <v>1.01925772333333</v>
      </c>
      <c r="EM6">
        <v>1.94389713</v>
      </c>
      <c r="EN6">
        <v>0.96959283</v>
      </c>
      <c r="EO6">
        <v>1.06761686</v>
      </c>
      <c r="EP6">
        <v>1.03026633</v>
      </c>
      <c r="EQ6">
        <f t="shared" si="14"/>
        <v>1.02249200666667</v>
      </c>
      <c r="ER6">
        <v>1.95483855</v>
      </c>
      <c r="ES6">
        <v>1.02283002</v>
      </c>
      <c r="ET6">
        <v>1.02604115</v>
      </c>
      <c r="EU6">
        <v>1.00254919</v>
      </c>
      <c r="EV6">
        <f t="shared" si="15"/>
        <v>1.01714012</v>
      </c>
      <c r="EW6">
        <v>1.96604826</v>
      </c>
      <c r="EX6">
        <v>0.96350858</v>
      </c>
      <c r="EY6">
        <v>1.0150557</v>
      </c>
      <c r="EZ6">
        <v>1.05037815</v>
      </c>
      <c r="FA6">
        <f t="shared" si="16"/>
        <v>1.00964747666667</v>
      </c>
      <c r="FG6">
        <v>2.1389041</v>
      </c>
      <c r="FH6">
        <v>0.83997022</v>
      </c>
      <c r="FI6">
        <v>0.94649889</v>
      </c>
      <c r="FJ6">
        <v>1.0455979</v>
      </c>
      <c r="FK6">
        <f t="shared" si="0"/>
        <v>0.944022336666667</v>
      </c>
      <c r="FM6">
        <v>2.49929631</v>
      </c>
      <c r="FN6">
        <v>0.9598084</v>
      </c>
      <c r="FO6">
        <v>1.00878865</v>
      </c>
      <c r="FP6">
        <v>1.04086962</v>
      </c>
      <c r="FQ6">
        <f t="shared" si="1"/>
        <v>1.00315555666667</v>
      </c>
      <c r="FS6">
        <v>2.51336385</v>
      </c>
      <c r="FT6">
        <v>0.95392838</v>
      </c>
      <c r="FU6">
        <v>0.97797042</v>
      </c>
      <c r="FV6">
        <v>1.01323442</v>
      </c>
      <c r="FW6">
        <f t="shared" si="2"/>
        <v>0.981711073333333</v>
      </c>
      <c r="GM6">
        <v>2.52777633</v>
      </c>
      <c r="GN6">
        <v>0.97730663</v>
      </c>
      <c r="GO6">
        <v>0.98278447</v>
      </c>
      <c r="GP6">
        <v>1.00073608</v>
      </c>
      <c r="GQ6">
        <f t="shared" si="3"/>
        <v>0.986942393333333</v>
      </c>
    </row>
    <row r="7" spans="1:199">
      <c r="A7" s="17">
        <v>340</v>
      </c>
      <c r="B7" s="17">
        <v>32.549387</v>
      </c>
      <c r="C7" s="17">
        <v>1020</v>
      </c>
      <c r="D7" s="17">
        <v>2010</v>
      </c>
      <c r="E7" s="17">
        <v>10</v>
      </c>
      <c r="F7" s="17">
        <v>10</v>
      </c>
      <c r="G7" s="17">
        <v>545</v>
      </c>
      <c r="H7" s="17">
        <v>60</v>
      </c>
      <c r="I7" s="17">
        <v>20</v>
      </c>
      <c r="J7" s="17"/>
      <c r="K7" s="19">
        <v>24987.3</v>
      </c>
      <c r="L7" s="20">
        <v>1.203</v>
      </c>
      <c r="O7">
        <v>10</v>
      </c>
      <c r="P7">
        <v>0.5545327</v>
      </c>
      <c r="Q7">
        <v>0.90244363</v>
      </c>
      <c r="R7">
        <v>0.54580315</v>
      </c>
      <c r="S7">
        <v>0.90254674</v>
      </c>
      <c r="T7">
        <v>0.7175117</v>
      </c>
      <c r="U7">
        <v>1.1501167</v>
      </c>
      <c r="V7">
        <v>0.97815931</v>
      </c>
      <c r="W7">
        <v>1.58214809</v>
      </c>
      <c r="X7">
        <v>1.19469942</v>
      </c>
      <c r="Y7">
        <v>2.08237108</v>
      </c>
      <c r="Z7">
        <v>1.73662815</v>
      </c>
      <c r="AA7">
        <v>3.03488482</v>
      </c>
      <c r="AC7">
        <v>10</v>
      </c>
      <c r="AD7">
        <v>0.50698655</v>
      </c>
      <c r="AE7">
        <v>0.86149588</v>
      </c>
      <c r="AF7">
        <v>0.61375264</v>
      </c>
      <c r="AG7">
        <v>0.988829</v>
      </c>
      <c r="AH7">
        <v>0.76612861</v>
      </c>
      <c r="AI7">
        <v>1.31299519</v>
      </c>
      <c r="AJ7">
        <v>0.81639454</v>
      </c>
      <c r="AK7">
        <v>1.47941758</v>
      </c>
      <c r="AL7">
        <v>1.13236102</v>
      </c>
      <c r="AM7">
        <v>2.07065351</v>
      </c>
      <c r="AN7">
        <v>1.7045907</v>
      </c>
      <c r="AO7">
        <v>2.92795299</v>
      </c>
      <c r="AR7">
        <v>380</v>
      </c>
      <c r="AS7">
        <v>0.03291</v>
      </c>
      <c r="AT7">
        <f t="shared" si="4"/>
        <v>54.85</v>
      </c>
      <c r="AU7">
        <v>0.9966</v>
      </c>
      <c r="AV7">
        <v>10</v>
      </c>
      <c r="AW7" s="5">
        <v>33.510777</v>
      </c>
      <c r="AX7" s="5">
        <f t="shared" si="5"/>
        <v>3.76316701384464e-26</v>
      </c>
      <c r="AY7" s="5">
        <f t="shared" si="6"/>
        <v>2.65733621792765e+26</v>
      </c>
      <c r="AZ7" s="9">
        <v>2.567e-38</v>
      </c>
      <c r="BA7" s="5">
        <f t="shared" si="7"/>
        <v>4.114188e-21</v>
      </c>
      <c r="BB7" s="10">
        <f t="shared" si="8"/>
        <v>0.00090942078149419</v>
      </c>
      <c r="BC7">
        <v>0.02872</v>
      </c>
      <c r="BD7">
        <f t="shared" si="9"/>
        <v>47.8666666666667</v>
      </c>
      <c r="BE7">
        <v>0.9959</v>
      </c>
      <c r="BF7">
        <f t="shared" si="10"/>
        <v>0.533993185137109</v>
      </c>
      <c r="BG7" s="5"/>
      <c r="BJ7">
        <v>0.175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T7">
        <v>360</v>
      </c>
      <c r="BU7">
        <v>-3790.133222</v>
      </c>
      <c r="BV7">
        <v>2510.3879</v>
      </c>
      <c r="BW7">
        <v>-5660.113469</v>
      </c>
      <c r="BX7">
        <f t="shared" si="17"/>
        <v>-640.407653</v>
      </c>
      <c r="CC7">
        <v>0.175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0.21</v>
      </c>
      <c r="CM7">
        <v>0</v>
      </c>
      <c r="CN7">
        <v>0</v>
      </c>
      <c r="CO7">
        <v>0.21</v>
      </c>
      <c r="CP7">
        <v>0</v>
      </c>
      <c r="CQ7">
        <v>0</v>
      </c>
      <c r="CS7">
        <v>0.175</v>
      </c>
      <c r="CT7">
        <v>0</v>
      </c>
      <c r="CU7">
        <v>0</v>
      </c>
      <c r="CV7">
        <v>0</v>
      </c>
      <c r="CW7">
        <v>0</v>
      </c>
      <c r="CX7">
        <v>0.21</v>
      </c>
      <c r="CY7">
        <v>0</v>
      </c>
      <c r="CZ7">
        <v>0</v>
      </c>
      <c r="DA7">
        <v>0.175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N7">
        <v>380</v>
      </c>
      <c r="DO7">
        <v>1.158</v>
      </c>
      <c r="DP7">
        <v>0.01</v>
      </c>
      <c r="DQ7">
        <v>1.188</v>
      </c>
      <c r="DR7">
        <v>0.008</v>
      </c>
      <c r="DX7">
        <v>2.1389041</v>
      </c>
      <c r="DY7">
        <v>0.91390505</v>
      </c>
      <c r="DZ7">
        <v>1.07460248</v>
      </c>
      <c r="EA7">
        <v>1.06415222</v>
      </c>
      <c r="EB7">
        <f t="shared" si="11"/>
        <v>1.01755325</v>
      </c>
      <c r="EC7">
        <v>2.48176664</v>
      </c>
      <c r="ED7">
        <v>0.93731251</v>
      </c>
      <c r="EE7">
        <v>1.04953312</v>
      </c>
      <c r="EF7">
        <v>1.05240624</v>
      </c>
      <c r="EG7">
        <f t="shared" si="12"/>
        <v>1.01308395666667</v>
      </c>
      <c r="EH7">
        <v>2.49420742</v>
      </c>
      <c r="EI7">
        <v>0.89878769</v>
      </c>
      <c r="EJ7">
        <v>1.04565284</v>
      </c>
      <c r="EK7">
        <v>1.04869843</v>
      </c>
      <c r="EL7">
        <f t="shared" si="13"/>
        <v>0.997712986666667</v>
      </c>
      <c r="EM7">
        <v>2.49929631</v>
      </c>
      <c r="EN7">
        <v>0.97331099</v>
      </c>
      <c r="EO7">
        <v>1.05173021</v>
      </c>
      <c r="EP7">
        <v>1.04615298</v>
      </c>
      <c r="EQ7">
        <f t="shared" si="14"/>
        <v>1.02373139333333</v>
      </c>
      <c r="ER7">
        <v>2.51336385</v>
      </c>
      <c r="ES7">
        <v>0.97702914</v>
      </c>
      <c r="ET7">
        <v>1.02063293</v>
      </c>
      <c r="EU7">
        <v>1.01336563</v>
      </c>
      <c r="EV7">
        <f t="shared" si="15"/>
        <v>1.0036759</v>
      </c>
      <c r="EW7">
        <v>2.52777633</v>
      </c>
      <c r="EX7">
        <v>0.97094489</v>
      </c>
      <c r="EY7">
        <v>1.0344915</v>
      </c>
      <c r="EZ7">
        <v>1.0491951</v>
      </c>
      <c r="FA7">
        <f t="shared" si="16"/>
        <v>1.01821049666667</v>
      </c>
      <c r="FG7">
        <v>2.61421612</v>
      </c>
      <c r="FH7">
        <v>0.91614196</v>
      </c>
      <c r="FI7">
        <v>0.93691754</v>
      </c>
      <c r="FJ7">
        <v>1.07801799</v>
      </c>
      <c r="FK7">
        <f t="shared" si="0"/>
        <v>0.97702583</v>
      </c>
      <c r="FM7">
        <v>3.05469549</v>
      </c>
      <c r="FN7">
        <v>0.99129112</v>
      </c>
      <c r="FO7">
        <v>1.06127938</v>
      </c>
      <c r="FP7">
        <v>1.06022876</v>
      </c>
      <c r="FQ7">
        <f t="shared" si="1"/>
        <v>1.03759975333333</v>
      </c>
      <c r="FS7">
        <v>3.07188915</v>
      </c>
      <c r="FT7">
        <v>0.95468276</v>
      </c>
      <c r="FU7">
        <v>0.95147866</v>
      </c>
      <c r="FV7">
        <v>1.05949073</v>
      </c>
      <c r="FW7">
        <f t="shared" si="2"/>
        <v>0.988550716666667</v>
      </c>
      <c r="GM7">
        <v>3.08950441</v>
      </c>
      <c r="GN7">
        <v>0.97430181</v>
      </c>
      <c r="GO7">
        <v>0.99026109</v>
      </c>
      <c r="GP7">
        <v>1.02373458</v>
      </c>
      <c r="GQ7">
        <f t="shared" si="3"/>
        <v>0.99609916</v>
      </c>
    </row>
    <row r="8" spans="1:199">
      <c r="A8" s="17">
        <v>360</v>
      </c>
      <c r="B8" s="17">
        <v>32.767159</v>
      </c>
      <c r="C8" s="17">
        <v>1020</v>
      </c>
      <c r="D8" s="17">
        <v>2010</v>
      </c>
      <c r="E8" s="17">
        <v>10</v>
      </c>
      <c r="F8" s="17">
        <v>10</v>
      </c>
      <c r="G8" s="17">
        <v>545</v>
      </c>
      <c r="H8" s="17">
        <v>60</v>
      </c>
      <c r="I8" s="17">
        <v>20</v>
      </c>
      <c r="J8" s="17"/>
      <c r="K8" s="19">
        <v>24987.3</v>
      </c>
      <c r="L8" s="20">
        <v>1.179</v>
      </c>
      <c r="O8">
        <v>15</v>
      </c>
      <c r="P8">
        <v>0.59017899</v>
      </c>
      <c r="Q8">
        <v>0.99550963</v>
      </c>
      <c r="R8">
        <v>0.61360099</v>
      </c>
      <c r="S8">
        <v>0.97715384</v>
      </c>
      <c r="T8">
        <v>0.78668477</v>
      </c>
      <c r="U8">
        <v>1.30702696</v>
      </c>
      <c r="V8">
        <v>1.1591978</v>
      </c>
      <c r="W8">
        <v>1.84962764</v>
      </c>
      <c r="X8">
        <v>1.43838504</v>
      </c>
      <c r="Y8">
        <v>2.51528248</v>
      </c>
      <c r="Z8">
        <v>2.17134865</v>
      </c>
      <c r="AA8">
        <v>3.70865274</v>
      </c>
      <c r="AC8">
        <v>15</v>
      </c>
      <c r="AD8">
        <v>0.59090245</v>
      </c>
      <c r="AE8">
        <v>0.96212472</v>
      </c>
      <c r="AF8">
        <v>0.69373921</v>
      </c>
      <c r="AG8">
        <v>1.08825626</v>
      </c>
      <c r="AH8">
        <v>0.86437067</v>
      </c>
      <c r="AI8">
        <v>1.54637775</v>
      </c>
      <c r="AJ8">
        <v>0.90636952</v>
      </c>
      <c r="AK8">
        <v>1.67002092</v>
      </c>
      <c r="AL8">
        <v>1.32780403</v>
      </c>
      <c r="AM8">
        <v>2.4950246</v>
      </c>
      <c r="AN8">
        <v>1.98171236</v>
      </c>
      <c r="AO8">
        <v>3.60308672</v>
      </c>
      <c r="AR8">
        <v>410</v>
      </c>
      <c r="AS8">
        <v>0.0425</v>
      </c>
      <c r="AT8">
        <f t="shared" si="4"/>
        <v>70.8333333333333</v>
      </c>
      <c r="AU8">
        <v>0.9986</v>
      </c>
      <c r="AV8">
        <v>10</v>
      </c>
      <c r="AW8" s="5">
        <v>33.774801</v>
      </c>
      <c r="AX8" s="5">
        <f t="shared" si="5"/>
        <v>3.85281713352644e-26</v>
      </c>
      <c r="AY8" s="5">
        <f t="shared" ref="AY8" si="18">AV8/AX8</f>
        <v>2.59550340787836e+26</v>
      </c>
      <c r="AZ8" s="9">
        <v>2.567e-38</v>
      </c>
      <c r="BA8" s="5">
        <f t="shared" si="7"/>
        <v>4.114188e-21</v>
      </c>
      <c r="BB8" s="10">
        <f t="shared" ref="BB8" si="19">AY8*AZ8*AT8/BA8*0.00000000000001</f>
        <v>0.00114709931032567</v>
      </c>
      <c r="BC8">
        <v>0.0495</v>
      </c>
      <c r="BD8">
        <f t="shared" si="9"/>
        <v>82.5</v>
      </c>
      <c r="BE8">
        <v>0.9968</v>
      </c>
      <c r="BF8">
        <f t="shared" ref="BF8" si="20">AT8/(AT8+BD8)</f>
        <v>0.46195652173913</v>
      </c>
      <c r="BG8" s="5"/>
      <c r="BJ8">
        <v>0.225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T8">
        <v>380</v>
      </c>
      <c r="BU8">
        <v>-3567.014272</v>
      </c>
      <c r="BV8">
        <v>2699.054441</v>
      </c>
      <c r="BW8">
        <v>-5647.573428</v>
      </c>
      <c r="BX8">
        <f t="shared" si="17"/>
        <v>-618.495285000001</v>
      </c>
      <c r="CC8">
        <v>0.225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0.27</v>
      </c>
      <c r="CM8">
        <v>0</v>
      </c>
      <c r="CN8">
        <v>0</v>
      </c>
      <c r="CO8">
        <v>0.27</v>
      </c>
      <c r="CP8">
        <v>0</v>
      </c>
      <c r="CQ8">
        <v>0</v>
      </c>
      <c r="CS8">
        <v>0.225</v>
      </c>
      <c r="CT8">
        <v>0</v>
      </c>
      <c r="CU8">
        <v>0</v>
      </c>
      <c r="CV8">
        <v>0</v>
      </c>
      <c r="CW8">
        <v>0</v>
      </c>
      <c r="CX8">
        <v>0.27</v>
      </c>
      <c r="CY8">
        <v>0</v>
      </c>
      <c r="CZ8">
        <v>0</v>
      </c>
      <c r="DA8">
        <v>0.225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N8">
        <v>410</v>
      </c>
      <c r="DO8">
        <v>1.135</v>
      </c>
      <c r="DP8">
        <v>0.01</v>
      </c>
      <c r="DQ8">
        <v>1.16</v>
      </c>
      <c r="DR8">
        <v>0.01</v>
      </c>
      <c r="DX8">
        <v>2.61421612</v>
      </c>
      <c r="DY8">
        <v>0.93401687</v>
      </c>
      <c r="DZ8">
        <v>1.04581497</v>
      </c>
      <c r="EA8">
        <v>1.05626523</v>
      </c>
      <c r="EB8">
        <f t="shared" si="11"/>
        <v>1.01203235666667</v>
      </c>
      <c r="EC8">
        <v>3.03327033</v>
      </c>
      <c r="ED8">
        <v>0.93832655</v>
      </c>
      <c r="EE8">
        <v>1.00153515</v>
      </c>
      <c r="EF8">
        <v>1.04446291</v>
      </c>
      <c r="EG8">
        <f t="shared" si="12"/>
        <v>0.99477487</v>
      </c>
      <c r="EH8">
        <v>3.04847574</v>
      </c>
      <c r="EI8">
        <v>0.89997208</v>
      </c>
      <c r="EJ8">
        <v>0.97678865</v>
      </c>
      <c r="EK8">
        <v>1.00825976</v>
      </c>
      <c r="EL8">
        <f t="shared" si="13"/>
        <v>0.961673496666667</v>
      </c>
      <c r="EM8">
        <v>3.05469549</v>
      </c>
      <c r="EN8">
        <v>0.94998803</v>
      </c>
      <c r="EO8">
        <v>1.04835007</v>
      </c>
      <c r="EP8">
        <v>1.06322268</v>
      </c>
      <c r="EQ8">
        <f t="shared" si="14"/>
        <v>1.02052026</v>
      </c>
      <c r="ER8">
        <v>3.07188915</v>
      </c>
      <c r="ES8">
        <v>0.94593186</v>
      </c>
      <c r="ET8">
        <v>0.9832824</v>
      </c>
      <c r="EU8">
        <v>1.0441249</v>
      </c>
      <c r="EV8">
        <f t="shared" si="15"/>
        <v>0.991113053333333</v>
      </c>
      <c r="EW8">
        <v>3.08950441</v>
      </c>
      <c r="EX8">
        <v>0.9834514</v>
      </c>
      <c r="EY8">
        <v>1.03533654</v>
      </c>
      <c r="EZ8">
        <v>1.04311085</v>
      </c>
      <c r="FA8">
        <f t="shared" si="16"/>
        <v>1.02063293</v>
      </c>
      <c r="FG8">
        <v>3.08952814</v>
      </c>
      <c r="FH8">
        <v>0.96772642</v>
      </c>
      <c r="FI8">
        <v>0.96843424</v>
      </c>
      <c r="FJ8">
        <v>1.0303057</v>
      </c>
      <c r="FK8">
        <f t="shared" si="0"/>
        <v>0.98882212</v>
      </c>
      <c r="FM8">
        <v>3.61009466</v>
      </c>
      <c r="FN8">
        <v>0.95267224</v>
      </c>
      <c r="FO8">
        <v>1.06791328</v>
      </c>
      <c r="FP8">
        <v>1.02193994</v>
      </c>
      <c r="FQ8">
        <f t="shared" si="1"/>
        <v>1.01417515333333</v>
      </c>
      <c r="FS8">
        <v>3.63041445</v>
      </c>
      <c r="FT8">
        <v>0.96857775</v>
      </c>
      <c r="FU8">
        <v>0.93838711</v>
      </c>
      <c r="FV8">
        <v>1.03851383</v>
      </c>
      <c r="FW8">
        <f t="shared" si="2"/>
        <v>0.98182623</v>
      </c>
      <c r="GM8">
        <v>3.65123248</v>
      </c>
      <c r="GN8">
        <v>0.96784807</v>
      </c>
      <c r="GO8">
        <v>0.97181661</v>
      </c>
      <c r="GP8">
        <v>1.03065821</v>
      </c>
      <c r="GQ8">
        <f t="shared" si="3"/>
        <v>0.99010763</v>
      </c>
    </row>
    <row r="9" spans="1:199">
      <c r="A9" s="17">
        <v>380</v>
      </c>
      <c r="B9" s="17">
        <v>32.97151</v>
      </c>
      <c r="C9" s="17">
        <v>1020</v>
      </c>
      <c r="D9" s="17">
        <v>2010</v>
      </c>
      <c r="E9" s="17">
        <v>10</v>
      </c>
      <c r="F9" s="17">
        <v>10</v>
      </c>
      <c r="G9" s="17">
        <v>545</v>
      </c>
      <c r="H9" s="17">
        <v>60</v>
      </c>
      <c r="I9" s="17">
        <v>20</v>
      </c>
      <c r="J9" s="17"/>
      <c r="K9" s="19">
        <v>24987.3</v>
      </c>
      <c r="L9" s="20">
        <v>1.158</v>
      </c>
      <c r="O9">
        <v>20</v>
      </c>
      <c r="P9">
        <v>0.67288102</v>
      </c>
      <c r="Q9">
        <v>1.08663979</v>
      </c>
      <c r="R9">
        <v>0.63641211</v>
      </c>
      <c r="S9">
        <v>1.08355033</v>
      </c>
      <c r="T9">
        <v>0.8389536</v>
      </c>
      <c r="U9">
        <v>1.41764254</v>
      </c>
      <c r="V9">
        <v>1.32198018</v>
      </c>
      <c r="W9">
        <v>2.04785302</v>
      </c>
      <c r="X9">
        <v>1.67898909</v>
      </c>
      <c r="Y9">
        <v>2.91696226</v>
      </c>
      <c r="Z9">
        <v>2.44975353</v>
      </c>
      <c r="AA9">
        <v>4.27050696</v>
      </c>
      <c r="AC9">
        <v>20</v>
      </c>
      <c r="AD9">
        <v>0.60819658</v>
      </c>
      <c r="AE9">
        <v>1.04520605</v>
      </c>
      <c r="AF9">
        <v>0.72062299</v>
      </c>
      <c r="AG9">
        <v>1.17811565</v>
      </c>
      <c r="AH9">
        <v>0.95339432</v>
      </c>
      <c r="AI9">
        <v>1.73027614</v>
      </c>
      <c r="AJ9">
        <v>1.00351382</v>
      </c>
      <c r="AK9">
        <v>1.86924625</v>
      </c>
      <c r="AL9">
        <v>1.51406956</v>
      </c>
      <c r="AM9">
        <v>2.91061091</v>
      </c>
      <c r="AN9">
        <v>2.2543537</v>
      </c>
      <c r="AO9">
        <v>4.16771684</v>
      </c>
      <c r="BJ9">
        <v>0.275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T9">
        <v>410</v>
      </c>
      <c r="BU9">
        <v>-2932.009392</v>
      </c>
      <c r="BV9">
        <v>3292.962474</v>
      </c>
      <c r="BW9">
        <v>-5639.386906</v>
      </c>
      <c r="BX9">
        <f t="shared" si="17"/>
        <v>-585.58496</v>
      </c>
      <c r="CC9">
        <v>0.275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0.33</v>
      </c>
      <c r="CM9">
        <v>0</v>
      </c>
      <c r="CN9">
        <v>0</v>
      </c>
      <c r="CO9">
        <v>0.33</v>
      </c>
      <c r="CP9">
        <v>0</v>
      </c>
      <c r="CQ9">
        <v>0</v>
      </c>
      <c r="CS9">
        <v>0.275</v>
      </c>
      <c r="CT9">
        <v>0</v>
      </c>
      <c r="CU9">
        <v>0</v>
      </c>
      <c r="CV9">
        <v>0</v>
      </c>
      <c r="CW9">
        <v>0</v>
      </c>
      <c r="CX9">
        <v>0.33</v>
      </c>
      <c r="CY9">
        <v>0</v>
      </c>
      <c r="CZ9">
        <v>0</v>
      </c>
      <c r="DA9">
        <v>0.275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X9">
        <v>3.08952814</v>
      </c>
      <c r="DY9">
        <v>0.91449657</v>
      </c>
      <c r="DZ9">
        <v>0.98055012</v>
      </c>
      <c r="EA9">
        <v>1.03575905</v>
      </c>
      <c r="EB9">
        <f t="shared" si="11"/>
        <v>0.976935246666667</v>
      </c>
      <c r="EC9">
        <v>3.58477403</v>
      </c>
      <c r="ED9">
        <v>0.91956678</v>
      </c>
      <c r="EE9">
        <v>0.98463445</v>
      </c>
      <c r="EF9">
        <v>1.0150557</v>
      </c>
      <c r="EG9">
        <f t="shared" si="12"/>
        <v>0.973085643333333</v>
      </c>
      <c r="EH9">
        <v>3.60274405</v>
      </c>
      <c r="EI9">
        <v>0.95563871</v>
      </c>
      <c r="EJ9">
        <v>0.99895378</v>
      </c>
      <c r="EK9">
        <v>0.99506219</v>
      </c>
      <c r="EL9">
        <f t="shared" si="13"/>
        <v>0.983218226666667</v>
      </c>
      <c r="EM9">
        <v>3.61009466</v>
      </c>
      <c r="EN9">
        <v>0.93258031</v>
      </c>
      <c r="EO9">
        <v>1.02418208</v>
      </c>
      <c r="EP9">
        <v>1.05680042</v>
      </c>
      <c r="EQ9">
        <f t="shared" si="14"/>
        <v>1.00452093666667</v>
      </c>
      <c r="ER9">
        <v>3.63041445</v>
      </c>
      <c r="ES9">
        <v>0.96891681</v>
      </c>
      <c r="ET9">
        <v>0.95725533</v>
      </c>
      <c r="EU9">
        <v>1.02790023</v>
      </c>
      <c r="EV9">
        <f t="shared" si="15"/>
        <v>0.98469079</v>
      </c>
      <c r="EW9">
        <v>3.65123248</v>
      </c>
      <c r="EX9">
        <v>0.97229695</v>
      </c>
      <c r="EY9">
        <v>1.02637917</v>
      </c>
      <c r="EZ9">
        <v>1.06508176</v>
      </c>
      <c r="FA9">
        <f t="shared" si="16"/>
        <v>1.02125262666667</v>
      </c>
      <c r="FG9">
        <v>3.56484016</v>
      </c>
      <c r="FH9">
        <v>0.98349354</v>
      </c>
      <c r="FI9">
        <v>0.98579445</v>
      </c>
      <c r="FJ9">
        <v>0.97991237</v>
      </c>
      <c r="FK9">
        <f t="shared" si="0"/>
        <v>0.983066786666667</v>
      </c>
      <c r="FM9">
        <v>4.16549384</v>
      </c>
      <c r="FN9">
        <v>0.95773859</v>
      </c>
      <c r="FO9">
        <v>1.07690018</v>
      </c>
      <c r="FP9">
        <v>0.93772999</v>
      </c>
      <c r="FQ9">
        <f t="shared" si="1"/>
        <v>0.990789586666667</v>
      </c>
      <c r="FS9">
        <v>4.18893975</v>
      </c>
      <c r="FT9">
        <v>0.98323083</v>
      </c>
      <c r="FU9">
        <v>0.92698363</v>
      </c>
      <c r="FV9">
        <v>1.02599866</v>
      </c>
      <c r="FW9">
        <f t="shared" si="2"/>
        <v>0.978737706666667</v>
      </c>
      <c r="GM9">
        <v>4.21296055</v>
      </c>
      <c r="GN9">
        <v>0.95340677</v>
      </c>
      <c r="GO9">
        <v>1.01445476</v>
      </c>
      <c r="GP9">
        <v>1.02054496</v>
      </c>
      <c r="GQ9">
        <f t="shared" si="3"/>
        <v>0.996135496666667</v>
      </c>
    </row>
    <row r="10" spans="1:199">
      <c r="A10" s="17">
        <v>410</v>
      </c>
      <c r="B10" s="20">
        <v>33.187768</v>
      </c>
      <c r="C10" s="17">
        <v>1020</v>
      </c>
      <c r="D10" s="17">
        <v>2010</v>
      </c>
      <c r="E10" s="17">
        <v>10</v>
      </c>
      <c r="F10" s="17">
        <v>10</v>
      </c>
      <c r="G10" s="17">
        <v>545</v>
      </c>
      <c r="H10" s="17">
        <v>60</v>
      </c>
      <c r="I10" s="17">
        <v>20</v>
      </c>
      <c r="J10" s="20"/>
      <c r="K10" s="19">
        <v>24987.3</v>
      </c>
      <c r="L10" s="20">
        <v>1.135</v>
      </c>
      <c r="M10">
        <v>1.127</v>
      </c>
      <c r="N10" s="21" t="s">
        <v>140</v>
      </c>
      <c r="O10">
        <v>25</v>
      </c>
      <c r="P10">
        <v>0.72105627</v>
      </c>
      <c r="Q10">
        <v>1.17022367</v>
      </c>
      <c r="R10">
        <v>0.66241205</v>
      </c>
      <c r="S10">
        <v>1.11178282</v>
      </c>
      <c r="T10">
        <v>0.92945815</v>
      </c>
      <c r="U10">
        <v>1.5300708</v>
      </c>
      <c r="V10">
        <v>1.42595059</v>
      </c>
      <c r="W10">
        <v>2.21802068</v>
      </c>
      <c r="X10">
        <v>1.9250138</v>
      </c>
      <c r="Y10">
        <v>3.26211992</v>
      </c>
      <c r="Z10">
        <v>2.7099845</v>
      </c>
      <c r="AA10">
        <v>4.74792376</v>
      </c>
      <c r="AC10">
        <v>25</v>
      </c>
      <c r="AD10">
        <v>0.64478864</v>
      </c>
      <c r="AE10">
        <v>1.08087852</v>
      </c>
      <c r="AF10">
        <v>0.79243535</v>
      </c>
      <c r="AG10">
        <v>1.27962715</v>
      </c>
      <c r="AH10">
        <v>1.04878172</v>
      </c>
      <c r="AI10">
        <v>1.91549064</v>
      </c>
      <c r="AJ10">
        <v>1.08161852</v>
      </c>
      <c r="AK10">
        <v>2.03788772</v>
      </c>
      <c r="AL10">
        <v>1.70969032</v>
      </c>
      <c r="AM10">
        <v>3.30914081</v>
      </c>
      <c r="AN10">
        <v>2.59346062</v>
      </c>
      <c r="AO10">
        <v>4.68297514</v>
      </c>
      <c r="BJ10">
        <v>0.325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CC10">
        <v>0.325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0.39</v>
      </c>
      <c r="CM10">
        <v>0</v>
      </c>
      <c r="CN10">
        <v>0</v>
      </c>
      <c r="CO10">
        <v>0.39</v>
      </c>
      <c r="CP10">
        <v>0</v>
      </c>
      <c r="CQ10">
        <v>0</v>
      </c>
      <c r="CS10">
        <v>0.325</v>
      </c>
      <c r="CT10">
        <v>0</v>
      </c>
      <c r="CU10">
        <v>0</v>
      </c>
      <c r="CV10">
        <v>0</v>
      </c>
      <c r="CW10">
        <v>0</v>
      </c>
      <c r="CX10">
        <v>0.39</v>
      </c>
      <c r="CY10">
        <v>0</v>
      </c>
      <c r="CZ10">
        <v>0</v>
      </c>
      <c r="DA10">
        <v>0.325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X10">
        <v>3.56484016</v>
      </c>
      <c r="DY10">
        <v>0.93855189</v>
      </c>
      <c r="DZ10">
        <v>0.9557061</v>
      </c>
      <c r="EA10">
        <v>0.99356365</v>
      </c>
      <c r="EB10">
        <f t="shared" si="11"/>
        <v>0.962607213333333</v>
      </c>
      <c r="EC10">
        <v>4.13627773</v>
      </c>
      <c r="ED10">
        <v>1.00221117</v>
      </c>
      <c r="EE10">
        <v>1.02975931</v>
      </c>
      <c r="EF10">
        <v>1.01454868</v>
      </c>
      <c r="EG10">
        <f t="shared" si="12"/>
        <v>1.01550638666667</v>
      </c>
      <c r="EH10">
        <v>4.15701237</v>
      </c>
      <c r="EI10">
        <v>0.97492746</v>
      </c>
      <c r="EJ10">
        <v>1.02890209</v>
      </c>
      <c r="EK10">
        <v>0.99810779</v>
      </c>
      <c r="EL10">
        <f t="shared" si="13"/>
        <v>1.00064578</v>
      </c>
      <c r="EM10">
        <v>4.16549384</v>
      </c>
      <c r="EN10">
        <v>0.93646747</v>
      </c>
      <c r="EO10">
        <v>1.01894286</v>
      </c>
      <c r="EP10">
        <v>0.98869062</v>
      </c>
      <c r="EQ10">
        <f t="shared" si="14"/>
        <v>0.981366983333333</v>
      </c>
      <c r="ER10">
        <v>4.18893975</v>
      </c>
      <c r="ES10">
        <v>0.99984508</v>
      </c>
      <c r="ET10">
        <v>0.97077588</v>
      </c>
      <c r="EU10">
        <v>1.05308226</v>
      </c>
      <c r="EV10">
        <f t="shared" si="15"/>
        <v>1.00790107333333</v>
      </c>
      <c r="EW10">
        <v>4.21296055</v>
      </c>
      <c r="EX10">
        <v>0.96300156</v>
      </c>
      <c r="EY10">
        <v>1.01387265</v>
      </c>
      <c r="EZ10">
        <v>1.06710984</v>
      </c>
      <c r="FA10">
        <f t="shared" si="16"/>
        <v>1.01466135</v>
      </c>
      <c r="FG10">
        <v>4.04015219</v>
      </c>
      <c r="FH10">
        <v>1.04812536</v>
      </c>
      <c r="FI10">
        <v>1.06617895</v>
      </c>
      <c r="FJ10">
        <v>0.99434038</v>
      </c>
      <c r="FK10">
        <f t="shared" si="0"/>
        <v>1.03621489666667</v>
      </c>
      <c r="FM10">
        <v>4.72089302</v>
      </c>
      <c r="FN10">
        <v>0.97887886</v>
      </c>
      <c r="FO10">
        <v>1.03979449</v>
      </c>
      <c r="FP10">
        <v>1.00867321</v>
      </c>
      <c r="FQ10">
        <f t="shared" si="1"/>
        <v>1.00911552</v>
      </c>
      <c r="FS10">
        <v>4.74746505</v>
      </c>
      <c r="FT10">
        <v>0.95851482</v>
      </c>
      <c r="FU10">
        <v>0.98518709</v>
      </c>
      <c r="FV10">
        <v>1.04132329</v>
      </c>
      <c r="FW10">
        <f t="shared" si="2"/>
        <v>0.9950084</v>
      </c>
      <c r="GM10">
        <v>4.77468863</v>
      </c>
      <c r="GN10">
        <v>0.94519513</v>
      </c>
      <c r="GO10">
        <v>0.97465998</v>
      </c>
      <c r="GP10">
        <v>0.99910949</v>
      </c>
      <c r="GQ10">
        <f t="shared" si="3"/>
        <v>0.9729882</v>
      </c>
    </row>
    <row r="11" spans="1:199">
      <c r="A11" s="17">
        <v>298</v>
      </c>
      <c r="B11" s="20">
        <v>33.047235</v>
      </c>
      <c r="C11" s="22">
        <v>1092</v>
      </c>
      <c r="D11" s="22">
        <v>2050</v>
      </c>
      <c r="E11" s="22">
        <v>10</v>
      </c>
      <c r="F11" s="22">
        <v>10</v>
      </c>
      <c r="G11" s="22">
        <v>593</v>
      </c>
      <c r="H11" s="22">
        <v>60</v>
      </c>
      <c r="I11" s="22">
        <v>20</v>
      </c>
      <c r="J11" s="22">
        <v>4</v>
      </c>
      <c r="K11" s="22">
        <v>26914.6</v>
      </c>
      <c r="L11" s="20">
        <v>1.238</v>
      </c>
      <c r="O11">
        <v>30</v>
      </c>
      <c r="P11">
        <v>0.76597558</v>
      </c>
      <c r="Q11">
        <v>1.22125608</v>
      </c>
      <c r="R11">
        <v>0.68174374</v>
      </c>
      <c r="S11">
        <v>1.18652624</v>
      </c>
      <c r="T11">
        <v>0.98989668</v>
      </c>
      <c r="U11">
        <v>1.63787124</v>
      </c>
      <c r="V11">
        <v>1.51856986</v>
      </c>
      <c r="W11">
        <v>2.34923182</v>
      </c>
      <c r="X11">
        <v>2.09825969</v>
      </c>
      <c r="Y11">
        <v>3.64904138</v>
      </c>
      <c r="Z11">
        <v>2.9967717</v>
      </c>
      <c r="AA11">
        <v>5.25196897</v>
      </c>
      <c r="AC11">
        <v>30</v>
      </c>
      <c r="AD11">
        <v>0.68876281</v>
      </c>
      <c r="AE11">
        <v>1.15777189</v>
      </c>
      <c r="AF11">
        <v>0.83028804</v>
      </c>
      <c r="AG11">
        <v>1.34330706</v>
      </c>
      <c r="AH11">
        <v>1.12460657</v>
      </c>
      <c r="AI11">
        <v>2.08699388</v>
      </c>
      <c r="AJ11">
        <v>1.20206946</v>
      </c>
      <c r="AK11">
        <v>2.20747236</v>
      </c>
      <c r="AL11">
        <v>1.89445264</v>
      </c>
      <c r="AM11">
        <v>3.71570451</v>
      </c>
      <c r="AN11">
        <v>2.90310816</v>
      </c>
      <c r="AO11">
        <v>5.33883756</v>
      </c>
      <c r="AR11" t="s">
        <v>141</v>
      </c>
      <c r="AS11" t="s">
        <v>142</v>
      </c>
      <c r="BJ11">
        <v>0.375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CC11">
        <v>0.375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0.45</v>
      </c>
      <c r="CM11">
        <v>0</v>
      </c>
      <c r="CN11">
        <v>0</v>
      </c>
      <c r="CO11">
        <v>0.45</v>
      </c>
      <c r="CP11">
        <v>0</v>
      </c>
      <c r="CQ11">
        <v>0</v>
      </c>
      <c r="CS11">
        <v>0.375</v>
      </c>
      <c r="CT11">
        <v>0</v>
      </c>
      <c r="CU11">
        <v>0</v>
      </c>
      <c r="CV11">
        <v>0</v>
      </c>
      <c r="CW11">
        <v>0</v>
      </c>
      <c r="CX11">
        <v>0.45</v>
      </c>
      <c r="CY11">
        <v>0</v>
      </c>
      <c r="CZ11">
        <v>0</v>
      </c>
      <c r="DA11">
        <v>0.375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N11" s="6" t="s">
        <v>143</v>
      </c>
      <c r="DO11" s="6"/>
      <c r="DP11" s="6"/>
      <c r="DQ11" s="6"/>
      <c r="DR11" s="6"/>
      <c r="DX11">
        <v>4.04015219</v>
      </c>
      <c r="DY11">
        <v>0.97798685</v>
      </c>
      <c r="DZ11">
        <v>1.0189992</v>
      </c>
      <c r="EA11">
        <v>1.02649184</v>
      </c>
      <c r="EB11">
        <f t="shared" si="11"/>
        <v>1.00782596333333</v>
      </c>
      <c r="EC11">
        <v>4.68778143</v>
      </c>
      <c r="ED11">
        <v>1.00660535</v>
      </c>
      <c r="EE11">
        <v>1.05849049</v>
      </c>
      <c r="EF11">
        <v>1.04530794</v>
      </c>
      <c r="EG11">
        <f t="shared" si="12"/>
        <v>1.03680126</v>
      </c>
      <c r="EH11">
        <v>4.71128069</v>
      </c>
      <c r="EI11">
        <v>0.99032461</v>
      </c>
      <c r="EJ11">
        <v>1.03194768</v>
      </c>
      <c r="EK11">
        <v>1.02467211</v>
      </c>
      <c r="EL11">
        <f t="shared" si="13"/>
        <v>1.01564813333333</v>
      </c>
      <c r="EM11">
        <v>4.72089302</v>
      </c>
      <c r="EN11">
        <v>0.96587468</v>
      </c>
      <c r="EO11">
        <v>1.02316804</v>
      </c>
      <c r="EP11">
        <v>1.00812642</v>
      </c>
      <c r="EQ11">
        <f t="shared" si="14"/>
        <v>0.99905638</v>
      </c>
      <c r="ER11">
        <v>4.74746505</v>
      </c>
      <c r="ES11">
        <v>0.99426785</v>
      </c>
      <c r="ET11">
        <v>0.99274679</v>
      </c>
      <c r="EU11">
        <v>1.05849049</v>
      </c>
      <c r="EV11">
        <f t="shared" si="15"/>
        <v>1.01516837666667</v>
      </c>
      <c r="EW11">
        <v>4.77468863</v>
      </c>
      <c r="EX11">
        <v>0.96232554</v>
      </c>
      <c r="EY11">
        <v>1.00204217</v>
      </c>
      <c r="EZ11">
        <v>1.04057575</v>
      </c>
      <c r="FA11">
        <f t="shared" si="16"/>
        <v>1.00164782</v>
      </c>
      <c r="FG11">
        <v>4.51546421</v>
      </c>
      <c r="FH11">
        <v>1.07362348</v>
      </c>
      <c r="FI11">
        <v>1.15230661</v>
      </c>
      <c r="FJ11">
        <v>0.97921329</v>
      </c>
      <c r="FK11">
        <f t="shared" si="0"/>
        <v>1.06838112666667</v>
      </c>
      <c r="FM11">
        <v>5.2762922</v>
      </c>
      <c r="FN11">
        <v>0.94754575</v>
      </c>
      <c r="FO11">
        <v>1.03679272</v>
      </c>
      <c r="FP11">
        <v>1.03730502</v>
      </c>
      <c r="FQ11">
        <f t="shared" si="1"/>
        <v>1.00721449666667</v>
      </c>
      <c r="FS11">
        <v>5.30599035</v>
      </c>
      <c r="FT11">
        <v>0.96985735</v>
      </c>
      <c r="FU11">
        <v>0.9918123</v>
      </c>
      <c r="FV11">
        <v>1.00448312</v>
      </c>
      <c r="FW11">
        <f t="shared" si="2"/>
        <v>0.98871759</v>
      </c>
      <c r="GM11">
        <v>5.3364167</v>
      </c>
      <c r="GN11">
        <v>0.93347193</v>
      </c>
      <c r="GO11">
        <v>0.94079735</v>
      </c>
      <c r="GP11">
        <v>0.99360724</v>
      </c>
      <c r="GQ11">
        <f t="shared" si="3"/>
        <v>0.95595884</v>
      </c>
    </row>
    <row r="12" spans="1:199">
      <c r="A12" s="17">
        <v>320</v>
      </c>
      <c r="B12" s="20">
        <v>33.036496</v>
      </c>
      <c r="C12" s="22">
        <v>1092</v>
      </c>
      <c r="D12" s="22">
        <v>2050</v>
      </c>
      <c r="E12" s="22">
        <v>10</v>
      </c>
      <c r="F12" s="22">
        <v>10</v>
      </c>
      <c r="G12" s="22">
        <v>593</v>
      </c>
      <c r="H12" s="22">
        <v>60</v>
      </c>
      <c r="I12" s="22">
        <v>20</v>
      </c>
      <c r="J12" s="22">
        <v>4</v>
      </c>
      <c r="K12" s="22">
        <v>26914.6</v>
      </c>
      <c r="L12" s="20">
        <v>1.24</v>
      </c>
      <c r="O12">
        <v>35</v>
      </c>
      <c r="P12">
        <v>0.83499122</v>
      </c>
      <c r="Q12">
        <v>1.30924956</v>
      </c>
      <c r="R12">
        <v>0.70823584</v>
      </c>
      <c r="S12">
        <v>1.25391328</v>
      </c>
      <c r="T12">
        <v>1.01591221</v>
      </c>
      <c r="U12">
        <v>1.7570948</v>
      </c>
      <c r="V12">
        <v>1.58855363</v>
      </c>
      <c r="W12">
        <v>2.50595223</v>
      </c>
      <c r="X12">
        <v>2.21692468</v>
      </c>
      <c r="Y12">
        <v>3.93821991</v>
      </c>
      <c r="Z12">
        <v>3.28165677</v>
      </c>
      <c r="AA12">
        <v>5.64898999</v>
      </c>
      <c r="AC12">
        <v>35</v>
      </c>
      <c r="AD12">
        <v>0.72338691</v>
      </c>
      <c r="AE12">
        <v>1.22987771</v>
      </c>
      <c r="AF12">
        <v>0.85995783</v>
      </c>
      <c r="AG12">
        <v>1.4044346</v>
      </c>
      <c r="AH12">
        <v>1.1865124</v>
      </c>
      <c r="AI12">
        <v>2.20051984</v>
      </c>
      <c r="AJ12">
        <v>1.2620847</v>
      </c>
      <c r="AK12">
        <v>2.34846058</v>
      </c>
      <c r="AL12">
        <v>2.06533011</v>
      </c>
      <c r="AM12">
        <v>4.06718571</v>
      </c>
      <c r="AN12">
        <v>3.0970485</v>
      </c>
      <c r="AO12">
        <v>5.76926592</v>
      </c>
      <c r="AR12" t="s">
        <v>144</v>
      </c>
      <c r="AT12" t="s">
        <v>145</v>
      </c>
      <c r="AU12" t="s">
        <v>146</v>
      </c>
      <c r="BB12" t="s">
        <v>147</v>
      </c>
      <c r="BD12" t="s">
        <v>145</v>
      </c>
      <c r="BE12" t="s">
        <v>148</v>
      </c>
      <c r="BJ12">
        <v>0.425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CC12">
        <v>0.425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0.51</v>
      </c>
      <c r="CM12">
        <v>0</v>
      </c>
      <c r="CN12">
        <v>0</v>
      </c>
      <c r="CO12">
        <v>0.51</v>
      </c>
      <c r="CP12">
        <v>0</v>
      </c>
      <c r="CQ12">
        <v>0</v>
      </c>
      <c r="CS12">
        <v>0.425</v>
      </c>
      <c r="CT12">
        <v>0</v>
      </c>
      <c r="CU12">
        <v>0</v>
      </c>
      <c r="CV12">
        <v>0</v>
      </c>
      <c r="CW12">
        <v>0</v>
      </c>
      <c r="CX12">
        <v>0.51</v>
      </c>
      <c r="CY12">
        <v>0</v>
      </c>
      <c r="CZ12">
        <v>0</v>
      </c>
      <c r="DA12">
        <v>0.425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N12">
        <v>298</v>
      </c>
      <c r="DO12">
        <f>1/DO3</f>
        <v>0.821018062397373</v>
      </c>
      <c r="DP12">
        <f>DP3/DO3^2</f>
        <v>0.0155036251520029</v>
      </c>
      <c r="DQ12">
        <f>1/DQ3</f>
        <v>0.807754442649435</v>
      </c>
      <c r="DR12">
        <f>DR3/DQ3^2</f>
        <v>0.019574017188597</v>
      </c>
      <c r="DX12">
        <v>4.51546421</v>
      </c>
      <c r="DY12">
        <v>1.02649184</v>
      </c>
      <c r="DZ12">
        <v>1.09136234</v>
      </c>
      <c r="EA12">
        <v>1.04325169</v>
      </c>
      <c r="EB12">
        <f t="shared" si="11"/>
        <v>1.05370195666667</v>
      </c>
      <c r="EC12">
        <v>5.23928512</v>
      </c>
      <c r="ED12">
        <v>0.97871921</v>
      </c>
      <c r="EE12">
        <v>1.07403913</v>
      </c>
      <c r="EF12">
        <v>1.07167303</v>
      </c>
      <c r="EG12">
        <f t="shared" si="12"/>
        <v>1.04147712333333</v>
      </c>
      <c r="EH12">
        <v>5.265549</v>
      </c>
      <c r="EI12">
        <v>0.98304903</v>
      </c>
      <c r="EJ12">
        <v>1.04379165</v>
      </c>
      <c r="EK12">
        <v>1.07238636</v>
      </c>
      <c r="EL12">
        <f t="shared" si="13"/>
        <v>1.03307568</v>
      </c>
      <c r="EM12">
        <v>5.2762922</v>
      </c>
      <c r="EN12">
        <v>0.95725533</v>
      </c>
      <c r="EO12">
        <v>1.02283002</v>
      </c>
      <c r="EP12">
        <v>1.02266101</v>
      </c>
      <c r="EQ12">
        <f t="shared" si="14"/>
        <v>1.00091545333333</v>
      </c>
      <c r="ER12">
        <v>5.30599035</v>
      </c>
      <c r="ES12">
        <v>1.00829542</v>
      </c>
      <c r="ET12">
        <v>0.99156374</v>
      </c>
      <c r="EU12">
        <v>1.05426531</v>
      </c>
      <c r="EV12">
        <f t="shared" si="15"/>
        <v>1.01804149</v>
      </c>
      <c r="EW12">
        <v>5.3364167</v>
      </c>
      <c r="EX12">
        <v>0.98007126</v>
      </c>
      <c r="EY12">
        <v>0.98902863</v>
      </c>
      <c r="EZ12">
        <v>1.04581497</v>
      </c>
      <c r="FA12">
        <f t="shared" si="16"/>
        <v>1.00497162</v>
      </c>
      <c r="FG12">
        <v>4.99077623</v>
      </c>
      <c r="FH12">
        <v>1.00532128</v>
      </c>
      <c r="FI12">
        <v>1.22126042</v>
      </c>
      <c r="FJ12">
        <v>1.08978925</v>
      </c>
      <c r="FK12">
        <f t="shared" si="0"/>
        <v>1.10545698333333</v>
      </c>
      <c r="FM12">
        <v>5.83169138</v>
      </c>
      <c r="FN12">
        <v>0.93461298</v>
      </c>
      <c r="FO12">
        <v>1.01659629</v>
      </c>
      <c r="FP12">
        <v>1.09353137</v>
      </c>
      <c r="FQ12">
        <f t="shared" si="1"/>
        <v>1.01491354666667</v>
      </c>
      <c r="FS12">
        <v>5.86451565</v>
      </c>
      <c r="FT12">
        <v>0.95203953</v>
      </c>
      <c r="FU12">
        <v>1.00034455</v>
      </c>
      <c r="FV12">
        <v>1.04133619</v>
      </c>
      <c r="FW12">
        <f t="shared" si="2"/>
        <v>0.997906756666667</v>
      </c>
      <c r="GM12">
        <v>5.89814477</v>
      </c>
      <c r="GN12">
        <v>0.8882685</v>
      </c>
      <c r="GO12">
        <v>0.93327832</v>
      </c>
      <c r="GP12">
        <v>1.01957827</v>
      </c>
      <c r="GQ12">
        <f t="shared" si="3"/>
        <v>0.947041696666667</v>
      </c>
    </row>
    <row r="13" spans="1:199">
      <c r="A13" s="17">
        <v>340</v>
      </c>
      <c r="B13" s="20">
        <v>33.205347</v>
      </c>
      <c r="C13" s="22">
        <v>1092</v>
      </c>
      <c r="D13" s="22">
        <v>2050</v>
      </c>
      <c r="E13" s="22">
        <v>10</v>
      </c>
      <c r="F13" s="22">
        <v>10</v>
      </c>
      <c r="G13" s="22">
        <v>593</v>
      </c>
      <c r="H13" s="22">
        <v>60</v>
      </c>
      <c r="I13" s="22">
        <v>20</v>
      </c>
      <c r="J13" s="22">
        <v>4</v>
      </c>
      <c r="K13" s="22">
        <v>26914.6</v>
      </c>
      <c r="L13" s="20">
        <v>1.221</v>
      </c>
      <c r="O13">
        <v>40</v>
      </c>
      <c r="P13">
        <v>0.88996991</v>
      </c>
      <c r="Q13">
        <v>1.39356584</v>
      </c>
      <c r="R13">
        <v>0.74696283</v>
      </c>
      <c r="S13">
        <v>1.30691834</v>
      </c>
      <c r="T13">
        <v>1.07155437</v>
      </c>
      <c r="U13">
        <v>1.82777846</v>
      </c>
      <c r="V13">
        <v>1.70135219</v>
      </c>
      <c r="W13">
        <v>2.70686942</v>
      </c>
      <c r="X13">
        <v>2.34389693</v>
      </c>
      <c r="Y13">
        <v>4.21845323</v>
      </c>
      <c r="Z13">
        <v>3.50557685</v>
      </c>
      <c r="AA13">
        <v>6.11239266</v>
      </c>
      <c r="AC13">
        <v>40</v>
      </c>
      <c r="AD13">
        <v>0.7458019</v>
      </c>
      <c r="AE13">
        <v>1.29646377</v>
      </c>
      <c r="AF13">
        <v>0.88298828</v>
      </c>
      <c r="AG13">
        <v>1.45239574</v>
      </c>
      <c r="AH13">
        <v>1.23684422</v>
      </c>
      <c r="AI13">
        <v>2.38769281</v>
      </c>
      <c r="AJ13">
        <v>1.30437507</v>
      </c>
      <c r="AK13">
        <v>2.48140216</v>
      </c>
      <c r="AL13">
        <v>2.19818354</v>
      </c>
      <c r="AM13">
        <v>4.41041718</v>
      </c>
      <c r="AN13">
        <v>3.34233615</v>
      </c>
      <c r="AO13">
        <v>6.32564707</v>
      </c>
      <c r="AR13">
        <f t="shared" ref="AR13:AR17" si="21">1/AR4*1000</f>
        <v>3.125</v>
      </c>
      <c r="AT13">
        <f>LN(AT4)</f>
        <v>1.95562471425844</v>
      </c>
      <c r="AU13">
        <f>12.8+AR13*-3.49</f>
        <v>1.89375</v>
      </c>
      <c r="BB13">
        <f>LOG10(BB4)</f>
        <v>-3.91252317595035</v>
      </c>
      <c r="BD13">
        <f>LN(BD4)</f>
        <v>2.61934041293153</v>
      </c>
      <c r="BE13">
        <f>10.14+AR13*-2.346</f>
        <v>2.80875</v>
      </c>
      <c r="BJ13">
        <v>0.475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CC13">
        <v>0.475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0.57</v>
      </c>
      <c r="CM13">
        <v>0</v>
      </c>
      <c r="CN13">
        <v>0</v>
      </c>
      <c r="CO13">
        <v>0.57</v>
      </c>
      <c r="CP13">
        <v>0</v>
      </c>
      <c r="CQ13">
        <v>0</v>
      </c>
      <c r="CS13">
        <v>0.475</v>
      </c>
      <c r="CT13">
        <v>0</v>
      </c>
      <c r="CU13">
        <v>0</v>
      </c>
      <c r="CV13">
        <v>0</v>
      </c>
      <c r="CW13">
        <v>0</v>
      </c>
      <c r="CX13">
        <v>0.57</v>
      </c>
      <c r="CY13">
        <v>0</v>
      </c>
      <c r="CZ13">
        <v>0</v>
      </c>
      <c r="DA13">
        <v>0.475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N13">
        <v>320</v>
      </c>
      <c r="DO13">
        <f t="shared" ref="DO13:DO17" si="22">1/DO4</f>
        <v>0.826446280991736</v>
      </c>
      <c r="DP13">
        <f t="shared" ref="DP13:DP17" si="23">DP4/DO4^2</f>
        <v>0.0409808073219042</v>
      </c>
      <c r="DQ13">
        <f t="shared" ref="DQ13:DQ17" si="24">1/DQ4</f>
        <v>0.806451612903226</v>
      </c>
      <c r="DR13">
        <f t="shared" ref="DR13:DR17" si="25">DR4/DQ4^2</f>
        <v>0.0045525494276795</v>
      </c>
      <c r="DX13">
        <v>4.99077623</v>
      </c>
      <c r="DY13">
        <v>1.01209808</v>
      </c>
      <c r="DZ13">
        <v>1.13257186</v>
      </c>
      <c r="EA13">
        <v>1.07282791</v>
      </c>
      <c r="EB13">
        <f t="shared" si="11"/>
        <v>1.07249928333333</v>
      </c>
      <c r="EC13">
        <v>5.79078882</v>
      </c>
      <c r="ED13">
        <v>0.9711139</v>
      </c>
      <c r="EE13">
        <v>1.05004014</v>
      </c>
      <c r="EF13">
        <v>1.07657423</v>
      </c>
      <c r="EG13">
        <f t="shared" si="12"/>
        <v>1.03257609</v>
      </c>
      <c r="EH13">
        <v>5.81981732</v>
      </c>
      <c r="EI13">
        <v>0.98710982</v>
      </c>
      <c r="EJ13">
        <v>1.0265333</v>
      </c>
      <c r="EK13">
        <v>1.07729315</v>
      </c>
      <c r="EL13">
        <f t="shared" si="13"/>
        <v>1.03031209</v>
      </c>
      <c r="EM13">
        <v>5.83169138</v>
      </c>
      <c r="EN13">
        <v>0.97229695</v>
      </c>
      <c r="EO13">
        <v>1.03922369</v>
      </c>
      <c r="EP13">
        <v>1.0490261</v>
      </c>
      <c r="EQ13">
        <f t="shared" si="14"/>
        <v>1.02018224666667</v>
      </c>
      <c r="ER13">
        <v>5.86451565</v>
      </c>
      <c r="ES13">
        <v>0.97145191</v>
      </c>
      <c r="ET13">
        <v>1.01877385</v>
      </c>
      <c r="EU13">
        <v>1.06220864</v>
      </c>
      <c r="EV13">
        <f t="shared" si="15"/>
        <v>1.01747813333333</v>
      </c>
      <c r="EW13">
        <v>5.89814477</v>
      </c>
      <c r="EX13">
        <v>0.98226835</v>
      </c>
      <c r="EY13">
        <v>0.99376083</v>
      </c>
      <c r="EZ13">
        <v>1.04480092</v>
      </c>
      <c r="FA13">
        <f t="shared" si="16"/>
        <v>1.00694336666667</v>
      </c>
      <c r="FG13">
        <v>5.46608825</v>
      </c>
      <c r="FH13">
        <v>0.99932817</v>
      </c>
      <c r="FI13">
        <v>1.1652323</v>
      </c>
      <c r="FJ13">
        <v>1.1094284</v>
      </c>
      <c r="FK13">
        <f t="shared" si="0"/>
        <v>1.09132962333333</v>
      </c>
      <c r="FM13">
        <v>6.38709056</v>
      </c>
      <c r="FN13">
        <v>0.95009641</v>
      </c>
      <c r="FO13">
        <v>0.99134804</v>
      </c>
      <c r="FP13">
        <v>1.06113625</v>
      </c>
      <c r="FQ13">
        <f t="shared" si="1"/>
        <v>1.00086023333333</v>
      </c>
      <c r="FS13">
        <v>6.42304095</v>
      </c>
      <c r="FT13">
        <v>0.92671043</v>
      </c>
      <c r="FU13">
        <v>0.94371976</v>
      </c>
      <c r="FV13">
        <v>1.03362599</v>
      </c>
      <c r="FW13">
        <f t="shared" si="2"/>
        <v>0.968018726666667</v>
      </c>
      <c r="GM13">
        <v>6.45987285</v>
      </c>
      <c r="GN13">
        <v>0.92165289</v>
      </c>
      <c r="GO13">
        <v>0.92415845</v>
      </c>
      <c r="GP13">
        <v>1.03048631</v>
      </c>
      <c r="GQ13">
        <f t="shared" si="3"/>
        <v>0.958765883333333</v>
      </c>
    </row>
    <row r="14" spans="1:199">
      <c r="A14" s="17">
        <v>360</v>
      </c>
      <c r="B14" s="20">
        <v>33.304079</v>
      </c>
      <c r="C14" s="22">
        <v>1092</v>
      </c>
      <c r="D14" s="22">
        <v>2050</v>
      </c>
      <c r="E14" s="22">
        <v>10</v>
      </c>
      <c r="F14" s="22">
        <v>10</v>
      </c>
      <c r="G14" s="22">
        <v>593</v>
      </c>
      <c r="H14" s="22">
        <v>60</v>
      </c>
      <c r="I14" s="22">
        <v>20</v>
      </c>
      <c r="J14" s="22">
        <v>4</v>
      </c>
      <c r="K14" s="22">
        <v>26914.6</v>
      </c>
      <c r="L14" s="20">
        <v>1.21</v>
      </c>
      <c r="O14">
        <v>45</v>
      </c>
      <c r="P14">
        <v>0.92830918</v>
      </c>
      <c r="Q14">
        <v>1.43195203</v>
      </c>
      <c r="R14">
        <v>0.7402256</v>
      </c>
      <c r="S14">
        <v>1.32775301</v>
      </c>
      <c r="T14">
        <v>1.13760189</v>
      </c>
      <c r="U14">
        <v>1.96300611</v>
      </c>
      <c r="V14">
        <v>1.8036269</v>
      </c>
      <c r="W14">
        <v>2.81711475</v>
      </c>
      <c r="X14">
        <v>2.52314339</v>
      </c>
      <c r="Y14">
        <v>4.56202547</v>
      </c>
      <c r="Z14">
        <v>3.70174952</v>
      </c>
      <c r="AA14">
        <v>6.42691917</v>
      </c>
      <c r="AC14">
        <v>45</v>
      </c>
      <c r="AD14">
        <v>0.77962535</v>
      </c>
      <c r="AE14">
        <v>1.35305341</v>
      </c>
      <c r="AF14">
        <v>0.88930952</v>
      </c>
      <c r="AG14">
        <v>1.48764786</v>
      </c>
      <c r="AH14">
        <v>1.32268303</v>
      </c>
      <c r="AI14">
        <v>2.56728367</v>
      </c>
      <c r="AJ14">
        <v>1.37641816</v>
      </c>
      <c r="AK14">
        <v>2.64087002</v>
      </c>
      <c r="AL14">
        <v>2.39873974</v>
      </c>
      <c r="AM14">
        <v>4.75631403</v>
      </c>
      <c r="AN14">
        <v>3.49814933</v>
      </c>
      <c r="AO14">
        <v>6.7702681</v>
      </c>
      <c r="AR14">
        <f t="shared" si="21"/>
        <v>2.94117647058823</v>
      </c>
      <c r="AT14">
        <f t="shared" ref="AT14:AT17" si="26">LN(AT5)</f>
        <v>2.6962025158545</v>
      </c>
      <c r="AU14">
        <f t="shared" ref="AU14:AU17" si="27">12.8+AR14*-3.49</f>
        <v>2.53529411764706</v>
      </c>
      <c r="BB14">
        <f t="shared" ref="BB14:BB17" si="28">LOG10(BB5)</f>
        <v>-3.59753645881737</v>
      </c>
      <c r="BD14">
        <f t="shared" ref="BD14:BD17" si="29">LN(BD5)</f>
        <v>3.54433526165401</v>
      </c>
      <c r="BE14">
        <f t="shared" ref="BE14:BE17" si="30">10.14+AR14*-2.346</f>
        <v>3.24</v>
      </c>
      <c r="BJ14">
        <v>0.525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CC14">
        <v>0.525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0.63</v>
      </c>
      <c r="CM14">
        <v>0</v>
      </c>
      <c r="CN14">
        <v>0</v>
      </c>
      <c r="CO14">
        <v>0.63</v>
      </c>
      <c r="CP14">
        <v>0</v>
      </c>
      <c r="CQ14">
        <v>0</v>
      </c>
      <c r="CS14">
        <v>0.525</v>
      </c>
      <c r="CT14">
        <v>0</v>
      </c>
      <c r="CU14">
        <v>0</v>
      </c>
      <c r="CV14">
        <v>0</v>
      </c>
      <c r="CW14">
        <v>0</v>
      </c>
      <c r="CX14">
        <v>0.63</v>
      </c>
      <c r="CY14">
        <v>0</v>
      </c>
      <c r="CZ14">
        <v>0</v>
      </c>
      <c r="DA14">
        <v>0.525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N14">
        <v>340</v>
      </c>
      <c r="DO14">
        <f t="shared" si="22"/>
        <v>0.831255195344971</v>
      </c>
      <c r="DP14">
        <f t="shared" si="23"/>
        <v>0.00483689639851604</v>
      </c>
      <c r="DQ14">
        <f t="shared" si="24"/>
        <v>0.819000819000819</v>
      </c>
      <c r="DR14">
        <f t="shared" si="25"/>
        <v>0.00402457404914407</v>
      </c>
      <c r="DX14">
        <v>5.46608825</v>
      </c>
      <c r="DY14">
        <v>1.01229526</v>
      </c>
      <c r="DZ14">
        <v>1.1197555</v>
      </c>
      <c r="EA14">
        <v>1.07243356</v>
      </c>
      <c r="EB14">
        <f t="shared" si="11"/>
        <v>1.06816144</v>
      </c>
      <c r="EC14">
        <v>6.34229252</v>
      </c>
      <c r="ED14">
        <v>0.9469459</v>
      </c>
      <c r="EE14">
        <v>0.98869062</v>
      </c>
      <c r="EF14">
        <v>1.09837612</v>
      </c>
      <c r="EG14">
        <f t="shared" si="12"/>
        <v>1.01133754666667</v>
      </c>
      <c r="EH14">
        <v>6.37408563</v>
      </c>
      <c r="EI14">
        <v>1.03313208</v>
      </c>
      <c r="EJ14">
        <v>1.02839449</v>
      </c>
      <c r="EK14">
        <v>1.07593955</v>
      </c>
      <c r="EL14">
        <f t="shared" si="13"/>
        <v>1.04582204</v>
      </c>
      <c r="EM14">
        <v>6.38709056</v>
      </c>
      <c r="EN14">
        <v>0.97212794</v>
      </c>
      <c r="EO14">
        <v>1.02299903</v>
      </c>
      <c r="EP14">
        <v>1.07640522</v>
      </c>
      <c r="EQ14">
        <f t="shared" si="14"/>
        <v>1.02384406333333</v>
      </c>
      <c r="ER14">
        <v>6.42304095</v>
      </c>
      <c r="ES14">
        <v>0.95624129</v>
      </c>
      <c r="ET14">
        <v>0.98463445</v>
      </c>
      <c r="EU14">
        <v>1.06339169</v>
      </c>
      <c r="EV14">
        <f t="shared" si="15"/>
        <v>1.00142247666667</v>
      </c>
      <c r="EW14">
        <v>6.45987285</v>
      </c>
      <c r="EX14">
        <v>1.00457727</v>
      </c>
      <c r="EY14">
        <v>0.97990226</v>
      </c>
      <c r="EZ14">
        <v>1.06001155</v>
      </c>
      <c r="FA14">
        <f t="shared" si="16"/>
        <v>1.01483036</v>
      </c>
      <c r="FG14">
        <v>5.94140027</v>
      </c>
      <c r="FH14">
        <v>0.97236108</v>
      </c>
      <c r="FI14">
        <v>1.03460343</v>
      </c>
      <c r="FJ14">
        <v>1.16624971</v>
      </c>
      <c r="FK14">
        <f t="shared" si="0"/>
        <v>1.05773807333333</v>
      </c>
      <c r="FM14">
        <v>6.94248974</v>
      </c>
      <c r="FN14">
        <v>1.00223941</v>
      </c>
      <c r="FO14">
        <v>0.99531939</v>
      </c>
      <c r="FP14">
        <v>1.09782037</v>
      </c>
      <c r="FQ14">
        <f t="shared" si="1"/>
        <v>1.03179305666667</v>
      </c>
      <c r="FS14">
        <v>6.98156625</v>
      </c>
      <c r="FT14">
        <v>0.98703117</v>
      </c>
      <c r="FU14">
        <v>0.9392327</v>
      </c>
      <c r="FV14">
        <v>1.05218321</v>
      </c>
      <c r="FW14">
        <f t="shared" si="2"/>
        <v>0.992815693333333</v>
      </c>
      <c r="GM14">
        <v>7.02160092</v>
      </c>
      <c r="GN14">
        <v>0.91520662</v>
      </c>
      <c r="GO14">
        <v>0.94518508</v>
      </c>
      <c r="GP14">
        <v>1.07610361</v>
      </c>
      <c r="GQ14">
        <f t="shared" si="3"/>
        <v>0.97883177</v>
      </c>
    </row>
    <row r="15" spans="1:199">
      <c r="A15" s="17">
        <v>380</v>
      </c>
      <c r="B15" s="20">
        <v>33.510777</v>
      </c>
      <c r="C15" s="22">
        <v>1092</v>
      </c>
      <c r="D15" s="22">
        <v>2050</v>
      </c>
      <c r="E15" s="22">
        <v>10</v>
      </c>
      <c r="F15" s="22">
        <v>10</v>
      </c>
      <c r="G15" s="22">
        <v>593</v>
      </c>
      <c r="H15" s="22">
        <v>60</v>
      </c>
      <c r="I15" s="22">
        <v>20</v>
      </c>
      <c r="J15" s="22">
        <v>4</v>
      </c>
      <c r="K15" s="22">
        <v>26914.6</v>
      </c>
      <c r="L15" s="20">
        <v>1.188</v>
      </c>
      <c r="O15">
        <v>50</v>
      </c>
      <c r="P15">
        <v>1.00760752</v>
      </c>
      <c r="Q15">
        <v>1.52702977</v>
      </c>
      <c r="R15">
        <v>0.7752565</v>
      </c>
      <c r="S15">
        <v>1.36717711</v>
      </c>
      <c r="T15">
        <v>1.19351142</v>
      </c>
      <c r="U15">
        <v>2.02677689</v>
      </c>
      <c r="V15">
        <v>1.90048347</v>
      </c>
      <c r="W15">
        <v>2.95191461</v>
      </c>
      <c r="X15">
        <v>2.68758654</v>
      </c>
      <c r="Y15">
        <v>4.82210455</v>
      </c>
      <c r="Z15">
        <v>3.89257322</v>
      </c>
      <c r="AA15">
        <v>6.75013954</v>
      </c>
      <c r="AC15">
        <v>50</v>
      </c>
      <c r="AD15">
        <v>0.81435446</v>
      </c>
      <c r="AE15">
        <v>1.41129061</v>
      </c>
      <c r="AF15">
        <v>0.93220501</v>
      </c>
      <c r="AG15">
        <v>1.53968716</v>
      </c>
      <c r="AH15">
        <v>1.35511035</v>
      </c>
      <c r="AI15">
        <v>2.7116904</v>
      </c>
      <c r="AJ15">
        <v>1.40937419</v>
      </c>
      <c r="AK15">
        <v>2.7103498</v>
      </c>
      <c r="AL15">
        <v>2.47984457</v>
      </c>
      <c r="AM15">
        <v>5.05408892</v>
      </c>
      <c r="AN15">
        <v>3.62923165</v>
      </c>
      <c r="AO15">
        <v>7.19269756</v>
      </c>
      <c r="AR15">
        <f t="shared" si="21"/>
        <v>2.77777777777778</v>
      </c>
      <c r="AT15">
        <f t="shared" si="26"/>
        <v>2.54474665014402</v>
      </c>
      <c r="AU15">
        <f t="shared" si="27"/>
        <v>3.10555555555556</v>
      </c>
      <c r="BB15">
        <f t="shared" si="28"/>
        <v>-3.66718112064372</v>
      </c>
      <c r="BD15">
        <f t="shared" si="29"/>
        <v>3.63054387710097</v>
      </c>
      <c r="BE15">
        <f t="shared" si="30"/>
        <v>3.62333333333333</v>
      </c>
      <c r="BJ15">
        <v>0.575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CC15">
        <v>0.575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0.69</v>
      </c>
      <c r="CM15">
        <v>0</v>
      </c>
      <c r="CN15">
        <v>0</v>
      </c>
      <c r="CO15">
        <v>0.69</v>
      </c>
      <c r="CP15">
        <v>0</v>
      </c>
      <c r="CQ15">
        <v>0</v>
      </c>
      <c r="CS15">
        <v>0.575</v>
      </c>
      <c r="CT15">
        <v>0</v>
      </c>
      <c r="CU15">
        <v>0</v>
      </c>
      <c r="CV15">
        <v>0</v>
      </c>
      <c r="CW15">
        <v>0</v>
      </c>
      <c r="CX15">
        <v>0.69</v>
      </c>
      <c r="CY15">
        <v>0</v>
      </c>
      <c r="CZ15">
        <v>0</v>
      </c>
      <c r="DA15">
        <v>0.575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N15">
        <v>360</v>
      </c>
      <c r="DO15">
        <f t="shared" si="22"/>
        <v>0.848176420695505</v>
      </c>
      <c r="DP15">
        <f t="shared" si="23"/>
        <v>0.0057552259249907</v>
      </c>
      <c r="DQ15">
        <f t="shared" si="24"/>
        <v>0.826446280991736</v>
      </c>
      <c r="DR15">
        <f t="shared" si="25"/>
        <v>0.0047810941875555</v>
      </c>
      <c r="DX15">
        <v>5.94140027</v>
      </c>
      <c r="DY15">
        <v>0.99218343</v>
      </c>
      <c r="DZ15">
        <v>1.04798389</v>
      </c>
      <c r="EA15">
        <v>1.11443178</v>
      </c>
      <c r="EB15">
        <f t="shared" si="11"/>
        <v>1.05153303333333</v>
      </c>
      <c r="EC15">
        <v>6.89379621</v>
      </c>
      <c r="ED15">
        <v>0.97584609</v>
      </c>
      <c r="EE15">
        <v>0.94626988</v>
      </c>
      <c r="EF15">
        <v>1.08620763</v>
      </c>
      <c r="EG15">
        <f t="shared" si="12"/>
        <v>1.00277453333333</v>
      </c>
      <c r="EH15">
        <v>6.92835395</v>
      </c>
      <c r="EI15">
        <v>1.00775216</v>
      </c>
      <c r="EJ15">
        <v>0.98084944</v>
      </c>
      <c r="EK15">
        <v>1.06866397</v>
      </c>
      <c r="EL15">
        <f t="shared" si="13"/>
        <v>1.01908852333333</v>
      </c>
      <c r="EM15">
        <v>6.94248974</v>
      </c>
      <c r="EN15">
        <v>0.98700055</v>
      </c>
      <c r="EO15">
        <v>1.0174218</v>
      </c>
      <c r="EP15">
        <v>1.07234906</v>
      </c>
      <c r="EQ15">
        <f t="shared" si="14"/>
        <v>1.02559047</v>
      </c>
      <c r="ER15">
        <v>6.98156625</v>
      </c>
      <c r="ES15">
        <v>1.01860485</v>
      </c>
      <c r="ET15">
        <v>0.97702914</v>
      </c>
      <c r="EU15">
        <v>1.05426531</v>
      </c>
      <c r="EV15">
        <f t="shared" si="15"/>
        <v>1.0166331</v>
      </c>
      <c r="EW15">
        <v>7.02160092</v>
      </c>
      <c r="EX15">
        <v>0.99376083</v>
      </c>
      <c r="EY15">
        <v>1.00153515</v>
      </c>
      <c r="EZ15">
        <v>1.09127783</v>
      </c>
      <c r="FA15">
        <f t="shared" si="16"/>
        <v>1.02885793666667</v>
      </c>
      <c r="FG15">
        <v>6.41671229</v>
      </c>
      <c r="FH15">
        <v>0.96279231</v>
      </c>
      <c r="FI15">
        <v>0.93351018</v>
      </c>
      <c r="FJ15">
        <v>1.07718921</v>
      </c>
      <c r="FK15">
        <f t="shared" si="0"/>
        <v>0.9911639</v>
      </c>
      <c r="FM15">
        <v>7.49788892</v>
      </c>
      <c r="FN15">
        <v>1.02969112</v>
      </c>
      <c r="FO15">
        <v>0.96936315</v>
      </c>
      <c r="FP15">
        <v>1.01764772</v>
      </c>
      <c r="FQ15">
        <f t="shared" si="1"/>
        <v>1.00556733</v>
      </c>
      <c r="FS15">
        <v>7.54009155</v>
      </c>
      <c r="FT15">
        <v>1.00562607</v>
      </c>
      <c r="FU15">
        <v>0.98745779</v>
      </c>
      <c r="FV15">
        <v>1.03790764</v>
      </c>
      <c r="FW15">
        <f t="shared" si="2"/>
        <v>1.0103305</v>
      </c>
      <c r="GM15">
        <v>7.583329</v>
      </c>
      <c r="GN15">
        <v>0.97907189</v>
      </c>
      <c r="GO15">
        <v>0.97998274</v>
      </c>
      <c r="GP15">
        <v>1.09608131</v>
      </c>
      <c r="GQ15">
        <f t="shared" si="3"/>
        <v>1.01837864666667</v>
      </c>
    </row>
    <row r="16" spans="1:199">
      <c r="A16" s="17">
        <v>410</v>
      </c>
      <c r="B16" s="20">
        <v>33.774801</v>
      </c>
      <c r="C16" s="22">
        <v>1092</v>
      </c>
      <c r="D16" s="22">
        <v>2050</v>
      </c>
      <c r="E16" s="22">
        <v>10</v>
      </c>
      <c r="F16" s="22">
        <v>10</v>
      </c>
      <c r="G16" s="22">
        <v>593</v>
      </c>
      <c r="H16" s="22">
        <v>60</v>
      </c>
      <c r="I16" s="22">
        <v>20</v>
      </c>
      <c r="J16" s="22">
        <v>4</v>
      </c>
      <c r="K16" s="22">
        <v>26914.6</v>
      </c>
      <c r="L16" s="20">
        <v>1.16</v>
      </c>
      <c r="O16">
        <v>55</v>
      </c>
      <c r="P16">
        <v>1.05851556</v>
      </c>
      <c r="Q16">
        <v>1.58286268</v>
      </c>
      <c r="R16">
        <v>0.78754136</v>
      </c>
      <c r="S16">
        <v>1.40039252</v>
      </c>
      <c r="T16">
        <v>1.26105235</v>
      </c>
      <c r="U16">
        <v>2.14892072</v>
      </c>
      <c r="V16">
        <v>1.97332847</v>
      </c>
      <c r="W16">
        <v>3.06912286</v>
      </c>
      <c r="X16">
        <v>2.81328109</v>
      </c>
      <c r="Y16">
        <v>5.13950372</v>
      </c>
      <c r="Z16">
        <v>4.12756658</v>
      </c>
      <c r="AA16">
        <v>7.13386936</v>
      </c>
      <c r="AC16">
        <v>55</v>
      </c>
      <c r="AD16">
        <v>0.87629144</v>
      </c>
      <c r="AE16">
        <v>1.47079666</v>
      </c>
      <c r="AF16">
        <v>0.9497209</v>
      </c>
      <c r="AG16">
        <v>1.57368732</v>
      </c>
      <c r="AH16">
        <v>1.43087714</v>
      </c>
      <c r="AI16">
        <v>2.86783828</v>
      </c>
      <c r="AJ16">
        <v>1.5094583</v>
      </c>
      <c r="AK16">
        <v>2.85972071</v>
      </c>
      <c r="AL16">
        <v>2.58357832</v>
      </c>
      <c r="AM16">
        <v>5.37404203</v>
      </c>
      <c r="AN16">
        <v>3.76271667</v>
      </c>
      <c r="AO16">
        <v>7.60913071</v>
      </c>
      <c r="AR16">
        <f t="shared" si="21"/>
        <v>2.63157894736842</v>
      </c>
      <c r="AT16">
        <f t="shared" si="26"/>
        <v>4.00460218672124</v>
      </c>
      <c r="AU16">
        <f t="shared" si="27"/>
        <v>3.61578947368421</v>
      </c>
      <c r="BB16">
        <f t="shared" si="28"/>
        <v>-3.04123512580154</v>
      </c>
      <c r="BD16">
        <f t="shared" si="29"/>
        <v>3.86841936794601</v>
      </c>
      <c r="BE16">
        <f t="shared" si="30"/>
        <v>3.96631578947369</v>
      </c>
      <c r="BJ16">
        <v>0.625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CC16">
        <v>0.625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0.75</v>
      </c>
      <c r="CM16">
        <v>0</v>
      </c>
      <c r="CN16">
        <v>0</v>
      </c>
      <c r="CO16">
        <v>0.75</v>
      </c>
      <c r="CP16">
        <v>0</v>
      </c>
      <c r="CQ16">
        <v>0</v>
      </c>
      <c r="CS16">
        <v>0.625</v>
      </c>
      <c r="CT16">
        <v>0</v>
      </c>
      <c r="CU16">
        <v>0</v>
      </c>
      <c r="CV16">
        <v>0</v>
      </c>
      <c r="CW16">
        <v>0</v>
      </c>
      <c r="CX16">
        <v>0.75</v>
      </c>
      <c r="CY16">
        <v>0</v>
      </c>
      <c r="CZ16">
        <v>0</v>
      </c>
      <c r="DA16">
        <v>0.625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N16">
        <v>380</v>
      </c>
      <c r="DO16">
        <f t="shared" si="22"/>
        <v>0.863557858376511</v>
      </c>
      <c r="DP16">
        <f t="shared" si="23"/>
        <v>0.00745732174763827</v>
      </c>
      <c r="DQ16">
        <f t="shared" si="24"/>
        <v>0.841750841750842</v>
      </c>
      <c r="DR16">
        <f t="shared" si="25"/>
        <v>0.00566835583670601</v>
      </c>
      <c r="DX16">
        <v>6.41671229</v>
      </c>
      <c r="DY16">
        <v>0.96438179</v>
      </c>
      <c r="DZ16">
        <v>1.00381674</v>
      </c>
      <c r="EA16">
        <v>1.05350478</v>
      </c>
      <c r="EB16">
        <f t="shared" si="11"/>
        <v>1.00723443666667</v>
      </c>
      <c r="EC16">
        <v>7.44529991</v>
      </c>
      <c r="ED16">
        <v>1.01894286</v>
      </c>
      <c r="EE16">
        <v>0.9298762</v>
      </c>
      <c r="EF16">
        <v>1.02553413</v>
      </c>
      <c r="EG16">
        <f t="shared" si="12"/>
        <v>0.991451063333333</v>
      </c>
      <c r="EH16">
        <v>7.48262226</v>
      </c>
      <c r="EI16">
        <v>1.05208242</v>
      </c>
      <c r="EJ16">
        <v>1.00809056</v>
      </c>
      <c r="EK16">
        <v>1.02890209</v>
      </c>
      <c r="EL16">
        <f t="shared" si="13"/>
        <v>1.02969169</v>
      </c>
      <c r="EM16">
        <v>7.49788892</v>
      </c>
      <c r="EN16">
        <v>1.00508429</v>
      </c>
      <c r="EO16">
        <v>0.98193034</v>
      </c>
      <c r="EP16">
        <v>1.03161838</v>
      </c>
      <c r="EQ16">
        <f t="shared" si="14"/>
        <v>1.00621100333333</v>
      </c>
      <c r="ER16">
        <v>7.54009155</v>
      </c>
      <c r="ES16">
        <v>1.03094235</v>
      </c>
      <c r="ET16">
        <v>0.9954509</v>
      </c>
      <c r="EU16">
        <v>1.04243483</v>
      </c>
      <c r="EV16">
        <f t="shared" si="15"/>
        <v>1.02294269333333</v>
      </c>
      <c r="EW16">
        <v>7.583329</v>
      </c>
      <c r="EX16">
        <v>1.02536513</v>
      </c>
      <c r="EY16">
        <v>1.0076194</v>
      </c>
      <c r="EZ16">
        <v>1.11798093</v>
      </c>
      <c r="FA16">
        <f t="shared" si="16"/>
        <v>1.05032182</v>
      </c>
      <c r="FG16">
        <v>6.89202432</v>
      </c>
      <c r="FH16">
        <v>0.98244134</v>
      </c>
      <c r="FI16">
        <v>0.93840119</v>
      </c>
      <c r="FJ16">
        <v>1.00461301</v>
      </c>
      <c r="FK16">
        <f t="shared" si="0"/>
        <v>0.975151846666667</v>
      </c>
      <c r="FM16">
        <v>8.0532881</v>
      </c>
      <c r="FN16">
        <v>1.0702609</v>
      </c>
      <c r="FO16">
        <v>1.0183843</v>
      </c>
      <c r="FP16">
        <v>0.92712038</v>
      </c>
      <c r="FQ16">
        <f t="shared" si="1"/>
        <v>1.00525519333333</v>
      </c>
      <c r="FS16">
        <v>8.09861685</v>
      </c>
      <c r="FT16">
        <v>1.09203881</v>
      </c>
      <c r="FU16">
        <v>1.01201168</v>
      </c>
      <c r="FV16">
        <v>1.06924293</v>
      </c>
      <c r="FW16">
        <f t="shared" si="2"/>
        <v>1.05776447333333</v>
      </c>
      <c r="GM16">
        <v>8.14505707</v>
      </c>
      <c r="GN16">
        <v>1.03493137</v>
      </c>
      <c r="GO16">
        <v>1.01284061</v>
      </c>
      <c r="GP16">
        <v>1.06978667</v>
      </c>
      <c r="GQ16">
        <f t="shared" si="3"/>
        <v>1.03918621666667</v>
      </c>
    </row>
    <row r="17" spans="1:199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O17">
        <v>60</v>
      </c>
      <c r="P17">
        <v>1.11093633</v>
      </c>
      <c r="Q17">
        <v>1.65607886</v>
      </c>
      <c r="R17">
        <v>0.79640808</v>
      </c>
      <c r="S17">
        <v>1.43513978</v>
      </c>
      <c r="T17">
        <v>1.34255093</v>
      </c>
      <c r="U17">
        <v>2.2500495</v>
      </c>
      <c r="V17">
        <v>2.10694536</v>
      </c>
      <c r="W17">
        <v>3.23786947</v>
      </c>
      <c r="X17">
        <v>3.028721</v>
      </c>
      <c r="Y17">
        <v>5.46447326</v>
      </c>
      <c r="Z17">
        <v>4.28630797</v>
      </c>
      <c r="AA17">
        <v>7.43696272</v>
      </c>
      <c r="AC17">
        <v>60</v>
      </c>
      <c r="AD17">
        <v>0.90702206</v>
      </c>
      <c r="AE17">
        <v>1.53170612</v>
      </c>
      <c r="AF17">
        <v>0.96578251</v>
      </c>
      <c r="AG17">
        <v>1.60820074</v>
      </c>
      <c r="AH17">
        <v>1.48911498</v>
      </c>
      <c r="AI17">
        <v>3.03192523</v>
      </c>
      <c r="AJ17">
        <v>1.54289056</v>
      </c>
      <c r="AK17">
        <v>2.95303082</v>
      </c>
      <c r="AL17">
        <v>2.75198188</v>
      </c>
      <c r="AM17">
        <v>5.65360244</v>
      </c>
      <c r="AN17">
        <v>3.92555587</v>
      </c>
      <c r="AO17">
        <v>7.9693657</v>
      </c>
      <c r="AR17">
        <f t="shared" si="21"/>
        <v>2.4390243902439</v>
      </c>
      <c r="AT17">
        <f t="shared" si="26"/>
        <v>4.26032969969636</v>
      </c>
      <c r="AU17">
        <f t="shared" si="27"/>
        <v>4.28780487804878</v>
      </c>
      <c r="BB17">
        <f t="shared" si="28"/>
        <v>-2.94039898134948</v>
      </c>
      <c r="BD17">
        <f t="shared" si="29"/>
        <v>4.41279829334063</v>
      </c>
      <c r="BE17">
        <f t="shared" si="30"/>
        <v>4.41804878048781</v>
      </c>
      <c r="BJ17">
        <v>0.675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CC17">
        <v>0.675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0.81</v>
      </c>
      <c r="CM17">
        <v>0</v>
      </c>
      <c r="CN17">
        <v>0</v>
      </c>
      <c r="CO17">
        <v>0.81</v>
      </c>
      <c r="CP17">
        <v>0</v>
      </c>
      <c r="CQ17">
        <v>0</v>
      </c>
      <c r="CS17">
        <v>0.675</v>
      </c>
      <c r="CT17">
        <v>0</v>
      </c>
      <c r="CU17">
        <v>0</v>
      </c>
      <c r="CV17">
        <v>0</v>
      </c>
      <c r="CW17">
        <v>0</v>
      </c>
      <c r="CX17">
        <v>0.81</v>
      </c>
      <c r="CY17">
        <v>0</v>
      </c>
      <c r="CZ17">
        <v>0</v>
      </c>
      <c r="DA17">
        <v>0.675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N17">
        <v>410</v>
      </c>
      <c r="DO17">
        <f t="shared" si="22"/>
        <v>0.881057268722467</v>
      </c>
      <c r="DP17">
        <f t="shared" si="23"/>
        <v>0.00776261910768693</v>
      </c>
      <c r="DQ17">
        <f t="shared" si="24"/>
        <v>0.862068965517241</v>
      </c>
      <c r="DR17">
        <f t="shared" si="25"/>
        <v>0.00743162901307967</v>
      </c>
      <c r="DX17">
        <v>6.89202432</v>
      </c>
      <c r="DY17">
        <v>1.00598566</v>
      </c>
      <c r="DZ17">
        <v>1.00026759</v>
      </c>
      <c r="EA17">
        <v>1.01781615</v>
      </c>
      <c r="EB17">
        <f t="shared" si="11"/>
        <v>1.00802313333333</v>
      </c>
      <c r="EC17">
        <v>7.99680361</v>
      </c>
      <c r="ED17">
        <v>1.03736462</v>
      </c>
      <c r="EE17">
        <v>0.96114249</v>
      </c>
      <c r="EF17">
        <v>0.98446545</v>
      </c>
      <c r="EG17">
        <f t="shared" si="12"/>
        <v>0.994324186666667</v>
      </c>
      <c r="EH17">
        <v>8.03689058</v>
      </c>
      <c r="EI17">
        <v>1.08033874</v>
      </c>
      <c r="EJ17">
        <v>1.04920603</v>
      </c>
      <c r="EK17">
        <v>0.97729625</v>
      </c>
      <c r="EL17">
        <f t="shared" si="13"/>
        <v>1.03561367333333</v>
      </c>
      <c r="EM17">
        <v>8.0532881</v>
      </c>
      <c r="EN17">
        <v>1.03871667</v>
      </c>
      <c r="EO17">
        <v>1.02367506</v>
      </c>
      <c r="EP17">
        <v>0.97500106</v>
      </c>
      <c r="EQ17">
        <f t="shared" si="14"/>
        <v>1.01246426333333</v>
      </c>
      <c r="ER17">
        <v>8.09861685</v>
      </c>
      <c r="ES17">
        <v>1.06474374</v>
      </c>
      <c r="ET17">
        <v>1.03026633</v>
      </c>
      <c r="EU17">
        <v>1.04446291</v>
      </c>
      <c r="EV17">
        <f t="shared" si="15"/>
        <v>1.04649099333333</v>
      </c>
      <c r="EW17">
        <v>8.14505707</v>
      </c>
      <c r="EX17">
        <v>1.06051857</v>
      </c>
      <c r="EY17">
        <v>1.03432249</v>
      </c>
      <c r="EZ17">
        <v>1.11375576</v>
      </c>
      <c r="FA17">
        <f t="shared" si="16"/>
        <v>1.06953227333333</v>
      </c>
      <c r="FG17">
        <v>7.36733634</v>
      </c>
      <c r="FH17">
        <v>1.04537672</v>
      </c>
      <c r="FI17">
        <v>0.92326466</v>
      </c>
      <c r="FJ17">
        <v>0.97087077</v>
      </c>
      <c r="FK17">
        <f t="shared" si="0"/>
        <v>0.979837383333333</v>
      </c>
      <c r="FM17">
        <v>8.60868728</v>
      </c>
      <c r="FN17">
        <v>1.02337585</v>
      </c>
      <c r="FO17">
        <v>1.02794912</v>
      </c>
      <c r="FP17">
        <v>0.8826662</v>
      </c>
      <c r="FQ17">
        <f t="shared" si="1"/>
        <v>0.977997056666667</v>
      </c>
      <c r="FS17">
        <v>8.65714215</v>
      </c>
      <c r="FT17">
        <v>1.04594524</v>
      </c>
      <c r="FU17">
        <v>1.05336142</v>
      </c>
      <c r="FV17">
        <v>0.95932241</v>
      </c>
      <c r="FW17">
        <f t="shared" si="2"/>
        <v>1.01954302333333</v>
      </c>
      <c r="GM17">
        <v>8.70678514</v>
      </c>
      <c r="GN17">
        <v>1.08363484</v>
      </c>
      <c r="GO17">
        <v>1.00074025</v>
      </c>
      <c r="GP17">
        <v>1.02005272</v>
      </c>
      <c r="GQ17">
        <f t="shared" si="3"/>
        <v>1.03480927</v>
      </c>
    </row>
    <row r="18" spans="1:199">
      <c r="O18">
        <v>65</v>
      </c>
      <c r="P18">
        <v>1.19889093</v>
      </c>
      <c r="Q18">
        <v>1.70617906</v>
      </c>
      <c r="R18">
        <v>0.80019173</v>
      </c>
      <c r="S18">
        <v>1.49130146</v>
      </c>
      <c r="T18">
        <v>1.40024755</v>
      </c>
      <c r="U18">
        <v>2.33820693</v>
      </c>
      <c r="V18">
        <v>2.20105906</v>
      </c>
      <c r="W18">
        <v>3.45910381</v>
      </c>
      <c r="X18">
        <v>3.22046661</v>
      </c>
      <c r="Y18">
        <v>5.77410238</v>
      </c>
      <c r="Z18">
        <v>4.36435984</v>
      </c>
      <c r="AA18">
        <v>7.66980029</v>
      </c>
      <c r="AC18">
        <v>65</v>
      </c>
      <c r="AD18">
        <v>0.96512556</v>
      </c>
      <c r="AE18">
        <v>1.61728547</v>
      </c>
      <c r="AF18">
        <v>0.98195433</v>
      </c>
      <c r="AG18">
        <v>1.65595249</v>
      </c>
      <c r="AH18">
        <v>1.56548615</v>
      </c>
      <c r="AI18">
        <v>3.17945089</v>
      </c>
      <c r="AJ18">
        <v>1.60788502</v>
      </c>
      <c r="AK18">
        <v>3.10378794</v>
      </c>
      <c r="AL18">
        <v>2.88008533</v>
      </c>
      <c r="AM18">
        <v>5.97471371</v>
      </c>
      <c r="AN18">
        <v>4.17732655</v>
      </c>
      <c r="AO18">
        <v>8.35446897</v>
      </c>
      <c r="BJ18">
        <v>0.725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CC18">
        <v>0.725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0.87</v>
      </c>
      <c r="CM18">
        <v>0</v>
      </c>
      <c r="CN18">
        <v>0</v>
      </c>
      <c r="CO18">
        <v>0.87</v>
      </c>
      <c r="CP18">
        <v>0</v>
      </c>
      <c r="CQ18">
        <v>0</v>
      </c>
      <c r="CS18">
        <v>0.725</v>
      </c>
      <c r="CT18">
        <v>0</v>
      </c>
      <c r="CU18">
        <v>0</v>
      </c>
      <c r="CV18">
        <v>0</v>
      </c>
      <c r="CW18">
        <v>0</v>
      </c>
      <c r="CX18">
        <v>0.87</v>
      </c>
      <c r="CY18">
        <v>0</v>
      </c>
      <c r="CZ18">
        <v>0</v>
      </c>
      <c r="DA18">
        <v>0.725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X18">
        <v>7.36733634</v>
      </c>
      <c r="DY18">
        <v>1.04522344</v>
      </c>
      <c r="DZ18">
        <v>0.96556484</v>
      </c>
      <c r="EA18">
        <v>0.97384618</v>
      </c>
      <c r="EB18">
        <f t="shared" si="11"/>
        <v>0.994878153333333</v>
      </c>
      <c r="EC18">
        <v>8.54830731</v>
      </c>
      <c r="ED18">
        <v>1.07674324</v>
      </c>
      <c r="EE18">
        <v>1.02215399</v>
      </c>
      <c r="EF18">
        <v>0.93832655</v>
      </c>
      <c r="EG18">
        <f t="shared" si="12"/>
        <v>1.01240792666667</v>
      </c>
      <c r="EH18">
        <v>8.5911589</v>
      </c>
      <c r="EI18">
        <v>1.04209965</v>
      </c>
      <c r="EJ18">
        <v>1.09945828</v>
      </c>
      <c r="EK18">
        <v>1.01875012</v>
      </c>
      <c r="EL18">
        <f t="shared" si="13"/>
        <v>1.05343601666667</v>
      </c>
      <c r="EM18">
        <v>8.60868728</v>
      </c>
      <c r="EN18">
        <v>1.05020915</v>
      </c>
      <c r="EO18">
        <v>1.03280143</v>
      </c>
      <c r="EP18">
        <v>0.9102714</v>
      </c>
      <c r="EQ18">
        <f t="shared" si="14"/>
        <v>0.99776066</v>
      </c>
      <c r="ER18">
        <v>8.65714215</v>
      </c>
      <c r="ES18">
        <v>1.06271566</v>
      </c>
      <c r="ET18">
        <v>1.05815247</v>
      </c>
      <c r="EU18">
        <v>1.00339422</v>
      </c>
      <c r="EV18">
        <f t="shared" si="15"/>
        <v>1.04142078333333</v>
      </c>
      <c r="EW18">
        <v>8.70678514</v>
      </c>
      <c r="EX18">
        <v>1.09431996</v>
      </c>
      <c r="EY18">
        <v>1.03229441</v>
      </c>
      <c r="EZ18">
        <v>1.07268707</v>
      </c>
      <c r="FA18">
        <f t="shared" si="16"/>
        <v>1.06643381333333</v>
      </c>
      <c r="FG18">
        <v>7.84264836</v>
      </c>
      <c r="FH18">
        <v>1.08019626</v>
      </c>
      <c r="FI18">
        <v>1.03567049</v>
      </c>
      <c r="FJ18">
        <v>0.91188582</v>
      </c>
      <c r="FK18">
        <f t="shared" si="0"/>
        <v>1.00925085666667</v>
      </c>
      <c r="FM18">
        <v>9.16408646</v>
      </c>
      <c r="FN18">
        <v>0.97139926</v>
      </c>
      <c r="FO18">
        <v>1.02370828</v>
      </c>
      <c r="FP18">
        <v>0.93238272</v>
      </c>
      <c r="FQ18">
        <f t="shared" si="1"/>
        <v>0.975830086666667</v>
      </c>
      <c r="FS18">
        <v>9.21566745</v>
      </c>
      <c r="FT18">
        <v>0.9877515</v>
      </c>
      <c r="FU18">
        <v>1.06716248</v>
      </c>
      <c r="FV18">
        <v>0.98090124</v>
      </c>
      <c r="FW18">
        <f t="shared" si="2"/>
        <v>1.01193840666667</v>
      </c>
      <c r="GM18">
        <v>9.26851322</v>
      </c>
      <c r="GN18">
        <v>1.06924228</v>
      </c>
      <c r="GO18">
        <v>0.98659175</v>
      </c>
      <c r="GP18">
        <v>1.00065406</v>
      </c>
      <c r="GQ18">
        <f t="shared" si="3"/>
        <v>1.01882936333333</v>
      </c>
    </row>
    <row r="19" spans="1:199">
      <c r="O19">
        <v>70</v>
      </c>
      <c r="P19">
        <v>1.22490459</v>
      </c>
      <c r="Q19">
        <v>1.76168922</v>
      </c>
      <c r="R19">
        <v>0.83746424</v>
      </c>
      <c r="S19">
        <v>1.53582015</v>
      </c>
      <c r="T19">
        <v>1.44903744</v>
      </c>
      <c r="U19">
        <v>2.40144961</v>
      </c>
      <c r="V19">
        <v>2.27985866</v>
      </c>
      <c r="W19">
        <v>3.61984166</v>
      </c>
      <c r="X19">
        <v>3.35083341</v>
      </c>
      <c r="Y19">
        <v>6.03914664</v>
      </c>
      <c r="Z19">
        <v>4.51910296</v>
      </c>
      <c r="AA19">
        <v>7.91749309</v>
      </c>
      <c r="AC19">
        <v>70</v>
      </c>
      <c r="AD19">
        <v>0.99708621</v>
      </c>
      <c r="AE19">
        <v>1.67862602</v>
      </c>
      <c r="AF19">
        <v>0.97512026</v>
      </c>
      <c r="AG19">
        <v>1.68327032</v>
      </c>
      <c r="AH19">
        <v>1.6262153</v>
      </c>
      <c r="AI19">
        <v>3.35059891</v>
      </c>
      <c r="AJ19">
        <v>1.63158291</v>
      </c>
      <c r="AK19">
        <v>3.15795512</v>
      </c>
      <c r="AL19">
        <v>2.99593119</v>
      </c>
      <c r="AM19">
        <v>6.26044502</v>
      </c>
      <c r="AN19">
        <v>4.3456654</v>
      </c>
      <c r="AO19">
        <v>8.69492992</v>
      </c>
      <c r="BJ19">
        <v>0.775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CC19">
        <v>0.775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0.93</v>
      </c>
      <c r="CM19">
        <v>0</v>
      </c>
      <c r="CN19">
        <v>0</v>
      </c>
      <c r="CO19">
        <v>0.93</v>
      </c>
      <c r="CP19">
        <v>0</v>
      </c>
      <c r="CQ19">
        <v>0</v>
      </c>
      <c r="CS19">
        <v>0.775</v>
      </c>
      <c r="CT19">
        <v>0</v>
      </c>
      <c r="CU19">
        <v>0</v>
      </c>
      <c r="CV19">
        <v>0</v>
      </c>
      <c r="CW19">
        <v>0</v>
      </c>
      <c r="CX19">
        <v>0.93</v>
      </c>
      <c r="CY19">
        <v>0</v>
      </c>
      <c r="CZ19">
        <v>0</v>
      </c>
      <c r="DA19">
        <v>0.775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X19">
        <v>7.84264836</v>
      </c>
      <c r="DY19">
        <v>1.04423757</v>
      </c>
      <c r="DZ19">
        <v>1.02274552</v>
      </c>
      <c r="EA19">
        <v>0.9103559</v>
      </c>
      <c r="EB19">
        <f t="shared" si="11"/>
        <v>0.99244633</v>
      </c>
      <c r="EC19">
        <v>9.099811</v>
      </c>
      <c r="ED19">
        <v>1.07927834</v>
      </c>
      <c r="EE19">
        <v>1.06761686</v>
      </c>
      <c r="EF19">
        <v>0.91263749</v>
      </c>
      <c r="EG19">
        <f t="shared" si="12"/>
        <v>1.01984423</v>
      </c>
      <c r="EH19">
        <v>9.14542721</v>
      </c>
      <c r="EI19">
        <v>1.06138839</v>
      </c>
      <c r="EJ19">
        <v>1.06494158</v>
      </c>
      <c r="EK19">
        <v>0.98744822</v>
      </c>
      <c r="EL19">
        <f t="shared" si="13"/>
        <v>1.03792606333333</v>
      </c>
      <c r="EM19">
        <v>9.16408646</v>
      </c>
      <c r="EN19">
        <v>1.0197879</v>
      </c>
      <c r="EO19">
        <v>1.03381547</v>
      </c>
      <c r="EP19">
        <v>0.94626988</v>
      </c>
      <c r="EQ19">
        <f t="shared" si="14"/>
        <v>0.99995775</v>
      </c>
      <c r="ER19">
        <v>9.21566745</v>
      </c>
      <c r="ES19">
        <v>1.05223723</v>
      </c>
      <c r="ET19">
        <v>1.05798347</v>
      </c>
      <c r="EU19">
        <v>0.99511288</v>
      </c>
      <c r="EV19">
        <f t="shared" si="15"/>
        <v>1.03511119333333</v>
      </c>
      <c r="EW19">
        <v>9.26851322</v>
      </c>
      <c r="EX19">
        <v>1.09922116</v>
      </c>
      <c r="EY19">
        <v>1.0272242</v>
      </c>
      <c r="EZ19">
        <v>1.03550554</v>
      </c>
      <c r="FA19">
        <f t="shared" si="16"/>
        <v>1.05398363333333</v>
      </c>
      <c r="FG19">
        <v>8.31796038</v>
      </c>
      <c r="FH19">
        <v>1.13117891</v>
      </c>
      <c r="FI19">
        <v>1.08060633</v>
      </c>
      <c r="FJ19">
        <v>0.90327729</v>
      </c>
      <c r="FK19">
        <f t="shared" si="0"/>
        <v>1.03835417666667</v>
      </c>
      <c r="FM19">
        <v>9.71948564</v>
      </c>
      <c r="FN19">
        <v>0.98697446</v>
      </c>
      <c r="FO19">
        <v>0.9884433</v>
      </c>
      <c r="FP19">
        <v>0.95334959</v>
      </c>
      <c r="FQ19">
        <f t="shared" si="1"/>
        <v>0.976255783333333</v>
      </c>
      <c r="FS19">
        <v>9.77419275</v>
      </c>
      <c r="FT19">
        <v>1.00557681</v>
      </c>
      <c r="FU19">
        <v>1.02024835</v>
      </c>
      <c r="FV19">
        <v>0.9016184</v>
      </c>
      <c r="FW19">
        <f t="shared" si="2"/>
        <v>0.97581452</v>
      </c>
      <c r="GM19">
        <v>9.83024129</v>
      </c>
      <c r="GN19">
        <v>1.07863592</v>
      </c>
      <c r="GO19">
        <v>1.02995529</v>
      </c>
      <c r="GP19">
        <v>0.95025511</v>
      </c>
      <c r="GQ19">
        <f t="shared" si="3"/>
        <v>1.01961544</v>
      </c>
    </row>
    <row r="20" spans="1:199">
      <c r="O20">
        <v>75</v>
      </c>
      <c r="P20">
        <v>1.25498947</v>
      </c>
      <c r="Q20">
        <v>1.82603066</v>
      </c>
      <c r="R20">
        <v>0.83961132</v>
      </c>
      <c r="S20">
        <v>1.58738856</v>
      </c>
      <c r="T20">
        <v>1.49073022</v>
      </c>
      <c r="U20">
        <v>2.52113966</v>
      </c>
      <c r="V20">
        <v>2.35394096</v>
      </c>
      <c r="W20">
        <v>3.81644433</v>
      </c>
      <c r="X20">
        <v>3.50742753</v>
      </c>
      <c r="Y20">
        <v>6.26599681</v>
      </c>
      <c r="Z20">
        <v>4.63530173</v>
      </c>
      <c r="AA20">
        <v>8.19298371</v>
      </c>
      <c r="AC20">
        <v>75</v>
      </c>
      <c r="AD20">
        <v>1.01321374</v>
      </c>
      <c r="AE20">
        <v>1.71863045</v>
      </c>
      <c r="AF20">
        <v>0.9945721</v>
      </c>
      <c r="AG20">
        <v>1.71525655</v>
      </c>
      <c r="AH20">
        <v>1.6684282</v>
      </c>
      <c r="AI20">
        <v>3.48963447</v>
      </c>
      <c r="AJ20">
        <v>1.70241185</v>
      </c>
      <c r="AK20">
        <v>3.27386227</v>
      </c>
      <c r="AL20">
        <v>3.17439883</v>
      </c>
      <c r="AM20">
        <v>6.58170961</v>
      </c>
      <c r="AN20">
        <v>4.52868366</v>
      </c>
      <c r="AO20">
        <v>9.03952042</v>
      </c>
      <c r="AR20" t="s">
        <v>149</v>
      </c>
      <c r="AS20" s="6" t="s">
        <v>63</v>
      </c>
      <c r="AT20" s="6"/>
      <c r="AU20" s="6"/>
      <c r="AV20" s="6"/>
      <c r="AW20" s="6"/>
      <c r="AX20" s="6"/>
      <c r="AY20" s="6"/>
      <c r="AZ20" s="6"/>
      <c r="BA20" s="6"/>
      <c r="BB20" s="6"/>
      <c r="BC20" s="7" t="s">
        <v>64</v>
      </c>
      <c r="BD20" s="7"/>
      <c r="BE20" s="7"/>
      <c r="BJ20">
        <v>0.825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CC20">
        <v>0.825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0.99</v>
      </c>
      <c r="CM20">
        <v>0</v>
      </c>
      <c r="CN20">
        <v>0</v>
      </c>
      <c r="CO20">
        <v>0.99</v>
      </c>
      <c r="CP20">
        <v>0</v>
      </c>
      <c r="CQ20">
        <v>0</v>
      </c>
      <c r="CS20">
        <v>0.825</v>
      </c>
      <c r="CT20">
        <v>0</v>
      </c>
      <c r="CU20">
        <v>0</v>
      </c>
      <c r="CV20">
        <v>0</v>
      </c>
      <c r="CW20">
        <v>0</v>
      </c>
      <c r="CX20">
        <v>0.99</v>
      </c>
      <c r="CY20">
        <v>0</v>
      </c>
      <c r="CZ20">
        <v>0</v>
      </c>
      <c r="DA20">
        <v>0.825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X20">
        <v>8.31796038</v>
      </c>
      <c r="DY20">
        <v>1.09412278</v>
      </c>
      <c r="DZ20">
        <v>1.09589736</v>
      </c>
      <c r="EA20">
        <v>0.88472318</v>
      </c>
      <c r="EB20">
        <f t="shared" si="11"/>
        <v>1.02491444</v>
      </c>
      <c r="EC20">
        <v>9.6513147</v>
      </c>
      <c r="ED20">
        <v>1.02891427</v>
      </c>
      <c r="EE20">
        <v>1.04835007</v>
      </c>
      <c r="EF20">
        <v>0.89793389</v>
      </c>
      <c r="EG20">
        <f t="shared" si="12"/>
        <v>0.991732743333333</v>
      </c>
      <c r="EH20">
        <v>9.69969553</v>
      </c>
      <c r="EI20">
        <v>1.11299424</v>
      </c>
      <c r="EJ20">
        <v>1.06155759</v>
      </c>
      <c r="EK20">
        <v>0.96342189</v>
      </c>
      <c r="EL20">
        <f t="shared" si="13"/>
        <v>1.04599124</v>
      </c>
      <c r="EM20">
        <v>9.71948564</v>
      </c>
      <c r="EN20">
        <v>1.03178739</v>
      </c>
      <c r="EO20">
        <v>0.98919764</v>
      </c>
      <c r="EP20">
        <v>0.93545343</v>
      </c>
      <c r="EQ20">
        <f t="shared" si="14"/>
        <v>0.985479486666667</v>
      </c>
      <c r="ER20">
        <v>9.77419275</v>
      </c>
      <c r="ES20">
        <v>1.04006873</v>
      </c>
      <c r="ET20">
        <v>1.04395589</v>
      </c>
      <c r="EU20">
        <v>0.95353717</v>
      </c>
      <c r="EV20">
        <f t="shared" si="15"/>
        <v>1.01252059666667</v>
      </c>
      <c r="EW20">
        <v>9.83024129</v>
      </c>
      <c r="EX20">
        <v>1.10800952</v>
      </c>
      <c r="EY20">
        <v>1.04530794</v>
      </c>
      <c r="EZ20">
        <v>0.99646494</v>
      </c>
      <c r="FA20">
        <f t="shared" si="16"/>
        <v>1.04992746666667</v>
      </c>
      <c r="FG20">
        <v>8.7932724</v>
      </c>
      <c r="FH20">
        <v>1.13270156</v>
      </c>
      <c r="FI20">
        <v>1.18817155</v>
      </c>
      <c r="FJ20">
        <v>0.9497143</v>
      </c>
      <c r="FK20">
        <f t="shared" si="0"/>
        <v>1.09019580333333</v>
      </c>
      <c r="FM20">
        <v>10.27488481</v>
      </c>
      <c r="FN20">
        <v>0.96838755</v>
      </c>
      <c r="FO20">
        <v>1.01416646</v>
      </c>
      <c r="FP20">
        <v>1.02406907</v>
      </c>
      <c r="FQ20">
        <f t="shared" si="1"/>
        <v>1.00220769333333</v>
      </c>
      <c r="FS20">
        <v>10.33271805</v>
      </c>
      <c r="FT20">
        <v>0.9714132</v>
      </c>
      <c r="FU20">
        <v>0.98713909</v>
      </c>
      <c r="FV20">
        <v>0.85756467</v>
      </c>
      <c r="FW20">
        <f t="shared" si="2"/>
        <v>0.938705653333333</v>
      </c>
      <c r="GM20">
        <v>10.39196936</v>
      </c>
      <c r="GN20">
        <v>1.01289189</v>
      </c>
      <c r="GO20">
        <v>0.97800065</v>
      </c>
      <c r="GP20">
        <v>0.91520794</v>
      </c>
      <c r="GQ20">
        <f t="shared" si="3"/>
        <v>0.96870016</v>
      </c>
    </row>
    <row r="21" spans="1:199">
      <c r="O21">
        <v>80</v>
      </c>
      <c r="P21">
        <v>1.30545611</v>
      </c>
      <c r="Q21">
        <v>1.8685128</v>
      </c>
      <c r="R21">
        <v>0.87360379</v>
      </c>
      <c r="S21">
        <v>1.65817649</v>
      </c>
      <c r="T21">
        <v>1.55714069</v>
      </c>
      <c r="U21">
        <v>2.61606416</v>
      </c>
      <c r="V21">
        <v>2.44339127</v>
      </c>
      <c r="W21">
        <v>3.89441524</v>
      </c>
      <c r="X21">
        <v>3.65846509</v>
      </c>
      <c r="Y21">
        <v>6.56366932</v>
      </c>
      <c r="Z21">
        <v>4.78570058</v>
      </c>
      <c r="AA21">
        <v>8.36431791</v>
      </c>
      <c r="AC21">
        <v>80</v>
      </c>
      <c r="AD21">
        <v>1.04233493</v>
      </c>
      <c r="AE21">
        <v>1.76009528</v>
      </c>
      <c r="AF21">
        <v>1.03306997</v>
      </c>
      <c r="AG21">
        <v>1.79244204</v>
      </c>
      <c r="AH21">
        <v>1.75212893</v>
      </c>
      <c r="AI21">
        <v>3.72525591</v>
      </c>
      <c r="AJ21">
        <v>1.71941578</v>
      </c>
      <c r="AK21">
        <v>3.36405194</v>
      </c>
      <c r="AL21">
        <v>3.32509931</v>
      </c>
      <c r="AM21">
        <v>6.8146517</v>
      </c>
      <c r="AN21">
        <v>4.70989162</v>
      </c>
      <c r="AO21">
        <v>9.34824302</v>
      </c>
      <c r="AR21" t="s">
        <v>128</v>
      </c>
      <c r="AS21" t="s">
        <v>80</v>
      </c>
      <c r="AT21" t="s">
        <v>81</v>
      </c>
      <c r="AU21" t="s">
        <v>82</v>
      </c>
      <c r="AV21" t="s">
        <v>83</v>
      </c>
      <c r="AW21" t="s">
        <v>84</v>
      </c>
      <c r="AX21" t="s">
        <v>85</v>
      </c>
      <c r="AY21" t="s">
        <v>86</v>
      </c>
      <c r="AZ21" t="s">
        <v>87</v>
      </c>
      <c r="BA21" t="s">
        <v>88</v>
      </c>
      <c r="BB21" t="s">
        <v>89</v>
      </c>
      <c r="BC21" t="s">
        <v>80</v>
      </c>
      <c r="BD21" t="s">
        <v>81</v>
      </c>
      <c r="BE21" t="s">
        <v>82</v>
      </c>
      <c r="BF21" t="s">
        <v>90</v>
      </c>
      <c r="BJ21">
        <v>0.875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CC21">
        <v>0.875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1.05</v>
      </c>
      <c r="CM21">
        <v>0</v>
      </c>
      <c r="CN21">
        <v>0</v>
      </c>
      <c r="CO21">
        <v>1.05</v>
      </c>
      <c r="CP21">
        <v>0</v>
      </c>
      <c r="CQ21">
        <v>0</v>
      </c>
      <c r="CS21">
        <v>0.875</v>
      </c>
      <c r="CT21">
        <v>0</v>
      </c>
      <c r="CU21">
        <v>0</v>
      </c>
      <c r="CV21">
        <v>0</v>
      </c>
      <c r="CW21">
        <v>0</v>
      </c>
      <c r="CX21">
        <v>1.05</v>
      </c>
      <c r="CY21">
        <v>0</v>
      </c>
      <c r="CZ21">
        <v>0</v>
      </c>
      <c r="DA21">
        <v>0.875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X21">
        <v>8.7932724</v>
      </c>
      <c r="DY21">
        <v>1.09826345</v>
      </c>
      <c r="DZ21">
        <v>1.13612101</v>
      </c>
      <c r="EA21">
        <v>0.93401687</v>
      </c>
      <c r="EB21">
        <f t="shared" si="11"/>
        <v>1.05613377666667</v>
      </c>
      <c r="EC21">
        <v>10.2028184</v>
      </c>
      <c r="ED21">
        <v>1.04750503</v>
      </c>
      <c r="EE21">
        <v>1.00085912</v>
      </c>
      <c r="EF21">
        <v>0.86869569</v>
      </c>
      <c r="EG21">
        <f t="shared" si="12"/>
        <v>0.97235328</v>
      </c>
      <c r="EH21">
        <v>10.25396384</v>
      </c>
      <c r="EI21">
        <v>1.06781798</v>
      </c>
      <c r="EJ21">
        <v>1.01418174</v>
      </c>
      <c r="EK21">
        <v>0.98423343</v>
      </c>
      <c r="EL21">
        <f t="shared" si="13"/>
        <v>1.02207771666667</v>
      </c>
      <c r="EM21">
        <v>10.27488481</v>
      </c>
      <c r="EN21">
        <v>1.02283002</v>
      </c>
      <c r="EO21">
        <v>1.00238018</v>
      </c>
      <c r="EP21">
        <v>0.98953565</v>
      </c>
      <c r="EQ21">
        <f t="shared" si="14"/>
        <v>1.00491528333333</v>
      </c>
      <c r="ER21">
        <v>10.33271805</v>
      </c>
      <c r="ES21">
        <v>1.04395589</v>
      </c>
      <c r="ET21">
        <v>1.04040674</v>
      </c>
      <c r="EU21">
        <v>0.89370872</v>
      </c>
      <c r="EV21">
        <f t="shared" si="15"/>
        <v>0.99269045</v>
      </c>
      <c r="EW21">
        <v>10.39196936</v>
      </c>
      <c r="EX21">
        <v>1.06339169</v>
      </c>
      <c r="EY21">
        <v>1.0319564</v>
      </c>
      <c r="EZ21">
        <v>0.96976184</v>
      </c>
      <c r="FA21">
        <f t="shared" si="16"/>
        <v>1.02170331</v>
      </c>
      <c r="FG21">
        <v>9.26858443</v>
      </c>
      <c r="FH21">
        <v>1.09855997</v>
      </c>
      <c r="FI21">
        <v>1.15060837</v>
      </c>
      <c r="FJ21">
        <v>0.87399329</v>
      </c>
      <c r="FK21">
        <f t="shared" si="0"/>
        <v>1.04105387666667</v>
      </c>
      <c r="FM21">
        <v>10.83028399</v>
      </c>
      <c r="FN21">
        <v>1.06138968</v>
      </c>
      <c r="FO21">
        <v>1.00510968</v>
      </c>
      <c r="FP21">
        <v>0.98424123</v>
      </c>
      <c r="FQ21">
        <f t="shared" si="1"/>
        <v>1.01691353</v>
      </c>
      <c r="FS21">
        <v>10.89124335</v>
      </c>
      <c r="FT21">
        <v>0.96258958</v>
      </c>
      <c r="FU21">
        <v>0.96288599</v>
      </c>
      <c r="FV21">
        <v>0.86897627</v>
      </c>
      <c r="FW21">
        <f t="shared" si="2"/>
        <v>0.931483946666667</v>
      </c>
      <c r="GM21">
        <v>10.95369744</v>
      </c>
      <c r="GN21">
        <v>0.99203909</v>
      </c>
      <c r="GO21">
        <v>0.98759617</v>
      </c>
      <c r="GP21">
        <v>0.88213393</v>
      </c>
      <c r="GQ21">
        <f t="shared" si="3"/>
        <v>0.953923063333333</v>
      </c>
    </row>
    <row r="22" spans="1:199">
      <c r="O22">
        <v>85</v>
      </c>
      <c r="P22">
        <v>1.34024642</v>
      </c>
      <c r="Q22">
        <v>1.90036805</v>
      </c>
      <c r="R22">
        <v>0.84141703</v>
      </c>
      <c r="S22">
        <v>1.68887142</v>
      </c>
      <c r="T22">
        <v>1.60676247</v>
      </c>
      <c r="U22">
        <v>2.73642278</v>
      </c>
      <c r="V22">
        <v>2.55239011</v>
      </c>
      <c r="W22">
        <v>4.04058861</v>
      </c>
      <c r="X22">
        <v>3.8083758</v>
      </c>
      <c r="Y22">
        <v>6.90072897</v>
      </c>
      <c r="Z22">
        <v>4.86059178</v>
      </c>
      <c r="AA22">
        <v>8.666149</v>
      </c>
      <c r="AC22">
        <v>85</v>
      </c>
      <c r="AD22">
        <v>1.07015997</v>
      </c>
      <c r="AE22">
        <v>1.84192691</v>
      </c>
      <c r="AF22">
        <v>1.05750773</v>
      </c>
      <c r="AG22">
        <v>1.85260653</v>
      </c>
      <c r="AH22">
        <v>1.78166944</v>
      </c>
      <c r="AI22">
        <v>3.86248061</v>
      </c>
      <c r="AJ22">
        <v>1.79282649</v>
      </c>
      <c r="AK22">
        <v>3.47171602</v>
      </c>
      <c r="AL22">
        <v>3.40475022</v>
      </c>
      <c r="AM22">
        <v>7.0814825</v>
      </c>
      <c r="AN22">
        <v>4.90310465</v>
      </c>
      <c r="AO22">
        <v>9.61181195</v>
      </c>
      <c r="AR22">
        <v>298</v>
      </c>
      <c r="AS22">
        <v>0.0046</v>
      </c>
      <c r="AT22">
        <f>AS22/6*10000</f>
        <v>7.66666666666667</v>
      </c>
      <c r="AU22">
        <v>0.989</v>
      </c>
      <c r="AV22">
        <v>10</v>
      </c>
      <c r="AW22" s="5">
        <v>32.417126</v>
      </c>
      <c r="AX22" s="5">
        <f>AW22^3*10^-30</f>
        <v>3.4066187083051e-26</v>
      </c>
      <c r="AY22" s="5">
        <f>AV22/AX22</f>
        <v>2.93546206847884e+26</v>
      </c>
      <c r="AZ22" s="9">
        <v>2.567e-38</v>
      </c>
      <c r="BA22" s="5">
        <f>1.3806E-23*298</f>
        <v>4.114188e-21</v>
      </c>
      <c r="BB22" s="10">
        <f>AY22*AZ22*AT22/BA22*0.00000000000001</f>
        <v>0.000140418648819693</v>
      </c>
      <c r="BC22">
        <v>0.009525</v>
      </c>
      <c r="BD22">
        <f>BC22/6*10000</f>
        <v>15.875</v>
      </c>
      <c r="BE22">
        <v>0.9977</v>
      </c>
      <c r="BF22">
        <f>AT22/(AT22+BD22)</f>
        <v>0.325663716814159</v>
      </c>
      <c r="BG22" s="5" t="s">
        <v>135</v>
      </c>
      <c r="BJ22">
        <v>0.925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CC22">
        <v>0.925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1.11</v>
      </c>
      <c r="CM22">
        <v>0</v>
      </c>
      <c r="CN22">
        <v>0</v>
      </c>
      <c r="CO22">
        <v>1.11</v>
      </c>
      <c r="CP22">
        <v>0</v>
      </c>
      <c r="CQ22">
        <v>0</v>
      </c>
      <c r="CS22">
        <v>0.925</v>
      </c>
      <c r="CT22">
        <v>0</v>
      </c>
      <c r="CU22">
        <v>0</v>
      </c>
      <c r="CV22">
        <v>0</v>
      </c>
      <c r="CW22">
        <v>0</v>
      </c>
      <c r="CX22">
        <v>1.11</v>
      </c>
      <c r="CY22">
        <v>0</v>
      </c>
      <c r="CZ22">
        <v>0</v>
      </c>
      <c r="DA22">
        <v>0.925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X22">
        <v>9.26858443</v>
      </c>
      <c r="DY22">
        <v>1.09017929</v>
      </c>
      <c r="DZ22">
        <v>1.08170077</v>
      </c>
      <c r="EA22">
        <v>0.9079898</v>
      </c>
      <c r="EB22">
        <f t="shared" si="11"/>
        <v>1.02662328666667</v>
      </c>
      <c r="EC22">
        <v>10.7543221</v>
      </c>
      <c r="ED22">
        <v>1.06947594</v>
      </c>
      <c r="EE22">
        <v>0.98632452</v>
      </c>
      <c r="EF22">
        <v>0.87765306</v>
      </c>
      <c r="EG22">
        <f t="shared" si="12"/>
        <v>0.97781784</v>
      </c>
      <c r="EH22">
        <v>10.80823216</v>
      </c>
      <c r="EI22">
        <v>1.04396085</v>
      </c>
      <c r="EJ22">
        <v>0.96815948</v>
      </c>
      <c r="EK22">
        <v>0.91130845</v>
      </c>
      <c r="EL22">
        <f t="shared" si="13"/>
        <v>0.97447626</v>
      </c>
      <c r="EM22">
        <v>10.83028399</v>
      </c>
      <c r="EN22">
        <v>1.06187063</v>
      </c>
      <c r="EO22">
        <v>0.99105672</v>
      </c>
      <c r="EP22">
        <v>0.98057829</v>
      </c>
      <c r="EQ22">
        <f t="shared" si="14"/>
        <v>1.01116854666667</v>
      </c>
      <c r="ER22">
        <v>10.89124335</v>
      </c>
      <c r="ES22">
        <v>1.00694337</v>
      </c>
      <c r="ET22">
        <v>1.04632199</v>
      </c>
      <c r="EU22">
        <v>0.92091883</v>
      </c>
      <c r="EV22">
        <f t="shared" si="15"/>
        <v>0.99139473</v>
      </c>
      <c r="EW22">
        <v>10.95369744</v>
      </c>
      <c r="EX22">
        <v>1.05088517</v>
      </c>
      <c r="EY22">
        <v>1.02367506</v>
      </c>
      <c r="EZ22">
        <v>0.9469459</v>
      </c>
      <c r="FA22">
        <f t="shared" si="16"/>
        <v>1.00716871</v>
      </c>
      <c r="FG22">
        <v>9.74389645</v>
      </c>
      <c r="FH22">
        <v>1.00136971</v>
      </c>
      <c r="FI22">
        <v>1.06059106</v>
      </c>
      <c r="FJ22">
        <v>0.81456304</v>
      </c>
      <c r="FK22">
        <f t="shared" si="0"/>
        <v>0.95884127</v>
      </c>
      <c r="FM22">
        <v>11.38568317</v>
      </c>
      <c r="FN22">
        <v>1.10820578</v>
      </c>
      <c r="FO22">
        <v>0.94484428</v>
      </c>
      <c r="FP22">
        <v>0.93524778</v>
      </c>
      <c r="FQ22">
        <f t="shared" si="1"/>
        <v>0.99609928</v>
      </c>
      <c r="FS22">
        <v>11.44976865</v>
      </c>
      <c r="FT22">
        <v>1.00242074</v>
      </c>
      <c r="FU22">
        <v>0.97401175</v>
      </c>
      <c r="FV22">
        <v>0.85802808</v>
      </c>
      <c r="FW22">
        <f t="shared" si="2"/>
        <v>0.94482019</v>
      </c>
      <c r="GM22">
        <v>11.51542551</v>
      </c>
      <c r="GN22">
        <v>0.97570928</v>
      </c>
      <c r="GO22">
        <v>0.96688835</v>
      </c>
      <c r="GP22">
        <v>0.89315938</v>
      </c>
      <c r="GQ22">
        <f t="shared" si="3"/>
        <v>0.945252336666667</v>
      </c>
    </row>
    <row r="23" spans="1:199">
      <c r="O23">
        <v>90</v>
      </c>
      <c r="P23">
        <v>1.39846556</v>
      </c>
      <c r="Q23">
        <v>1.96409289</v>
      </c>
      <c r="R23">
        <v>0.86609471</v>
      </c>
      <c r="S23">
        <v>1.72332388</v>
      </c>
      <c r="T23">
        <v>1.64394432</v>
      </c>
      <c r="U23">
        <v>2.7880011</v>
      </c>
      <c r="V23">
        <v>2.66673186</v>
      </c>
      <c r="W23">
        <v>4.14354913</v>
      </c>
      <c r="X23">
        <v>3.96680686</v>
      </c>
      <c r="Y23">
        <v>7.17718531</v>
      </c>
      <c r="Z23">
        <v>5.00062156</v>
      </c>
      <c r="AA23">
        <v>8.94117805</v>
      </c>
      <c r="AC23">
        <v>90</v>
      </c>
      <c r="AD23">
        <v>1.11835428</v>
      </c>
      <c r="AE23">
        <v>1.88775423</v>
      </c>
      <c r="AF23">
        <v>1.07303547</v>
      </c>
      <c r="AG23">
        <v>1.84853606</v>
      </c>
      <c r="AH23">
        <v>1.80324812</v>
      </c>
      <c r="AI23">
        <v>3.99256655</v>
      </c>
      <c r="AJ23">
        <v>1.84570011</v>
      </c>
      <c r="AK23">
        <v>3.64792756</v>
      </c>
      <c r="AL23">
        <v>3.5342788</v>
      </c>
      <c r="AM23">
        <v>7.32454463</v>
      </c>
      <c r="AN23">
        <v>5.07060812</v>
      </c>
      <c r="AO23">
        <v>9.92288338</v>
      </c>
      <c r="AR23">
        <v>320</v>
      </c>
      <c r="AS23">
        <v>0.002042</v>
      </c>
      <c r="AT23">
        <f t="shared" ref="AT23:AT27" si="31">AS23/6*10000</f>
        <v>3.40333333333333</v>
      </c>
      <c r="AU23">
        <v>0.8892</v>
      </c>
      <c r="AV23">
        <v>10</v>
      </c>
      <c r="AW23" s="5">
        <v>32.485035</v>
      </c>
      <c r="AX23" s="5">
        <f t="shared" ref="AX23:AX27" si="32">AW23^3*10^-30</f>
        <v>3.4280726488143e-26</v>
      </c>
      <c r="AY23" s="5">
        <f t="shared" ref="AY23:AY27" si="33">AV23/AX23</f>
        <v>2.91709103757144e+26</v>
      </c>
      <c r="AZ23" s="9">
        <v>2.567e-38</v>
      </c>
      <c r="BA23" s="5">
        <f t="shared" ref="BA23:BA27" si="34">1.3806E-23*298</f>
        <v>4.114188e-21</v>
      </c>
      <c r="BB23" s="10">
        <f t="shared" ref="BB23:BB27" si="35">AY23*AZ23*AT23/BA23*0.00000000000001</f>
        <v>6.19435663449528e-5</v>
      </c>
      <c r="BC23">
        <v>0.004412</v>
      </c>
      <c r="BD23">
        <f t="shared" ref="BD23:BD27" si="36">BC23/6*10000</f>
        <v>7.35333333333333</v>
      </c>
      <c r="BE23">
        <v>0.9673</v>
      </c>
      <c r="BF23">
        <f t="shared" ref="BF23:BF27" si="37">AT23/(AT23+BD23)</f>
        <v>0.316392934614193</v>
      </c>
      <c r="BG23" s="5"/>
      <c r="BJ23">
        <v>0.975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CC23">
        <v>0.975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1.17</v>
      </c>
      <c r="CM23">
        <v>0</v>
      </c>
      <c r="CN23">
        <v>0</v>
      </c>
      <c r="CO23">
        <v>1.17</v>
      </c>
      <c r="CP23">
        <v>0</v>
      </c>
      <c r="CQ23">
        <v>0</v>
      </c>
      <c r="CS23">
        <v>0.975</v>
      </c>
      <c r="CT23">
        <v>0</v>
      </c>
      <c r="CU23">
        <v>0</v>
      </c>
      <c r="CV23">
        <v>0</v>
      </c>
      <c r="CW23">
        <v>0</v>
      </c>
      <c r="CX23">
        <v>1.17</v>
      </c>
      <c r="CY23">
        <v>0</v>
      </c>
      <c r="CZ23">
        <v>0</v>
      </c>
      <c r="DA23">
        <v>0.975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X23">
        <v>9.74389645</v>
      </c>
      <c r="DY23">
        <v>1.0604059</v>
      </c>
      <c r="DZ23">
        <v>1.04463192</v>
      </c>
      <c r="EA23">
        <v>0.86283678</v>
      </c>
      <c r="EB23">
        <f t="shared" si="11"/>
        <v>0.989291533333333</v>
      </c>
      <c r="EC23">
        <v>11.30582579</v>
      </c>
      <c r="ED23">
        <v>1.07995437</v>
      </c>
      <c r="EE23">
        <v>1.0052533</v>
      </c>
      <c r="EF23">
        <v>0.88661042</v>
      </c>
      <c r="EG23">
        <f t="shared" si="12"/>
        <v>0.99060603</v>
      </c>
      <c r="EH23">
        <v>11.36250048</v>
      </c>
      <c r="EI23">
        <v>1.06731038</v>
      </c>
      <c r="EJ23">
        <v>0.98575622</v>
      </c>
      <c r="EK23">
        <v>0.90166408</v>
      </c>
      <c r="EL23">
        <f t="shared" si="13"/>
        <v>0.984910226666667</v>
      </c>
      <c r="EM23">
        <v>11.38568317</v>
      </c>
      <c r="EN23">
        <v>1.08417954</v>
      </c>
      <c r="EO23">
        <v>0.93849556</v>
      </c>
      <c r="EP23">
        <v>0.97973325</v>
      </c>
      <c r="EQ23">
        <f t="shared" si="14"/>
        <v>1.00080278333333</v>
      </c>
      <c r="ER23">
        <v>11.44976865</v>
      </c>
      <c r="ES23">
        <v>1.01877385</v>
      </c>
      <c r="ET23">
        <v>1.03178739</v>
      </c>
      <c r="EU23">
        <v>0.90875033</v>
      </c>
      <c r="EV23">
        <f t="shared" si="15"/>
        <v>0.98643719</v>
      </c>
      <c r="EW23">
        <v>11.51542551</v>
      </c>
      <c r="EX23">
        <v>1.02739321</v>
      </c>
      <c r="EY23">
        <v>1.0126896</v>
      </c>
      <c r="EZ23">
        <v>0.94119967</v>
      </c>
      <c r="FA23">
        <f t="shared" si="16"/>
        <v>0.993760826666667</v>
      </c>
      <c r="FG23">
        <v>10.21920847</v>
      </c>
      <c r="FH23">
        <v>0.97720944</v>
      </c>
      <c r="FI23">
        <v>0.98424694</v>
      </c>
      <c r="FJ23">
        <v>0.78859015</v>
      </c>
      <c r="FK23">
        <f t="shared" si="0"/>
        <v>0.916682176666667</v>
      </c>
      <c r="FM23">
        <v>11.94108235</v>
      </c>
      <c r="FN23">
        <v>1.10107981</v>
      </c>
      <c r="FO23">
        <v>0.8816325</v>
      </c>
      <c r="FP23">
        <v>0.81450021</v>
      </c>
      <c r="FQ23">
        <f t="shared" si="1"/>
        <v>0.932404173333333</v>
      </c>
      <c r="FS23">
        <v>12.00829395</v>
      </c>
      <c r="FT23">
        <v>1.04480516</v>
      </c>
      <c r="FU23">
        <v>0.99694845</v>
      </c>
      <c r="FV23">
        <v>0.86784979</v>
      </c>
      <c r="FW23">
        <f t="shared" si="2"/>
        <v>0.9698678</v>
      </c>
      <c r="GM23">
        <v>12.07715359</v>
      </c>
      <c r="GN23">
        <v>0.97210465</v>
      </c>
      <c r="GO23">
        <v>0.95499283</v>
      </c>
      <c r="GP23">
        <v>0.87374077</v>
      </c>
      <c r="GQ23">
        <f t="shared" si="3"/>
        <v>0.93361275</v>
      </c>
    </row>
    <row r="24" spans="1:199">
      <c r="A24" s="17">
        <v>298</v>
      </c>
      <c r="B24" s="17">
        <v>32.417126</v>
      </c>
      <c r="C24" s="20">
        <v>1.218</v>
      </c>
      <c r="D24" s="20">
        <v>33.047235</v>
      </c>
      <c r="E24" s="20">
        <v>1.238</v>
      </c>
      <c r="F24" s="17" t="s">
        <v>20</v>
      </c>
      <c r="G24" s="17" t="s">
        <v>42</v>
      </c>
      <c r="H24" s="17" t="s">
        <v>70</v>
      </c>
      <c r="I24" s="17" t="s">
        <v>43</v>
      </c>
      <c r="J24" s="17" t="s">
        <v>21</v>
      </c>
      <c r="K24" s="17" t="s">
        <v>14</v>
      </c>
      <c r="L24" s="17" t="s">
        <v>22</v>
      </c>
      <c r="M24" s="23" t="s">
        <v>7</v>
      </c>
      <c r="N24" s="17" t="s">
        <v>44</v>
      </c>
      <c r="O24">
        <v>95</v>
      </c>
      <c r="P24">
        <v>1.43701888</v>
      </c>
      <c r="Q24">
        <v>2.01880927</v>
      </c>
      <c r="R24">
        <v>0.88170239</v>
      </c>
      <c r="S24">
        <v>1.77435417</v>
      </c>
      <c r="T24">
        <v>1.69662905</v>
      </c>
      <c r="U24">
        <v>2.89631489</v>
      </c>
      <c r="V24">
        <v>2.80032057</v>
      </c>
      <c r="W24">
        <v>4.31193727</v>
      </c>
      <c r="X24">
        <v>4.10512056</v>
      </c>
      <c r="Y24">
        <v>7.36824281</v>
      </c>
      <c r="Z24">
        <v>5.21577856</v>
      </c>
      <c r="AA24">
        <v>9.1829464</v>
      </c>
      <c r="AC24">
        <v>95</v>
      </c>
      <c r="AD24">
        <v>1.14065788</v>
      </c>
      <c r="AE24">
        <v>1.95083444</v>
      </c>
      <c r="AF24">
        <v>1.07617082</v>
      </c>
      <c r="AG24">
        <v>1.84260718</v>
      </c>
      <c r="AH24">
        <v>1.87548174</v>
      </c>
      <c r="AI24">
        <v>4.12255515</v>
      </c>
      <c r="AJ24">
        <v>1.86064769</v>
      </c>
      <c r="AK24">
        <v>3.69956897</v>
      </c>
      <c r="AL24">
        <v>3.65397786</v>
      </c>
      <c r="AM24">
        <v>7.49227166</v>
      </c>
      <c r="AN24">
        <v>5.27705777</v>
      </c>
      <c r="AO24">
        <v>10.22804585</v>
      </c>
      <c r="AR24">
        <v>340</v>
      </c>
      <c r="AS24">
        <v>0.005824</v>
      </c>
      <c r="AT24">
        <f t="shared" si="31"/>
        <v>9.70666666666667</v>
      </c>
      <c r="AU24">
        <v>0.9756</v>
      </c>
      <c r="AV24">
        <v>10</v>
      </c>
      <c r="AW24" s="5">
        <v>32.549387</v>
      </c>
      <c r="AX24" s="5">
        <f t="shared" si="32"/>
        <v>3.44848579865961e-26</v>
      </c>
      <c r="AY24" s="5">
        <f t="shared" si="33"/>
        <v>2.89982345407567e+26</v>
      </c>
      <c r="AZ24" s="9">
        <v>2.567e-38</v>
      </c>
      <c r="BA24" s="5">
        <f t="shared" si="34"/>
        <v>4.114188e-21</v>
      </c>
      <c r="BB24" s="10">
        <f t="shared" si="35"/>
        <v>0.000175623816095706</v>
      </c>
      <c r="BC24">
        <v>0.01905</v>
      </c>
      <c r="BD24">
        <f t="shared" si="36"/>
        <v>31.75</v>
      </c>
      <c r="BE24">
        <v>0.9974</v>
      </c>
      <c r="BF24">
        <f t="shared" si="37"/>
        <v>0.234140065932299</v>
      </c>
      <c r="BG24" s="5"/>
      <c r="BJ24">
        <v>1.025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CC24">
        <v>1.025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1.23</v>
      </c>
      <c r="CM24">
        <v>0</v>
      </c>
      <c r="CN24">
        <v>0</v>
      </c>
      <c r="CO24">
        <v>1.23</v>
      </c>
      <c r="CP24">
        <v>0</v>
      </c>
      <c r="CQ24">
        <v>0</v>
      </c>
      <c r="CS24">
        <v>1.025</v>
      </c>
      <c r="CT24">
        <v>0</v>
      </c>
      <c r="CU24">
        <v>0</v>
      </c>
      <c r="CV24">
        <v>0</v>
      </c>
      <c r="CW24">
        <v>0</v>
      </c>
      <c r="CX24">
        <v>1.23</v>
      </c>
      <c r="CY24">
        <v>0</v>
      </c>
      <c r="CZ24">
        <v>0</v>
      </c>
      <c r="DA24">
        <v>1.025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X24">
        <v>10.21920847</v>
      </c>
      <c r="DY24">
        <v>1.06158895</v>
      </c>
      <c r="DZ24">
        <v>1.01702745</v>
      </c>
      <c r="EA24">
        <v>0.8283312</v>
      </c>
      <c r="EB24">
        <f t="shared" si="11"/>
        <v>0.968982533333333</v>
      </c>
      <c r="EC24">
        <v>11.85732949</v>
      </c>
      <c r="ED24">
        <v>1.04446291</v>
      </c>
      <c r="EE24">
        <v>1.00170415</v>
      </c>
      <c r="EF24">
        <v>0.92345394</v>
      </c>
      <c r="EG24">
        <f t="shared" si="12"/>
        <v>0.989873666666667</v>
      </c>
      <c r="EH24">
        <v>11.91676879</v>
      </c>
      <c r="EI24">
        <v>1.07407836</v>
      </c>
      <c r="EJ24">
        <v>0.94531755</v>
      </c>
      <c r="EK24">
        <v>0.90047968</v>
      </c>
      <c r="EL24">
        <f t="shared" si="13"/>
        <v>0.973291863333333</v>
      </c>
      <c r="EM24">
        <v>11.94108235</v>
      </c>
      <c r="EN24">
        <v>1.0978691</v>
      </c>
      <c r="EO24">
        <v>0.94136867</v>
      </c>
      <c r="EP24">
        <v>0.8981029</v>
      </c>
      <c r="EQ24">
        <f t="shared" si="14"/>
        <v>0.979113556666667</v>
      </c>
      <c r="ER24">
        <v>12.00829395</v>
      </c>
      <c r="ES24">
        <v>1.04851908</v>
      </c>
      <c r="ET24">
        <v>1.01083053</v>
      </c>
      <c r="EU24">
        <v>0.93072124</v>
      </c>
      <c r="EV24">
        <f t="shared" si="15"/>
        <v>0.996690283333333</v>
      </c>
      <c r="EW24">
        <v>12.07715359</v>
      </c>
      <c r="EX24">
        <v>1.03905469</v>
      </c>
      <c r="EY24">
        <v>0.98649353</v>
      </c>
      <c r="EZ24">
        <v>0.93494641</v>
      </c>
      <c r="FA24">
        <f t="shared" si="16"/>
        <v>0.986831543333333</v>
      </c>
      <c r="FG24">
        <v>10.69452049</v>
      </c>
      <c r="FH24">
        <v>0.96510975</v>
      </c>
      <c r="FI24">
        <v>1.03994197</v>
      </c>
      <c r="FJ24">
        <v>0.80080327</v>
      </c>
      <c r="FK24">
        <f t="shared" si="0"/>
        <v>0.935284996666667</v>
      </c>
      <c r="FM24">
        <v>12.49648153</v>
      </c>
      <c r="FN24">
        <v>1.0532188</v>
      </c>
      <c r="FO24">
        <v>0.85456478</v>
      </c>
      <c r="FP24">
        <v>0.81872145</v>
      </c>
      <c r="FQ24">
        <f t="shared" si="1"/>
        <v>0.90883501</v>
      </c>
      <c r="FS24">
        <v>12.56681925</v>
      </c>
      <c r="FT24">
        <v>1.01967971</v>
      </c>
      <c r="FU24">
        <v>0.98804681</v>
      </c>
      <c r="FV24">
        <v>0.85126767</v>
      </c>
      <c r="FW24">
        <f t="shared" si="2"/>
        <v>0.952998063333333</v>
      </c>
      <c r="GM24">
        <v>12.63888166</v>
      </c>
      <c r="GN24">
        <v>0.97700752</v>
      </c>
      <c r="GO24">
        <v>0.8817942</v>
      </c>
      <c r="GP24">
        <v>0.87069061</v>
      </c>
      <c r="GQ24">
        <f t="shared" si="3"/>
        <v>0.909830776666667</v>
      </c>
    </row>
    <row r="25" spans="1:199">
      <c r="A25" s="17">
        <v>320</v>
      </c>
      <c r="B25" s="17">
        <v>32.485035</v>
      </c>
      <c r="C25" s="20">
        <v>1.21</v>
      </c>
      <c r="D25" s="20">
        <v>33.036496</v>
      </c>
      <c r="E25" s="20">
        <v>1.24</v>
      </c>
      <c r="F25" s="17">
        <v>1020</v>
      </c>
      <c r="G25" s="17">
        <v>2010</v>
      </c>
      <c r="H25" s="17">
        <v>10</v>
      </c>
      <c r="I25" s="17">
        <v>10</v>
      </c>
      <c r="J25" s="17">
        <v>545</v>
      </c>
      <c r="K25" s="17">
        <v>60</v>
      </c>
      <c r="L25" s="17">
        <v>20</v>
      </c>
      <c r="N25" s="19">
        <v>24987.3</v>
      </c>
      <c r="O25">
        <v>100</v>
      </c>
      <c r="P25">
        <v>1.48149849</v>
      </c>
      <c r="Q25">
        <v>2.05312036</v>
      </c>
      <c r="R25">
        <v>0.89102204</v>
      </c>
      <c r="S25">
        <v>1.81008383</v>
      </c>
      <c r="T25">
        <v>1.73861088</v>
      </c>
      <c r="U25">
        <v>2.97524882</v>
      </c>
      <c r="V25">
        <v>2.90445196</v>
      </c>
      <c r="W25">
        <v>4.39352611</v>
      </c>
      <c r="X25">
        <v>4.20042803</v>
      </c>
      <c r="Y25">
        <v>7.53591935</v>
      </c>
      <c r="Z25">
        <v>5.39802626</v>
      </c>
      <c r="AA25">
        <v>9.43369284</v>
      </c>
      <c r="AC25">
        <v>100</v>
      </c>
      <c r="AD25">
        <v>1.18837038</v>
      </c>
      <c r="AE25">
        <v>2.02537332</v>
      </c>
      <c r="AF25">
        <v>1.1087061</v>
      </c>
      <c r="AG25">
        <v>1.89926234</v>
      </c>
      <c r="AH25">
        <v>1.98167064</v>
      </c>
      <c r="AI25">
        <v>4.27853133</v>
      </c>
      <c r="AJ25">
        <v>1.91154219</v>
      </c>
      <c r="AK25">
        <v>3.79155537</v>
      </c>
      <c r="AL25">
        <v>3.75550181</v>
      </c>
      <c r="AM25">
        <v>7.73366039</v>
      </c>
      <c r="AN25">
        <v>5.44813906</v>
      </c>
      <c r="AO25">
        <v>10.45616691</v>
      </c>
      <c r="AR25">
        <v>360</v>
      </c>
      <c r="AS25">
        <v>0.00805</v>
      </c>
      <c r="AT25">
        <f t="shared" si="31"/>
        <v>13.4166666666667</v>
      </c>
      <c r="AU25">
        <v>0.8816</v>
      </c>
      <c r="AV25">
        <v>10</v>
      </c>
      <c r="AW25" s="5">
        <v>32.767159</v>
      </c>
      <c r="AX25" s="5">
        <f t="shared" si="32"/>
        <v>3.5181663107738e-26</v>
      </c>
      <c r="AY25" s="5">
        <f t="shared" si="33"/>
        <v>2.84238978964032e+26</v>
      </c>
      <c r="AZ25" s="9">
        <v>2.567e-38</v>
      </c>
      <c r="BA25" s="5">
        <f t="shared" si="34"/>
        <v>4.114188e-21</v>
      </c>
      <c r="BB25" s="10">
        <f t="shared" si="35"/>
        <v>0.000237941393091233</v>
      </c>
      <c r="BC25">
        <v>0.01846</v>
      </c>
      <c r="BD25">
        <f t="shared" si="36"/>
        <v>30.7666666666667</v>
      </c>
      <c r="BE25">
        <v>0.9936</v>
      </c>
      <c r="BF25">
        <f t="shared" si="37"/>
        <v>0.303658996605055</v>
      </c>
      <c r="BG25" s="5"/>
      <c r="BJ25">
        <v>1.075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CC25">
        <v>1.075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1.29</v>
      </c>
      <c r="CM25">
        <v>0</v>
      </c>
      <c r="CN25">
        <v>0</v>
      </c>
      <c r="CO25">
        <v>1.29</v>
      </c>
      <c r="CP25">
        <v>0</v>
      </c>
      <c r="CQ25">
        <v>0</v>
      </c>
      <c r="CS25">
        <v>1.075</v>
      </c>
      <c r="CT25">
        <v>0</v>
      </c>
      <c r="CU25">
        <v>0</v>
      </c>
      <c r="CV25">
        <v>0</v>
      </c>
      <c r="CW25">
        <v>0</v>
      </c>
      <c r="CX25">
        <v>1.29</v>
      </c>
      <c r="CY25">
        <v>0</v>
      </c>
      <c r="CZ25">
        <v>0</v>
      </c>
      <c r="DA25">
        <v>1.075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X25">
        <v>10.69452049</v>
      </c>
      <c r="DY25">
        <v>1.06178612</v>
      </c>
      <c r="DZ25">
        <v>1.0572511</v>
      </c>
      <c r="EA25">
        <v>0.78022055</v>
      </c>
      <c r="EB25">
        <f t="shared" si="11"/>
        <v>0.966419256666667</v>
      </c>
      <c r="EC25">
        <v>12.40883319</v>
      </c>
      <c r="ED25">
        <v>1.04006873</v>
      </c>
      <c r="EE25">
        <v>0.9322423</v>
      </c>
      <c r="EF25">
        <v>0.95573426</v>
      </c>
      <c r="EG25">
        <f t="shared" si="12"/>
        <v>0.976015096666667</v>
      </c>
      <c r="EH25">
        <v>12.47103711</v>
      </c>
      <c r="EI25">
        <v>1.07492435</v>
      </c>
      <c r="EJ25">
        <v>0.91113925</v>
      </c>
      <c r="EK25">
        <v>0.9260288</v>
      </c>
      <c r="EL25">
        <f t="shared" si="13"/>
        <v>0.970697466666667</v>
      </c>
      <c r="EM25">
        <v>12.49648153</v>
      </c>
      <c r="EN25">
        <v>1.06744785</v>
      </c>
      <c r="EO25">
        <v>0.91551061</v>
      </c>
      <c r="EP25">
        <v>0.92514401</v>
      </c>
      <c r="EQ25">
        <f t="shared" si="14"/>
        <v>0.96936749</v>
      </c>
      <c r="ER25">
        <v>12.56681925</v>
      </c>
      <c r="ES25">
        <v>1.0368576</v>
      </c>
      <c r="ET25">
        <v>1.01133755</v>
      </c>
      <c r="EU25">
        <v>0.90368013</v>
      </c>
      <c r="EV25">
        <f t="shared" si="15"/>
        <v>0.983958426666667</v>
      </c>
      <c r="EW25">
        <v>12.63888166</v>
      </c>
      <c r="EX25">
        <v>1.03246342</v>
      </c>
      <c r="EY25">
        <v>0.9226089</v>
      </c>
      <c r="EZ25">
        <v>0.92142586</v>
      </c>
      <c r="FA25">
        <f t="shared" si="16"/>
        <v>0.958832726666667</v>
      </c>
      <c r="FG25">
        <v>11.16983251</v>
      </c>
      <c r="FH25">
        <v>1.08089989</v>
      </c>
      <c r="FI25">
        <v>1.06748172</v>
      </c>
      <c r="FJ25">
        <v>0.75371044</v>
      </c>
      <c r="FK25">
        <f t="shared" si="0"/>
        <v>0.967364016666667</v>
      </c>
      <c r="FM25">
        <v>13.05188071</v>
      </c>
      <c r="FN25">
        <v>1.03896537</v>
      </c>
      <c r="FO25">
        <v>0.88675996</v>
      </c>
      <c r="FP25">
        <v>0.9141943</v>
      </c>
      <c r="FQ25">
        <f t="shared" si="1"/>
        <v>0.946639876666667</v>
      </c>
      <c r="FS25">
        <v>13.12534455</v>
      </c>
      <c r="FT25">
        <v>1.01689997</v>
      </c>
      <c r="FU25">
        <v>1.02274885</v>
      </c>
      <c r="FV25">
        <v>0.89596867</v>
      </c>
      <c r="FW25">
        <f t="shared" si="2"/>
        <v>0.978539163333333</v>
      </c>
      <c r="GM25">
        <v>13.20060973</v>
      </c>
      <c r="GN25">
        <v>0.99138299</v>
      </c>
      <c r="GO25">
        <v>0.84974976</v>
      </c>
      <c r="GP25">
        <v>0.87346099</v>
      </c>
      <c r="GQ25">
        <f t="shared" si="3"/>
        <v>0.90486458</v>
      </c>
    </row>
    <row r="26" spans="1:199">
      <c r="A26" s="17">
        <v>340</v>
      </c>
      <c r="B26" s="17">
        <v>32.549387</v>
      </c>
      <c r="C26" s="20">
        <v>1.203</v>
      </c>
      <c r="D26" s="20">
        <v>33.205347</v>
      </c>
      <c r="E26" s="20">
        <v>1.221</v>
      </c>
      <c r="O26">
        <v>105</v>
      </c>
      <c r="P26">
        <v>1.52695761</v>
      </c>
      <c r="Q26">
        <v>2.11070259</v>
      </c>
      <c r="R26">
        <v>0.90009282</v>
      </c>
      <c r="S26">
        <v>1.85783755</v>
      </c>
      <c r="T26">
        <v>1.75811263</v>
      </c>
      <c r="U26">
        <v>3.04575192</v>
      </c>
      <c r="V26">
        <v>2.98692718</v>
      </c>
      <c r="W26">
        <v>4.54195552</v>
      </c>
      <c r="X26">
        <v>4.30453746</v>
      </c>
      <c r="Y26">
        <v>7.8573729</v>
      </c>
      <c r="Z26">
        <v>5.50848589</v>
      </c>
      <c r="AA26">
        <v>9.58297636</v>
      </c>
      <c r="AC26">
        <v>105</v>
      </c>
      <c r="AD26">
        <v>1.22949232</v>
      </c>
      <c r="AE26">
        <v>2.08515953</v>
      </c>
      <c r="AF26">
        <v>1.14348501</v>
      </c>
      <c r="AG26">
        <v>1.93150358</v>
      </c>
      <c r="AH26">
        <v>2.07705928</v>
      </c>
      <c r="AI26">
        <v>4.42506494</v>
      </c>
      <c r="AJ26">
        <v>1.95954888</v>
      </c>
      <c r="AK26">
        <v>3.94194926</v>
      </c>
      <c r="AL26">
        <v>3.87204916</v>
      </c>
      <c r="AM26">
        <v>7.90811277</v>
      </c>
      <c r="AN26">
        <v>5.55113355</v>
      </c>
      <c r="AO26">
        <v>10.68593821</v>
      </c>
      <c r="AR26">
        <v>380</v>
      </c>
      <c r="AS26">
        <v>0.02013</v>
      </c>
      <c r="AT26">
        <f t="shared" si="31"/>
        <v>33.55</v>
      </c>
      <c r="AU26">
        <v>0.9858</v>
      </c>
      <c r="AV26">
        <v>10</v>
      </c>
      <c r="AW26" s="5">
        <v>32.97151</v>
      </c>
      <c r="AX26" s="5">
        <f t="shared" si="32"/>
        <v>3.58440035032051e-26</v>
      </c>
      <c r="AY26" s="5">
        <f t="shared" si="33"/>
        <v>2.78986692965416e+26</v>
      </c>
      <c r="AZ26" s="9">
        <v>2.567e-38</v>
      </c>
      <c r="BA26" s="5">
        <f t="shared" si="34"/>
        <v>4.114188e-21</v>
      </c>
      <c r="BB26" s="10">
        <f t="shared" si="35"/>
        <v>0.000584006591586398</v>
      </c>
      <c r="BC26">
        <v>0.05113</v>
      </c>
      <c r="BD26">
        <f t="shared" si="36"/>
        <v>85.2166666666667</v>
      </c>
      <c r="BE26">
        <v>0.9965</v>
      </c>
      <c r="BF26">
        <f t="shared" si="37"/>
        <v>0.282486668537749</v>
      </c>
      <c r="BG26" s="5"/>
      <c r="BJ26">
        <v>1.125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CC26">
        <v>1.125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1.35</v>
      </c>
      <c r="CM26">
        <v>0</v>
      </c>
      <c r="CN26">
        <v>0</v>
      </c>
      <c r="CO26">
        <v>1.35</v>
      </c>
      <c r="CP26">
        <v>0</v>
      </c>
      <c r="CQ26">
        <v>0</v>
      </c>
      <c r="CS26">
        <v>1.125</v>
      </c>
      <c r="CT26">
        <v>0</v>
      </c>
      <c r="CU26">
        <v>0</v>
      </c>
      <c r="CV26">
        <v>0</v>
      </c>
      <c r="CW26">
        <v>0</v>
      </c>
      <c r="CX26">
        <v>1.35</v>
      </c>
      <c r="CY26">
        <v>0</v>
      </c>
      <c r="CZ26">
        <v>0</v>
      </c>
      <c r="DA26">
        <v>1.125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X26">
        <v>11.16983251</v>
      </c>
      <c r="DY26">
        <v>1.09629171</v>
      </c>
      <c r="DZ26">
        <v>1.04325169</v>
      </c>
      <c r="EA26">
        <v>0.7666155</v>
      </c>
      <c r="EB26">
        <f t="shared" si="11"/>
        <v>0.968719633333333</v>
      </c>
      <c r="EC26">
        <v>12.96033688</v>
      </c>
      <c r="ED26">
        <v>1.02536513</v>
      </c>
      <c r="EE26">
        <v>0.90452516</v>
      </c>
      <c r="EF26">
        <v>0.99122572</v>
      </c>
      <c r="EG26">
        <f t="shared" si="12"/>
        <v>0.973705336666667</v>
      </c>
      <c r="EH26">
        <v>13.02530542</v>
      </c>
      <c r="EI26">
        <v>1.06917157</v>
      </c>
      <c r="EJ26">
        <v>0.93567317</v>
      </c>
      <c r="EK26">
        <v>0.94734794</v>
      </c>
      <c r="EL26">
        <f t="shared" si="13"/>
        <v>0.984064226666667</v>
      </c>
      <c r="EM26">
        <v>13.05188071</v>
      </c>
      <c r="EN26">
        <v>1.02519612</v>
      </c>
      <c r="EO26">
        <v>0.92463699</v>
      </c>
      <c r="EP26">
        <v>0.94626988</v>
      </c>
      <c r="EQ26">
        <f t="shared" si="14"/>
        <v>0.965367663333333</v>
      </c>
      <c r="ER26">
        <v>13.12534455</v>
      </c>
      <c r="ES26">
        <v>1.02283002</v>
      </c>
      <c r="ET26">
        <v>1.01944988</v>
      </c>
      <c r="EU26">
        <v>0.9297072</v>
      </c>
      <c r="EV26">
        <f t="shared" si="15"/>
        <v>0.990662366666667</v>
      </c>
      <c r="EW26">
        <v>13.20060973</v>
      </c>
      <c r="EX26">
        <v>1.02299903</v>
      </c>
      <c r="EY26">
        <v>0.90131403</v>
      </c>
      <c r="EZ26">
        <v>0.9273411</v>
      </c>
      <c r="FA26">
        <f t="shared" si="16"/>
        <v>0.950551386666667</v>
      </c>
      <c r="FG26">
        <v>11.64514453</v>
      </c>
      <c r="FH26">
        <v>1.11488205</v>
      </c>
      <c r="FI26">
        <v>0.96576413</v>
      </c>
      <c r="FJ26">
        <v>0.75220632</v>
      </c>
      <c r="FK26">
        <f t="shared" si="0"/>
        <v>0.944284166666667</v>
      </c>
      <c r="FM26">
        <v>13.60727989</v>
      </c>
      <c r="FN26">
        <v>0.99607039</v>
      </c>
      <c r="FO26">
        <v>0.89987538</v>
      </c>
      <c r="FP26">
        <v>1.03060161</v>
      </c>
      <c r="FQ26">
        <f t="shared" si="1"/>
        <v>0.975515793333333</v>
      </c>
      <c r="FS26">
        <v>13.68386985</v>
      </c>
      <c r="FT26">
        <v>1.02873821</v>
      </c>
      <c r="FU26">
        <v>1.02447887</v>
      </c>
      <c r="FV26">
        <v>0.91701533</v>
      </c>
      <c r="FW26">
        <f t="shared" si="2"/>
        <v>0.99007747</v>
      </c>
      <c r="GM26">
        <v>13.76233781</v>
      </c>
      <c r="GN26">
        <v>1.01166553</v>
      </c>
      <c r="GO26">
        <v>0.84002981</v>
      </c>
      <c r="GP26">
        <v>0.84735219</v>
      </c>
      <c r="GQ26">
        <f t="shared" si="3"/>
        <v>0.89968251</v>
      </c>
    </row>
    <row r="27" spans="1:199">
      <c r="A27" s="17">
        <v>360</v>
      </c>
      <c r="B27" s="17">
        <v>32.767159</v>
      </c>
      <c r="C27" s="20">
        <v>1.179</v>
      </c>
      <c r="D27" s="20">
        <v>33.304079</v>
      </c>
      <c r="E27" s="20">
        <v>1.21</v>
      </c>
      <c r="O27">
        <v>110</v>
      </c>
      <c r="P27">
        <v>1.563678</v>
      </c>
      <c r="Q27">
        <v>2.16304744</v>
      </c>
      <c r="R27">
        <v>0.92390011</v>
      </c>
      <c r="S27">
        <v>1.9203761</v>
      </c>
      <c r="T27">
        <v>1.76569703</v>
      </c>
      <c r="U27">
        <v>3.09878784</v>
      </c>
      <c r="V27">
        <v>3.07624749</v>
      </c>
      <c r="W27">
        <v>4.64362936</v>
      </c>
      <c r="X27">
        <v>4.38945366</v>
      </c>
      <c r="Y27">
        <v>8.07670215</v>
      </c>
      <c r="Z27">
        <v>5.58699692</v>
      </c>
      <c r="AA27">
        <v>9.69314536</v>
      </c>
      <c r="AC27">
        <v>110</v>
      </c>
      <c r="AD27">
        <v>1.29215265</v>
      </c>
      <c r="AE27">
        <v>2.16385504</v>
      </c>
      <c r="AF27">
        <v>1.15116752</v>
      </c>
      <c r="AG27">
        <v>1.97325797</v>
      </c>
      <c r="AH27">
        <v>2.10733007</v>
      </c>
      <c r="AI27">
        <v>4.54934305</v>
      </c>
      <c r="AJ27">
        <v>2.029169</v>
      </c>
      <c r="AK27">
        <v>4.0481268</v>
      </c>
      <c r="AL27">
        <v>3.98334757</v>
      </c>
      <c r="AM27">
        <v>8.17040822</v>
      </c>
      <c r="AN27">
        <v>5.72874613</v>
      </c>
      <c r="AO27">
        <v>10.98214884</v>
      </c>
      <c r="AR27">
        <v>410</v>
      </c>
      <c r="AS27">
        <v>0.02286</v>
      </c>
      <c r="AT27">
        <f t="shared" si="31"/>
        <v>38.1</v>
      </c>
      <c r="AU27">
        <v>0.9895</v>
      </c>
      <c r="AV27">
        <v>10</v>
      </c>
      <c r="AW27" s="5">
        <v>33.187768</v>
      </c>
      <c r="AX27" s="5">
        <f t="shared" si="32"/>
        <v>3.65539351014635e-26</v>
      </c>
      <c r="AY27" s="5">
        <f t="shared" si="33"/>
        <v>2.7356835788658e+26</v>
      </c>
      <c r="AZ27" s="9">
        <v>2.567e-38</v>
      </c>
      <c r="BA27" s="5">
        <f t="shared" si="34"/>
        <v>4.114188e-21</v>
      </c>
      <c r="BB27" s="10">
        <f t="shared" si="35"/>
        <v>0.000650328182277374</v>
      </c>
      <c r="BC27">
        <v>0.05253</v>
      </c>
      <c r="BD27">
        <f t="shared" si="36"/>
        <v>87.55</v>
      </c>
      <c r="BE27">
        <v>0.9968</v>
      </c>
      <c r="BF27">
        <f t="shared" si="37"/>
        <v>0.303223239156387</v>
      </c>
      <c r="BG27" s="5"/>
      <c r="BJ27">
        <v>1.175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CC27">
        <v>1.175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1.41</v>
      </c>
      <c r="CM27">
        <v>0</v>
      </c>
      <c r="CN27">
        <v>0</v>
      </c>
      <c r="CO27">
        <v>1.41</v>
      </c>
      <c r="CP27">
        <v>0</v>
      </c>
      <c r="CQ27">
        <v>0</v>
      </c>
      <c r="CS27">
        <v>1.175</v>
      </c>
      <c r="CT27">
        <v>0</v>
      </c>
      <c r="CU27">
        <v>0</v>
      </c>
      <c r="CV27">
        <v>0</v>
      </c>
      <c r="CW27">
        <v>0</v>
      </c>
      <c r="CX27">
        <v>1.41</v>
      </c>
      <c r="CY27">
        <v>0</v>
      </c>
      <c r="CZ27">
        <v>0</v>
      </c>
      <c r="DA27">
        <v>1.175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X27">
        <v>11.64514453</v>
      </c>
      <c r="DY27">
        <v>1.08564427</v>
      </c>
      <c r="DZ27">
        <v>0.97857837</v>
      </c>
      <c r="EA27">
        <v>0.80624762</v>
      </c>
      <c r="EB27">
        <f t="shared" si="11"/>
        <v>0.95682342</v>
      </c>
      <c r="EC27">
        <v>13.51184058</v>
      </c>
      <c r="ED27">
        <v>1.03854767</v>
      </c>
      <c r="EE27">
        <v>0.89117361</v>
      </c>
      <c r="EF27">
        <v>1.04023774</v>
      </c>
      <c r="EG27">
        <f t="shared" si="12"/>
        <v>0.98998634</v>
      </c>
      <c r="EH27">
        <v>13.57957374</v>
      </c>
      <c r="EI27">
        <v>1.06544918</v>
      </c>
      <c r="EJ27">
        <v>0.97492746</v>
      </c>
      <c r="EK27">
        <v>0.98152624</v>
      </c>
      <c r="EL27">
        <f t="shared" si="13"/>
        <v>1.00730096</v>
      </c>
      <c r="EM27">
        <v>13.60727989</v>
      </c>
      <c r="EN27">
        <v>1.0248581</v>
      </c>
      <c r="EO27">
        <v>0.92159486</v>
      </c>
      <c r="EP27">
        <v>0.99950706</v>
      </c>
      <c r="EQ27">
        <f t="shared" si="14"/>
        <v>0.981986673333333</v>
      </c>
      <c r="ER27">
        <v>13.68386985</v>
      </c>
      <c r="ES27">
        <v>1.04344887</v>
      </c>
      <c r="ET27">
        <v>1.00694337</v>
      </c>
      <c r="EU27">
        <v>0.94221371</v>
      </c>
      <c r="EV27">
        <f t="shared" si="15"/>
        <v>0.997535316666667</v>
      </c>
      <c r="EW27">
        <v>13.76233781</v>
      </c>
      <c r="EX27">
        <v>1.02688619</v>
      </c>
      <c r="EY27">
        <v>0.89996197</v>
      </c>
      <c r="EZ27">
        <v>0.91331352</v>
      </c>
      <c r="FA27">
        <f t="shared" si="16"/>
        <v>0.94672056</v>
      </c>
      <c r="FG27">
        <v>12.12045656</v>
      </c>
      <c r="FH27">
        <v>1.06778063</v>
      </c>
      <c r="FI27">
        <v>0.89065553</v>
      </c>
      <c r="FJ27">
        <v>0.86534915</v>
      </c>
      <c r="FK27">
        <f t="shared" si="0"/>
        <v>0.94126177</v>
      </c>
      <c r="FM27">
        <v>14.16267907</v>
      </c>
      <c r="FN27">
        <v>1.02253007</v>
      </c>
      <c r="FO27">
        <v>0.99825783</v>
      </c>
      <c r="FP27">
        <v>1.07774217</v>
      </c>
      <c r="FQ27">
        <f t="shared" si="1"/>
        <v>1.03284335666667</v>
      </c>
      <c r="FS27">
        <v>14.24239515</v>
      </c>
      <c r="FT27">
        <v>0.94456223</v>
      </c>
      <c r="FU27">
        <v>0.96638011</v>
      </c>
      <c r="FV27">
        <v>0.97941254</v>
      </c>
      <c r="FW27">
        <f t="shared" si="2"/>
        <v>0.963451626666667</v>
      </c>
      <c r="GM27">
        <v>14.32406588</v>
      </c>
      <c r="GN27">
        <v>0.98486596</v>
      </c>
      <c r="GO27">
        <v>0.85195115</v>
      </c>
      <c r="GP27">
        <v>0.85659888</v>
      </c>
      <c r="GQ27">
        <f t="shared" si="3"/>
        <v>0.89780533</v>
      </c>
    </row>
    <row r="28" spans="1:199">
      <c r="A28" s="17">
        <v>380</v>
      </c>
      <c r="B28" s="17">
        <v>32.97151</v>
      </c>
      <c r="C28" s="20">
        <v>1.158</v>
      </c>
      <c r="D28" s="20">
        <v>33.510777</v>
      </c>
      <c r="E28" s="20">
        <v>1.188</v>
      </c>
      <c r="F28" s="22">
        <v>1092</v>
      </c>
      <c r="G28" s="22">
        <v>2050</v>
      </c>
      <c r="H28" s="22">
        <v>10</v>
      </c>
      <c r="I28" s="22">
        <v>10</v>
      </c>
      <c r="J28" s="22">
        <v>593</v>
      </c>
      <c r="K28" s="22">
        <v>60</v>
      </c>
      <c r="L28" s="22">
        <v>20</v>
      </c>
      <c r="M28" s="22">
        <v>4</v>
      </c>
      <c r="N28" s="22">
        <v>26914.6</v>
      </c>
      <c r="O28">
        <v>115</v>
      </c>
      <c r="P28">
        <v>1.5911655</v>
      </c>
      <c r="Q28">
        <v>2.17248929</v>
      </c>
      <c r="R28">
        <v>0.93412758</v>
      </c>
      <c r="S28">
        <v>1.94907269</v>
      </c>
      <c r="T28">
        <v>1.79096684</v>
      </c>
      <c r="U28">
        <v>3.19874089</v>
      </c>
      <c r="V28">
        <v>3.19988767</v>
      </c>
      <c r="W28">
        <v>4.80362856</v>
      </c>
      <c r="X28">
        <v>4.43809425</v>
      </c>
      <c r="Y28">
        <v>8.24261899</v>
      </c>
      <c r="Z28">
        <v>5.70727033</v>
      </c>
      <c r="AA28">
        <v>9.81858009</v>
      </c>
      <c r="AC28">
        <v>115</v>
      </c>
      <c r="AD28">
        <v>1.32886797</v>
      </c>
      <c r="AE28">
        <v>2.22882688</v>
      </c>
      <c r="AF28">
        <v>1.1697951</v>
      </c>
      <c r="AG28">
        <v>2.02608286</v>
      </c>
      <c r="AH28">
        <v>2.15100924</v>
      </c>
      <c r="AI28">
        <v>4.71699435</v>
      </c>
      <c r="AJ28">
        <v>2.11501354</v>
      </c>
      <c r="AK28">
        <v>4.19118497</v>
      </c>
      <c r="AL28">
        <v>4.07908064</v>
      </c>
      <c r="AM28">
        <v>8.36271648</v>
      </c>
      <c r="AN28">
        <v>5.84074816</v>
      </c>
      <c r="AO28">
        <v>11.26462836</v>
      </c>
      <c r="BJ28">
        <v>1.225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CC28">
        <v>1.225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1.47</v>
      </c>
      <c r="CM28">
        <v>0</v>
      </c>
      <c r="CN28">
        <v>0</v>
      </c>
      <c r="CO28">
        <v>1.47</v>
      </c>
      <c r="CP28">
        <v>0</v>
      </c>
      <c r="CQ28">
        <v>0</v>
      </c>
      <c r="CS28">
        <v>1.225</v>
      </c>
      <c r="CT28">
        <v>0</v>
      </c>
      <c r="CU28">
        <v>0</v>
      </c>
      <c r="CV28">
        <v>0</v>
      </c>
      <c r="CW28">
        <v>0</v>
      </c>
      <c r="CX28">
        <v>1.47</v>
      </c>
      <c r="CY28">
        <v>0</v>
      </c>
      <c r="CZ28">
        <v>0</v>
      </c>
      <c r="DA28">
        <v>1.225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X28">
        <v>12.12045656</v>
      </c>
      <c r="DY28">
        <v>1.08091207</v>
      </c>
      <c r="DZ28">
        <v>0.95156543</v>
      </c>
      <c r="EA28">
        <v>0.92238356</v>
      </c>
      <c r="EB28">
        <f t="shared" si="11"/>
        <v>0.984953686666667</v>
      </c>
      <c r="EC28">
        <v>14.06334428</v>
      </c>
      <c r="ED28">
        <v>1.0295903</v>
      </c>
      <c r="EE28">
        <v>0.94103066</v>
      </c>
      <c r="EF28">
        <v>1.06339169</v>
      </c>
      <c r="EG28">
        <f t="shared" si="12"/>
        <v>1.01133755</v>
      </c>
      <c r="EH28">
        <v>14.13384206</v>
      </c>
      <c r="EI28">
        <v>1.00386057</v>
      </c>
      <c r="EJ28">
        <v>0.97848064</v>
      </c>
      <c r="EK28">
        <v>1.01976532</v>
      </c>
      <c r="EL28">
        <f t="shared" si="13"/>
        <v>1.00070217666667</v>
      </c>
      <c r="EM28">
        <v>14.16267907</v>
      </c>
      <c r="EN28">
        <v>1.05325127</v>
      </c>
      <c r="EO28">
        <v>0.97517006</v>
      </c>
      <c r="EP28">
        <v>1.04091376</v>
      </c>
      <c r="EQ28">
        <f t="shared" si="14"/>
        <v>1.02311169666667</v>
      </c>
      <c r="ER28">
        <v>14.24239515</v>
      </c>
      <c r="ES28">
        <v>0.99173274</v>
      </c>
      <c r="ET28">
        <v>0.99257778</v>
      </c>
      <c r="EU28">
        <v>0.98395842</v>
      </c>
      <c r="EV28">
        <f t="shared" si="15"/>
        <v>0.98942298</v>
      </c>
      <c r="EW28">
        <v>14.32406588</v>
      </c>
      <c r="EX28">
        <v>1.03770263</v>
      </c>
      <c r="EY28">
        <v>0.90908835</v>
      </c>
      <c r="EZ28">
        <v>0.92531301</v>
      </c>
      <c r="FA28">
        <f t="shared" si="16"/>
        <v>0.957367996666667</v>
      </c>
      <c r="FG28">
        <v>12.59576858</v>
      </c>
      <c r="FH28">
        <v>1.11550511</v>
      </c>
      <c r="FI28">
        <v>0.87908328</v>
      </c>
      <c r="FJ28">
        <v>0.92626792</v>
      </c>
      <c r="FK28">
        <f t="shared" si="0"/>
        <v>0.97361877</v>
      </c>
      <c r="FM28">
        <v>14.71807825</v>
      </c>
      <c r="FN28">
        <v>1.02855859</v>
      </c>
      <c r="FO28">
        <v>1.04546527</v>
      </c>
      <c r="FP28">
        <v>1.07742247</v>
      </c>
      <c r="FQ28">
        <f t="shared" si="1"/>
        <v>1.05048211</v>
      </c>
      <c r="FS28">
        <v>14.80092045</v>
      </c>
      <c r="FT28">
        <v>0.97230131</v>
      </c>
      <c r="FU28">
        <v>0.95098648</v>
      </c>
      <c r="FV28">
        <v>1.02664105</v>
      </c>
      <c r="FW28">
        <f t="shared" si="2"/>
        <v>0.983309613333333</v>
      </c>
      <c r="GM28">
        <v>14.88579395</v>
      </c>
      <c r="GN28">
        <v>0.94505615</v>
      </c>
      <c r="GO28">
        <v>0.88570202</v>
      </c>
      <c r="GP28">
        <v>0.89624908</v>
      </c>
      <c r="GQ28">
        <f t="shared" si="3"/>
        <v>0.909002416666667</v>
      </c>
    </row>
    <row r="29" spans="1:199">
      <c r="A29" s="17">
        <v>410</v>
      </c>
      <c r="B29" s="20">
        <v>33.187768</v>
      </c>
      <c r="C29" s="20">
        <v>1.135</v>
      </c>
      <c r="D29" s="20">
        <v>33.774801</v>
      </c>
      <c r="E29" s="20">
        <v>1.16</v>
      </c>
      <c r="O29">
        <v>120</v>
      </c>
      <c r="P29">
        <v>1.63888004</v>
      </c>
      <c r="Q29">
        <v>2.24532989</v>
      </c>
      <c r="R29">
        <v>0.94328457</v>
      </c>
      <c r="S29">
        <v>1.98952772</v>
      </c>
      <c r="T29">
        <v>1.84892361</v>
      </c>
      <c r="U29">
        <v>3.28928394</v>
      </c>
      <c r="V29">
        <v>3.29936871</v>
      </c>
      <c r="W29">
        <v>4.97548297</v>
      </c>
      <c r="X29">
        <v>4.49011806</v>
      </c>
      <c r="Y29">
        <v>8.47252744</v>
      </c>
      <c r="Z29">
        <v>5.84020311</v>
      </c>
      <c r="AA29">
        <v>10.03658136</v>
      </c>
      <c r="AC29">
        <v>120</v>
      </c>
      <c r="AD29">
        <v>1.38376906</v>
      </c>
      <c r="AE29">
        <v>2.25638785</v>
      </c>
      <c r="AF29">
        <v>1.17397234</v>
      </c>
      <c r="AG29">
        <v>2.03404878</v>
      </c>
      <c r="AH29">
        <v>2.18077389</v>
      </c>
      <c r="AI29">
        <v>4.84393309</v>
      </c>
      <c r="AJ29">
        <v>2.16281377</v>
      </c>
      <c r="AK29">
        <v>4.30025689</v>
      </c>
      <c r="AL29">
        <v>4.1383792</v>
      </c>
      <c r="AM29">
        <v>8.44249887</v>
      </c>
      <c r="AN29">
        <v>6.10072416</v>
      </c>
      <c r="AO29">
        <v>11.59126603</v>
      </c>
      <c r="AR29" t="s">
        <v>144</v>
      </c>
      <c r="AT29" t="s">
        <v>145</v>
      </c>
      <c r="AU29" t="s">
        <v>150</v>
      </c>
      <c r="BB29" t="s">
        <v>147</v>
      </c>
      <c r="BD29" t="s">
        <v>145</v>
      </c>
      <c r="BE29" t="s">
        <v>151</v>
      </c>
      <c r="BJ29">
        <v>1.275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CC29">
        <v>1.275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1.53</v>
      </c>
      <c r="CM29">
        <v>0</v>
      </c>
      <c r="CN29">
        <v>0</v>
      </c>
      <c r="CO29">
        <v>1.53</v>
      </c>
      <c r="CP29">
        <v>0</v>
      </c>
      <c r="CQ29">
        <v>0</v>
      </c>
      <c r="CS29">
        <v>1.275</v>
      </c>
      <c r="CT29">
        <v>0</v>
      </c>
      <c r="CU29">
        <v>0</v>
      </c>
      <c r="CV29">
        <v>0</v>
      </c>
      <c r="CW29">
        <v>0</v>
      </c>
      <c r="CX29">
        <v>1.53</v>
      </c>
      <c r="CY29">
        <v>0</v>
      </c>
      <c r="CZ29">
        <v>0</v>
      </c>
      <c r="DA29">
        <v>1.275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X29">
        <v>12.59576858</v>
      </c>
      <c r="DY29">
        <v>1.08899624</v>
      </c>
      <c r="DZ29">
        <v>0.92770728</v>
      </c>
      <c r="EA29">
        <v>0.98390209</v>
      </c>
      <c r="EB29">
        <f t="shared" si="11"/>
        <v>1.00020187</v>
      </c>
      <c r="EC29">
        <v>14.61484798</v>
      </c>
      <c r="ED29">
        <v>0.99883104</v>
      </c>
      <c r="EE29">
        <v>1.0028872</v>
      </c>
      <c r="EF29">
        <v>1.00440826</v>
      </c>
      <c r="EG29">
        <f t="shared" si="12"/>
        <v>1.00204216666667</v>
      </c>
      <c r="EH29">
        <v>14.68811037</v>
      </c>
      <c r="EI29">
        <v>0.97881904</v>
      </c>
      <c r="EJ29">
        <v>1.00910575</v>
      </c>
      <c r="EK29">
        <v>1.00606016</v>
      </c>
      <c r="EL29">
        <f t="shared" si="13"/>
        <v>0.997994983333333</v>
      </c>
      <c r="EM29">
        <v>14.71807825</v>
      </c>
      <c r="EN29">
        <v>1.03347746</v>
      </c>
      <c r="EO29">
        <v>1.00694337</v>
      </c>
      <c r="EP29">
        <v>1.03516753</v>
      </c>
      <c r="EQ29">
        <f t="shared" si="14"/>
        <v>1.02519612</v>
      </c>
      <c r="ER29">
        <v>14.80092045</v>
      </c>
      <c r="ES29">
        <v>1.02367506</v>
      </c>
      <c r="ET29">
        <v>0.9834514</v>
      </c>
      <c r="EU29">
        <v>1.00711238</v>
      </c>
      <c r="EV29">
        <f t="shared" si="15"/>
        <v>1.00474628</v>
      </c>
      <c r="EW29">
        <v>14.88579395</v>
      </c>
      <c r="EX29">
        <v>0.99122572</v>
      </c>
      <c r="EY29">
        <v>0.93207329</v>
      </c>
      <c r="EZ29">
        <v>0.96012845</v>
      </c>
      <c r="FA29">
        <f t="shared" si="16"/>
        <v>0.961142486666667</v>
      </c>
      <c r="FG29">
        <v>13.0710806</v>
      </c>
      <c r="FH29">
        <v>1.13745212</v>
      </c>
      <c r="FI29">
        <v>0.93209524</v>
      </c>
      <c r="FJ29">
        <v>0.99744605</v>
      </c>
      <c r="FK29">
        <f t="shared" si="0"/>
        <v>1.02233113666667</v>
      </c>
      <c r="FM29">
        <v>15.27347743</v>
      </c>
      <c r="FN29">
        <v>1.00886665</v>
      </c>
      <c r="FO29">
        <v>1.0629279</v>
      </c>
      <c r="FP29">
        <v>1.04096563</v>
      </c>
      <c r="FQ29">
        <f t="shared" si="1"/>
        <v>1.03758672666667</v>
      </c>
      <c r="FS29">
        <v>15.35944575</v>
      </c>
      <c r="FT29">
        <v>0.93848427</v>
      </c>
      <c r="FU29">
        <v>0.92305403</v>
      </c>
      <c r="FV29">
        <v>0.99187253</v>
      </c>
      <c r="FW29">
        <f t="shared" si="2"/>
        <v>0.951136943333333</v>
      </c>
      <c r="GM29">
        <v>15.44752203</v>
      </c>
      <c r="GN29">
        <v>0.90371078</v>
      </c>
      <c r="GO29">
        <v>0.90788042</v>
      </c>
      <c r="GP29">
        <v>0.97263585</v>
      </c>
      <c r="GQ29">
        <f t="shared" si="3"/>
        <v>0.928075683333333</v>
      </c>
    </row>
    <row r="30" spans="1:199">
      <c r="O30">
        <v>125</v>
      </c>
      <c r="P30">
        <v>1.67924316</v>
      </c>
      <c r="Q30">
        <v>2.30379489</v>
      </c>
      <c r="R30">
        <v>0.94939174</v>
      </c>
      <c r="S30">
        <v>1.99255804</v>
      </c>
      <c r="T30">
        <v>1.89044762</v>
      </c>
      <c r="U30">
        <v>3.43161328</v>
      </c>
      <c r="V30">
        <v>3.4322078</v>
      </c>
      <c r="W30">
        <v>5.13436547</v>
      </c>
      <c r="X30">
        <v>4.57146165</v>
      </c>
      <c r="Y30">
        <v>8.67299987</v>
      </c>
      <c r="Z30">
        <v>5.98106701</v>
      </c>
      <c r="AA30">
        <v>10.23817571</v>
      </c>
      <c r="AC30">
        <v>125</v>
      </c>
      <c r="AD30">
        <v>1.38398166</v>
      </c>
      <c r="AE30">
        <v>2.35316029</v>
      </c>
      <c r="AF30">
        <v>1.19853114</v>
      </c>
      <c r="AG30">
        <v>2.06821273</v>
      </c>
      <c r="AH30">
        <v>2.19491668</v>
      </c>
      <c r="AI30">
        <v>4.9935108</v>
      </c>
      <c r="AJ30">
        <v>2.19618983</v>
      </c>
      <c r="AK30">
        <v>4.42200047</v>
      </c>
      <c r="AL30">
        <v>4.23297927</v>
      </c>
      <c r="AM30">
        <v>8.61341558</v>
      </c>
      <c r="AN30">
        <v>6.32870042</v>
      </c>
      <c r="AO30">
        <v>11.89558137</v>
      </c>
      <c r="AR30">
        <f>1/AR23*1000</f>
        <v>3.125</v>
      </c>
      <c r="AT30">
        <f>LN(AT23)</f>
        <v>1.22475534350846</v>
      </c>
      <c r="AU30">
        <f>12.65+AR30*-3.594</f>
        <v>1.41875</v>
      </c>
      <c r="BB30">
        <f>LOG10(BB22)</f>
        <v>-3.85257521028564</v>
      </c>
      <c r="BD30">
        <f>LN(BD23)</f>
        <v>1.99515372515725</v>
      </c>
      <c r="BE30">
        <f>13.37+AR30*-3.525</f>
        <v>2.354375</v>
      </c>
      <c r="BJ30">
        <v>1.325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CC30">
        <v>1.325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1.59</v>
      </c>
      <c r="CM30">
        <v>0</v>
      </c>
      <c r="CN30">
        <v>0</v>
      </c>
      <c r="CO30">
        <v>1.59</v>
      </c>
      <c r="CP30">
        <v>0</v>
      </c>
      <c r="CQ30">
        <v>0</v>
      </c>
      <c r="CS30">
        <v>1.325</v>
      </c>
      <c r="CT30">
        <v>0</v>
      </c>
      <c r="CU30">
        <v>0</v>
      </c>
      <c r="CV30">
        <v>0</v>
      </c>
      <c r="CW30">
        <v>0</v>
      </c>
      <c r="CX30">
        <v>1.59</v>
      </c>
      <c r="CY30">
        <v>0.03782669</v>
      </c>
      <c r="CZ30">
        <v>0</v>
      </c>
      <c r="DA30">
        <v>1.325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X30">
        <v>13.0710806</v>
      </c>
      <c r="DY30">
        <v>1.06632114</v>
      </c>
      <c r="DZ30">
        <v>0.94269256</v>
      </c>
      <c r="EA30">
        <v>1.01466135</v>
      </c>
      <c r="EB30">
        <f t="shared" si="11"/>
        <v>1.00789168333333</v>
      </c>
      <c r="EC30">
        <v>15.16635167</v>
      </c>
      <c r="ED30">
        <v>0.94474881</v>
      </c>
      <c r="EE30">
        <v>1.08975677</v>
      </c>
      <c r="EF30">
        <v>0.97381801</v>
      </c>
      <c r="EG30">
        <f t="shared" si="12"/>
        <v>1.00277453</v>
      </c>
      <c r="EH30">
        <v>15.24237869</v>
      </c>
      <c r="EI30">
        <v>0.94582514</v>
      </c>
      <c r="EJ30">
        <v>0.99675419</v>
      </c>
      <c r="EK30">
        <v>0.9928626</v>
      </c>
      <c r="EL30">
        <f t="shared" si="13"/>
        <v>0.978480643333333</v>
      </c>
      <c r="EM30">
        <v>15.27347743</v>
      </c>
      <c r="EN30">
        <v>1.02621016</v>
      </c>
      <c r="EO30">
        <v>1.0393927</v>
      </c>
      <c r="EP30">
        <v>1.0246891</v>
      </c>
      <c r="EQ30">
        <f t="shared" si="14"/>
        <v>1.03009732</v>
      </c>
      <c r="ER30">
        <v>15.35944575</v>
      </c>
      <c r="ES30">
        <v>0.98885963</v>
      </c>
      <c r="ET30">
        <v>0.96283256</v>
      </c>
      <c r="EU30">
        <v>1.02688619</v>
      </c>
      <c r="EV30">
        <f t="shared" si="15"/>
        <v>0.99285946</v>
      </c>
      <c r="EW30">
        <v>15.44752203</v>
      </c>
      <c r="EX30">
        <v>0.96435362</v>
      </c>
      <c r="EY30">
        <v>0.94525583</v>
      </c>
      <c r="EZ30">
        <v>1.00356323</v>
      </c>
      <c r="FA30">
        <f t="shared" si="16"/>
        <v>0.97105756</v>
      </c>
      <c r="FG30">
        <v>13.54639262</v>
      </c>
      <c r="FH30">
        <v>1.10982708</v>
      </c>
      <c r="FI30">
        <v>0.93031111</v>
      </c>
      <c r="FJ30">
        <v>1.01304626</v>
      </c>
      <c r="FK30">
        <f t="shared" si="0"/>
        <v>1.01772815</v>
      </c>
      <c r="FM30">
        <v>15.82887661</v>
      </c>
      <c r="FN30">
        <v>1.05043304</v>
      </c>
      <c r="FO30">
        <v>0.96755412</v>
      </c>
      <c r="FP30">
        <v>1.01015625</v>
      </c>
      <c r="FQ30">
        <f t="shared" si="1"/>
        <v>1.00938113666667</v>
      </c>
      <c r="FS30">
        <v>15.91797105</v>
      </c>
      <c r="FT30">
        <v>0.93764385</v>
      </c>
      <c r="FU30">
        <v>0.90202939</v>
      </c>
      <c r="FV30">
        <v>0.94526033</v>
      </c>
      <c r="FW30">
        <f t="shared" si="2"/>
        <v>0.92831119</v>
      </c>
      <c r="GM30">
        <v>16.0092501</v>
      </c>
      <c r="GN30">
        <v>0.90332904</v>
      </c>
      <c r="GO30">
        <v>0.90451043</v>
      </c>
      <c r="GP30">
        <v>0.94585112</v>
      </c>
      <c r="GQ30">
        <f t="shared" si="3"/>
        <v>0.917896863333333</v>
      </c>
    </row>
    <row r="31" spans="1:199">
      <c r="O31">
        <v>130</v>
      </c>
      <c r="P31">
        <v>1.69389659</v>
      </c>
      <c r="Q31">
        <v>2.36555239</v>
      </c>
      <c r="R31">
        <v>0.94520592</v>
      </c>
      <c r="S31">
        <v>2.02815613</v>
      </c>
      <c r="T31">
        <v>1.91280938</v>
      </c>
      <c r="U31">
        <v>3.49558231</v>
      </c>
      <c r="V31">
        <v>3.59553474</v>
      </c>
      <c r="W31">
        <v>5.36811406</v>
      </c>
      <c r="X31">
        <v>4.70746713</v>
      </c>
      <c r="Y31">
        <v>8.88899363</v>
      </c>
      <c r="Z31">
        <v>6.02658016</v>
      </c>
      <c r="AA31">
        <v>10.306113</v>
      </c>
      <c r="AC31">
        <v>130</v>
      </c>
      <c r="AD31">
        <v>1.41290297</v>
      </c>
      <c r="AE31">
        <v>2.38603781</v>
      </c>
      <c r="AF31">
        <v>1.2039276</v>
      </c>
      <c r="AG31">
        <v>2.10600133</v>
      </c>
      <c r="AH31">
        <v>2.23350105</v>
      </c>
      <c r="AI31">
        <v>5.11941289</v>
      </c>
      <c r="AJ31">
        <v>2.19300594</v>
      </c>
      <c r="AK31">
        <v>4.52087997</v>
      </c>
      <c r="AL31">
        <v>4.34222616</v>
      </c>
      <c r="AM31">
        <v>8.84266733</v>
      </c>
      <c r="AN31">
        <v>6.57292316</v>
      </c>
      <c r="AO31">
        <v>12.19055531</v>
      </c>
      <c r="AR31">
        <f t="shared" ref="AR31:AR34" si="38">1/AR24*1000</f>
        <v>2.94117647058823</v>
      </c>
      <c r="AT31">
        <f t="shared" ref="AT31:AT34" si="39">LN(AT24)</f>
        <v>2.27281293466038</v>
      </c>
      <c r="AU31">
        <f t="shared" ref="AU31:AU34" si="40">12.65+AR31*-3.594</f>
        <v>2.07941176470588</v>
      </c>
      <c r="BB31">
        <f t="shared" ref="BB31:BB34" si="41">LOG10(BB23)</f>
        <v>-4.20800379414639</v>
      </c>
      <c r="BD31">
        <f t="shared" ref="BD31:BD34" si="42">LN(BD24)</f>
        <v>3.4578927253387</v>
      </c>
      <c r="BE31">
        <f t="shared" ref="BE31:BE34" si="43">13.37+AR31*-3.525</f>
        <v>3.00235294117647</v>
      </c>
      <c r="BJ31">
        <v>1.375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CC31">
        <v>1.375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1.65</v>
      </c>
      <c r="CM31">
        <v>0.03413333</v>
      </c>
      <c r="CN31">
        <v>0</v>
      </c>
      <c r="CO31">
        <v>1.65</v>
      </c>
      <c r="CP31">
        <v>0</v>
      </c>
      <c r="CQ31">
        <v>0</v>
      </c>
      <c r="CS31">
        <v>1.375</v>
      </c>
      <c r="CT31">
        <v>0</v>
      </c>
      <c r="CU31">
        <v>0</v>
      </c>
      <c r="CV31">
        <v>0</v>
      </c>
      <c r="CW31">
        <v>0</v>
      </c>
      <c r="CX31">
        <v>1.65</v>
      </c>
      <c r="CY31">
        <v>0.03512598</v>
      </c>
      <c r="CZ31">
        <v>0</v>
      </c>
      <c r="DA31">
        <v>1.375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X31">
        <v>13.54639262</v>
      </c>
      <c r="DY31">
        <v>1.06099742</v>
      </c>
      <c r="DZ31">
        <v>0.94210104</v>
      </c>
      <c r="EA31">
        <v>0.9915919</v>
      </c>
      <c r="EB31">
        <f t="shared" si="11"/>
        <v>0.99823012</v>
      </c>
      <c r="EC31">
        <v>15.71785537</v>
      </c>
      <c r="ED31">
        <v>0.93934059</v>
      </c>
      <c r="EE31">
        <v>1.09178485</v>
      </c>
      <c r="EF31">
        <v>0.98700055</v>
      </c>
      <c r="EG31">
        <f t="shared" si="12"/>
        <v>1.00604199666667</v>
      </c>
      <c r="EH31">
        <v>15.796647</v>
      </c>
      <c r="EI31">
        <v>0.94582514</v>
      </c>
      <c r="EJ31">
        <v>0.98220303</v>
      </c>
      <c r="EK31">
        <v>0.94734794</v>
      </c>
      <c r="EL31">
        <f t="shared" si="13"/>
        <v>0.958458703333333</v>
      </c>
      <c r="EM31">
        <v>15.82887661</v>
      </c>
      <c r="EN31">
        <v>1.00914046</v>
      </c>
      <c r="EO31">
        <v>1.00322522</v>
      </c>
      <c r="EP31">
        <v>0.98615551</v>
      </c>
      <c r="EQ31">
        <f t="shared" si="14"/>
        <v>0.999507063333334</v>
      </c>
      <c r="ER31">
        <v>15.91797105</v>
      </c>
      <c r="ES31">
        <v>0.98193034</v>
      </c>
      <c r="ET31">
        <v>0.94829796</v>
      </c>
      <c r="EU31">
        <v>0.97466304</v>
      </c>
      <c r="EV31">
        <f t="shared" si="15"/>
        <v>0.968297113333333</v>
      </c>
      <c r="EW31">
        <v>16.0092501</v>
      </c>
      <c r="EX31">
        <v>0.97381801</v>
      </c>
      <c r="EY31">
        <v>0.95134008</v>
      </c>
      <c r="EZ31">
        <v>1.00964748</v>
      </c>
      <c r="FA31">
        <f t="shared" si="16"/>
        <v>0.978268523333333</v>
      </c>
      <c r="FG31">
        <v>14.02170464</v>
      </c>
      <c r="FH31">
        <v>1.0676256</v>
      </c>
      <c r="FI31">
        <v>0.92872052</v>
      </c>
      <c r="FJ31">
        <v>1.05372281</v>
      </c>
      <c r="FK31">
        <f t="shared" si="0"/>
        <v>1.01668964333333</v>
      </c>
      <c r="FM31">
        <v>16.38427578</v>
      </c>
      <c r="FN31">
        <v>0.94230413</v>
      </c>
      <c r="FO31">
        <v>0.93677286</v>
      </c>
      <c r="FP31">
        <v>0.90546363</v>
      </c>
      <c r="FQ31">
        <f t="shared" si="1"/>
        <v>0.928180206666667</v>
      </c>
      <c r="FS31">
        <v>16.47649635</v>
      </c>
      <c r="FT31">
        <v>0.94342346</v>
      </c>
      <c r="FU31">
        <v>0.88754698</v>
      </c>
      <c r="FV31">
        <v>0.97618127</v>
      </c>
      <c r="FW31">
        <f t="shared" si="2"/>
        <v>0.935717236666667</v>
      </c>
      <c r="GM31">
        <v>16.57097818</v>
      </c>
      <c r="GN31">
        <v>0.96522105</v>
      </c>
      <c r="GO31">
        <v>0.9320753</v>
      </c>
      <c r="GP31">
        <v>1.01334355</v>
      </c>
      <c r="GQ31">
        <f t="shared" si="3"/>
        <v>0.9702133</v>
      </c>
    </row>
    <row r="32" spans="1:199">
      <c r="O32">
        <v>135</v>
      </c>
      <c r="P32">
        <v>1.74068137</v>
      </c>
      <c r="Q32">
        <v>2.41979492</v>
      </c>
      <c r="R32">
        <v>0.94667897</v>
      </c>
      <c r="S32">
        <v>2.05120663</v>
      </c>
      <c r="T32">
        <v>1.93127817</v>
      </c>
      <c r="U32">
        <v>3.58764052</v>
      </c>
      <c r="V32">
        <v>3.73096098</v>
      </c>
      <c r="W32">
        <v>5.43433824</v>
      </c>
      <c r="X32">
        <v>4.79051899</v>
      </c>
      <c r="Y32">
        <v>9.13425352</v>
      </c>
      <c r="Z32">
        <v>6.11440973</v>
      </c>
      <c r="AA32">
        <v>10.41318835</v>
      </c>
      <c r="AC32">
        <v>135</v>
      </c>
      <c r="AD32">
        <v>1.42155372</v>
      </c>
      <c r="AE32">
        <v>2.41651809</v>
      </c>
      <c r="AF32">
        <v>1.23839495</v>
      </c>
      <c r="AG32">
        <v>2.14904459</v>
      </c>
      <c r="AH32">
        <v>2.26798967</v>
      </c>
      <c r="AI32">
        <v>5.25146388</v>
      </c>
      <c r="AJ32">
        <v>2.22392124</v>
      </c>
      <c r="AK32">
        <v>4.62221076</v>
      </c>
      <c r="AL32">
        <v>4.44260367</v>
      </c>
      <c r="AM32">
        <v>8.98161138</v>
      </c>
      <c r="AN32">
        <v>6.80480868</v>
      </c>
      <c r="AO32">
        <v>12.4689902</v>
      </c>
      <c r="AR32">
        <f t="shared" si="38"/>
        <v>2.77777777777778</v>
      </c>
      <c r="AT32">
        <f t="shared" si="39"/>
        <v>2.59649771519646</v>
      </c>
      <c r="AU32">
        <f t="shared" si="40"/>
        <v>2.66666666666667</v>
      </c>
      <c r="BB32">
        <f t="shared" si="41"/>
        <v>-3.7554165903798</v>
      </c>
      <c r="BD32">
        <f t="shared" si="42"/>
        <v>3.4264318528407</v>
      </c>
      <c r="BE32">
        <f t="shared" si="43"/>
        <v>3.57833333333333</v>
      </c>
      <c r="BJ32">
        <v>1.425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CC32">
        <v>1.425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1.71</v>
      </c>
      <c r="CM32">
        <v>1.14408999</v>
      </c>
      <c r="CN32">
        <v>3.61103402</v>
      </c>
      <c r="CO32">
        <v>1.71</v>
      </c>
      <c r="CP32">
        <v>0</v>
      </c>
      <c r="CQ32">
        <v>4.5017228</v>
      </c>
      <c r="CS32">
        <v>1.425</v>
      </c>
      <c r="CT32">
        <v>0</v>
      </c>
      <c r="CU32">
        <v>0</v>
      </c>
      <c r="CV32">
        <v>0</v>
      </c>
      <c r="CW32">
        <v>0</v>
      </c>
      <c r="CX32">
        <v>1.71</v>
      </c>
      <c r="CY32">
        <v>0.65408977</v>
      </c>
      <c r="CZ32">
        <v>1.65157666</v>
      </c>
      <c r="DA32">
        <v>1.425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X32">
        <v>14.02170464</v>
      </c>
      <c r="DY32">
        <v>1.03161838</v>
      </c>
      <c r="DZ32">
        <v>0.9549174</v>
      </c>
      <c r="EA32">
        <v>0.9923806</v>
      </c>
      <c r="EB32">
        <f t="shared" si="11"/>
        <v>0.992972126666667</v>
      </c>
      <c r="EC32">
        <v>16.26935907</v>
      </c>
      <c r="ED32">
        <v>0.92751011</v>
      </c>
      <c r="EE32">
        <v>1.04463192</v>
      </c>
      <c r="EF32">
        <v>0.95607228</v>
      </c>
      <c r="EG32">
        <f t="shared" si="12"/>
        <v>0.976071436666667</v>
      </c>
      <c r="EH32">
        <v>16.35091532</v>
      </c>
      <c r="EI32">
        <v>0.9258596</v>
      </c>
      <c r="EJ32">
        <v>0.96240669</v>
      </c>
      <c r="EK32">
        <v>0.92467521</v>
      </c>
      <c r="EL32">
        <f t="shared" si="13"/>
        <v>0.937647166666667</v>
      </c>
      <c r="EM32">
        <v>16.38427578</v>
      </c>
      <c r="EN32">
        <v>0.94965001</v>
      </c>
      <c r="EO32">
        <v>0.97686013</v>
      </c>
      <c r="EP32">
        <v>0.91094742</v>
      </c>
      <c r="EQ32">
        <f t="shared" si="14"/>
        <v>0.945819186666667</v>
      </c>
      <c r="ER32">
        <v>16.47649635</v>
      </c>
      <c r="ES32">
        <v>0.9783812</v>
      </c>
      <c r="ET32">
        <v>0.93900258</v>
      </c>
      <c r="EU32">
        <v>1.00592933</v>
      </c>
      <c r="EV32">
        <f t="shared" si="15"/>
        <v>0.974437703333333</v>
      </c>
      <c r="EW32">
        <v>16.57097818</v>
      </c>
      <c r="EX32">
        <v>0.99392983</v>
      </c>
      <c r="EY32">
        <v>0.98480346</v>
      </c>
      <c r="EZ32">
        <v>1.02012591</v>
      </c>
      <c r="FA32">
        <f t="shared" si="16"/>
        <v>0.999619733333333</v>
      </c>
      <c r="FG32">
        <v>14.49701667</v>
      </c>
      <c r="FH32">
        <v>1.07216571</v>
      </c>
      <c r="FI32">
        <v>0.96017211</v>
      </c>
      <c r="FJ32">
        <v>1.08446319</v>
      </c>
      <c r="FK32">
        <f t="shared" si="0"/>
        <v>1.03893367</v>
      </c>
      <c r="FM32">
        <v>16.93967496</v>
      </c>
      <c r="FN32">
        <v>0.94026477</v>
      </c>
      <c r="FO32">
        <v>0.90276923</v>
      </c>
      <c r="FP32">
        <v>0.84105806</v>
      </c>
      <c r="FQ32">
        <f t="shared" si="1"/>
        <v>0.894697353333333</v>
      </c>
      <c r="FS32">
        <v>17.03502165</v>
      </c>
      <c r="FT32">
        <v>0.97960111</v>
      </c>
      <c r="FU32">
        <v>0.93336355</v>
      </c>
      <c r="FV32">
        <v>0.93666064</v>
      </c>
      <c r="FW32">
        <f t="shared" si="2"/>
        <v>0.9498751</v>
      </c>
      <c r="GM32">
        <v>17.13270625</v>
      </c>
      <c r="GN32">
        <v>1.00744419</v>
      </c>
      <c r="GO32">
        <v>0.9374161</v>
      </c>
      <c r="GP32">
        <v>0.98939317</v>
      </c>
      <c r="GQ32">
        <f t="shared" si="3"/>
        <v>0.978084486666667</v>
      </c>
    </row>
    <row r="33" spans="15:199">
      <c r="O33">
        <v>140</v>
      </c>
      <c r="P33">
        <v>1.76592499</v>
      </c>
      <c r="Q33">
        <v>2.45802976</v>
      </c>
      <c r="R33">
        <v>0.94583712</v>
      </c>
      <c r="S33">
        <v>2.06969013</v>
      </c>
      <c r="T33">
        <v>1.97749327</v>
      </c>
      <c r="U33">
        <v>3.75211334</v>
      </c>
      <c r="V33">
        <v>3.89207091</v>
      </c>
      <c r="W33">
        <v>5.56228794</v>
      </c>
      <c r="X33">
        <v>4.91029095</v>
      </c>
      <c r="Y33">
        <v>9.32783332</v>
      </c>
      <c r="Z33">
        <v>6.24183638</v>
      </c>
      <c r="AA33">
        <v>10.58437648</v>
      </c>
      <c r="AC33">
        <v>140</v>
      </c>
      <c r="AD33">
        <v>1.4561411</v>
      </c>
      <c r="AE33">
        <v>2.50767534</v>
      </c>
      <c r="AF33">
        <v>1.26362054</v>
      </c>
      <c r="AG33">
        <v>2.18454849</v>
      </c>
      <c r="AH33">
        <v>2.28862419</v>
      </c>
      <c r="AI33">
        <v>5.3950625</v>
      </c>
      <c r="AJ33">
        <v>2.26616922</v>
      </c>
      <c r="AK33">
        <v>4.78852573</v>
      </c>
      <c r="AL33">
        <v>4.55031208</v>
      </c>
      <c r="AM33">
        <v>9.23411918</v>
      </c>
      <c r="AN33">
        <v>6.99230027</v>
      </c>
      <c r="AO33">
        <v>12.7084051</v>
      </c>
      <c r="AR33">
        <f t="shared" si="38"/>
        <v>2.63157894736842</v>
      </c>
      <c r="AT33">
        <f t="shared" si="39"/>
        <v>3.51303686341769</v>
      </c>
      <c r="AU33">
        <f t="shared" si="40"/>
        <v>3.1921052631579</v>
      </c>
      <c r="BB33">
        <f t="shared" si="41"/>
        <v>-3.6235300000503</v>
      </c>
      <c r="BD33">
        <f t="shared" si="42"/>
        <v>4.4451970328579</v>
      </c>
      <c r="BE33">
        <f t="shared" si="43"/>
        <v>4.09368421052632</v>
      </c>
      <c r="BJ33">
        <v>1.475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CC33">
        <v>1.475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1.77</v>
      </c>
      <c r="CM33">
        <v>4.18239892</v>
      </c>
      <c r="CN33">
        <v>19.0988802</v>
      </c>
      <c r="CO33">
        <v>1.77</v>
      </c>
      <c r="CP33">
        <v>0</v>
      </c>
      <c r="CQ33">
        <v>23.68243812</v>
      </c>
      <c r="CS33">
        <v>1.475</v>
      </c>
      <c r="CT33">
        <v>0</v>
      </c>
      <c r="CU33">
        <v>0</v>
      </c>
      <c r="CV33">
        <v>0</v>
      </c>
      <c r="CW33">
        <v>0</v>
      </c>
      <c r="CX33">
        <v>1.77</v>
      </c>
      <c r="CY33">
        <v>3.44932773</v>
      </c>
      <c r="CZ33">
        <v>18.49816464</v>
      </c>
      <c r="DA33">
        <v>1.475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X33">
        <v>14.49701667</v>
      </c>
      <c r="DY33">
        <v>1.05547653</v>
      </c>
      <c r="DZ33">
        <v>0.94663606</v>
      </c>
      <c r="EA33">
        <v>1.01229526</v>
      </c>
      <c r="EB33">
        <f t="shared" si="11"/>
        <v>1.00480261666667</v>
      </c>
      <c r="EC33">
        <v>16.82086276</v>
      </c>
      <c r="ED33">
        <v>0.96840979</v>
      </c>
      <c r="EE33">
        <v>0.98784558</v>
      </c>
      <c r="EF33">
        <v>0.96164951</v>
      </c>
      <c r="EG33">
        <f t="shared" si="12"/>
        <v>0.97263496</v>
      </c>
      <c r="EH33">
        <v>16.90518363</v>
      </c>
      <c r="EI33">
        <v>0.95377752</v>
      </c>
      <c r="EJ33">
        <v>0.97746545</v>
      </c>
      <c r="EK33">
        <v>0.90860126</v>
      </c>
      <c r="EL33">
        <f t="shared" si="13"/>
        <v>0.946614743333333</v>
      </c>
      <c r="EM33">
        <v>16.93967496</v>
      </c>
      <c r="EN33">
        <v>0.93731251</v>
      </c>
      <c r="EO33">
        <v>0.93562244</v>
      </c>
      <c r="EP33">
        <v>0.8786671</v>
      </c>
      <c r="EQ33">
        <f t="shared" si="14"/>
        <v>0.917200683333333</v>
      </c>
      <c r="ER33">
        <v>17.03502165</v>
      </c>
      <c r="ES33">
        <v>0.97212794</v>
      </c>
      <c r="ET33">
        <v>0.9687478</v>
      </c>
      <c r="EU33">
        <v>0.94829796</v>
      </c>
      <c r="EV33">
        <f t="shared" si="15"/>
        <v>0.9630579</v>
      </c>
      <c r="EW33">
        <v>17.13270625</v>
      </c>
      <c r="EX33">
        <v>1.01911187</v>
      </c>
      <c r="EY33">
        <v>0.9883526</v>
      </c>
      <c r="EZ33">
        <v>1.00238018</v>
      </c>
      <c r="FA33">
        <f t="shared" si="16"/>
        <v>1.00328155</v>
      </c>
      <c r="FG33">
        <v>14.97232869</v>
      </c>
      <c r="FH33">
        <v>0.93862669</v>
      </c>
      <c r="FI33">
        <v>1.04406801</v>
      </c>
      <c r="FJ33">
        <v>1.00768734</v>
      </c>
      <c r="FK33">
        <f t="shared" si="0"/>
        <v>0.996794013333333</v>
      </c>
      <c r="FM33">
        <v>17.49507414</v>
      </c>
      <c r="FN33">
        <v>0.87757802</v>
      </c>
      <c r="FO33">
        <v>0.9359951</v>
      </c>
      <c r="FP33">
        <v>0.80595507</v>
      </c>
      <c r="FQ33">
        <f t="shared" si="1"/>
        <v>0.873176063333333</v>
      </c>
      <c r="FS33">
        <v>17.59354695</v>
      </c>
      <c r="FT33">
        <v>1.00347436</v>
      </c>
      <c r="FU33">
        <v>0.8895215</v>
      </c>
      <c r="FV33">
        <v>0.92454006</v>
      </c>
      <c r="FW33">
        <f t="shared" si="2"/>
        <v>0.93917864</v>
      </c>
      <c r="GM33">
        <v>17.69443432</v>
      </c>
      <c r="GN33">
        <v>0.99770427</v>
      </c>
      <c r="GO33">
        <v>0.94324013</v>
      </c>
      <c r="GP33">
        <v>1.00971221</v>
      </c>
      <c r="GQ33">
        <f t="shared" si="3"/>
        <v>0.983552203333333</v>
      </c>
    </row>
    <row r="34" spans="15:199">
      <c r="O34">
        <v>145</v>
      </c>
      <c r="P34">
        <v>1.78555366</v>
      </c>
      <c r="Q34">
        <v>2.49791951</v>
      </c>
      <c r="R34">
        <v>0.9639189</v>
      </c>
      <c r="S34">
        <v>2.1053107</v>
      </c>
      <c r="T34">
        <v>2.00606006</v>
      </c>
      <c r="U34">
        <v>3.83680378</v>
      </c>
      <c r="V34">
        <v>4.02716252</v>
      </c>
      <c r="W34">
        <v>5.70637823</v>
      </c>
      <c r="X34">
        <v>4.96115371</v>
      </c>
      <c r="Y34">
        <v>9.56575866</v>
      </c>
      <c r="Z34">
        <v>6.38209376</v>
      </c>
      <c r="AA34">
        <v>10.7563215</v>
      </c>
      <c r="AC34">
        <v>145</v>
      </c>
      <c r="AD34">
        <v>1.51688022</v>
      </c>
      <c r="AE34">
        <v>2.59323143</v>
      </c>
      <c r="AF34">
        <v>1.24787983</v>
      </c>
      <c r="AG34">
        <v>2.1913479</v>
      </c>
      <c r="AH34">
        <v>2.33046132</v>
      </c>
      <c r="AI34">
        <v>5.5041105</v>
      </c>
      <c r="AJ34">
        <v>2.2670394</v>
      </c>
      <c r="AK34">
        <v>4.93300194</v>
      </c>
      <c r="AL34">
        <v>4.73765007</v>
      </c>
      <c r="AM34">
        <v>9.40736254</v>
      </c>
      <c r="AN34">
        <v>7.17701096</v>
      </c>
      <c r="AO34">
        <v>12.94994598</v>
      </c>
      <c r="AR34">
        <f t="shared" si="38"/>
        <v>2.4390243902439</v>
      </c>
      <c r="AT34">
        <f t="shared" si="39"/>
        <v>3.64021428213266</v>
      </c>
      <c r="AU34">
        <f t="shared" si="40"/>
        <v>3.88414634146341</v>
      </c>
      <c r="BB34">
        <f t="shared" si="41"/>
        <v>-3.23358225104951</v>
      </c>
      <c r="BD34">
        <f t="shared" si="42"/>
        <v>4.47221005873186</v>
      </c>
      <c r="BE34">
        <f t="shared" si="43"/>
        <v>4.77243902439024</v>
      </c>
      <c r="BJ34">
        <v>1.525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CC34">
        <v>1.525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1.83</v>
      </c>
      <c r="CM34">
        <v>8.74105657</v>
      </c>
      <c r="CN34">
        <v>55.35308757</v>
      </c>
      <c r="CO34">
        <v>1.83</v>
      </c>
      <c r="CP34">
        <v>0</v>
      </c>
      <c r="CQ34">
        <v>54.31569551</v>
      </c>
      <c r="CS34">
        <v>1.525</v>
      </c>
      <c r="CT34">
        <v>0</v>
      </c>
      <c r="CU34">
        <v>0</v>
      </c>
      <c r="CV34">
        <v>0</v>
      </c>
      <c r="CW34">
        <v>0</v>
      </c>
      <c r="CX34">
        <v>1.83</v>
      </c>
      <c r="CY34">
        <v>8.30990465</v>
      </c>
      <c r="CZ34">
        <v>52.63653521</v>
      </c>
      <c r="DA34">
        <v>1.525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X34">
        <v>14.97232869</v>
      </c>
      <c r="DY34">
        <v>1.02452009</v>
      </c>
      <c r="DZ34">
        <v>1.01328113</v>
      </c>
      <c r="EA34">
        <v>1.01091503</v>
      </c>
      <c r="EB34">
        <f t="shared" si="11"/>
        <v>1.01623875</v>
      </c>
      <c r="EC34">
        <v>17.37236646</v>
      </c>
      <c r="ED34">
        <v>0.97990226</v>
      </c>
      <c r="EE34">
        <v>0.94728392</v>
      </c>
      <c r="EF34">
        <v>0.92531301</v>
      </c>
      <c r="EG34">
        <f t="shared" si="12"/>
        <v>0.950833063333333</v>
      </c>
      <c r="EH34">
        <v>17.45945195</v>
      </c>
      <c r="EI34">
        <v>0.94413315</v>
      </c>
      <c r="EJ34">
        <v>1.01012095</v>
      </c>
      <c r="EK34">
        <v>0.94328715</v>
      </c>
      <c r="EL34">
        <f t="shared" si="13"/>
        <v>0.965847083333333</v>
      </c>
      <c r="EM34">
        <v>17.49507414</v>
      </c>
      <c r="EN34">
        <v>0.9200738</v>
      </c>
      <c r="EO34">
        <v>0.97533907</v>
      </c>
      <c r="EP34">
        <v>0.89759588</v>
      </c>
      <c r="EQ34">
        <f t="shared" si="14"/>
        <v>0.931002916666667</v>
      </c>
      <c r="ER34">
        <v>17.59354695</v>
      </c>
      <c r="ES34">
        <v>0.97314198</v>
      </c>
      <c r="ET34">
        <v>0.93984761</v>
      </c>
      <c r="EU34">
        <v>0.93629847</v>
      </c>
      <c r="EV34">
        <f t="shared" si="15"/>
        <v>0.949762686666667</v>
      </c>
      <c r="EW34">
        <v>17.69443432</v>
      </c>
      <c r="EX34">
        <v>1.01860485</v>
      </c>
      <c r="EY34">
        <v>0.99190175</v>
      </c>
      <c r="EZ34">
        <v>0.99629593</v>
      </c>
      <c r="FA34">
        <f t="shared" si="16"/>
        <v>1.00226751</v>
      </c>
      <c r="FG34">
        <v>15.44764071</v>
      </c>
      <c r="FH34">
        <v>0.93843241</v>
      </c>
      <c r="FI34">
        <v>1.05657981</v>
      </c>
      <c r="FJ34">
        <v>0.99799988</v>
      </c>
      <c r="FK34">
        <f t="shared" si="0"/>
        <v>0.9976707</v>
      </c>
      <c r="FM34">
        <v>18.05047332</v>
      </c>
      <c r="FN34">
        <v>0.89351043</v>
      </c>
      <c r="FO34">
        <v>1.02470323</v>
      </c>
      <c r="FP34">
        <v>0.84502416</v>
      </c>
      <c r="FQ34">
        <f t="shared" si="1"/>
        <v>0.921079273333333</v>
      </c>
      <c r="FS34">
        <v>18.15207225</v>
      </c>
      <c r="FT34">
        <v>1.04047555</v>
      </c>
      <c r="FU34">
        <v>0.95997361</v>
      </c>
      <c r="FV34">
        <v>0.93886446</v>
      </c>
      <c r="FW34">
        <f t="shared" si="2"/>
        <v>0.979771206666667</v>
      </c>
      <c r="GM34">
        <v>18.2561624</v>
      </c>
      <c r="GN34">
        <v>0.98939334</v>
      </c>
      <c r="GO34">
        <v>1.00298994</v>
      </c>
      <c r="GP34">
        <v>0.98791388</v>
      </c>
      <c r="GQ34">
        <f t="shared" si="3"/>
        <v>0.993432386666667</v>
      </c>
    </row>
    <row r="35" spans="15:199">
      <c r="O35">
        <v>150</v>
      </c>
      <c r="P35">
        <v>1.80745986</v>
      </c>
      <c r="Q35">
        <v>2.54067342</v>
      </c>
      <c r="R35">
        <v>0.95883932</v>
      </c>
      <c r="S35">
        <v>2.08955848</v>
      </c>
      <c r="T35">
        <v>2.02299615</v>
      </c>
      <c r="U35">
        <v>3.97021237</v>
      </c>
      <c r="V35">
        <v>4.147142</v>
      </c>
      <c r="W35">
        <v>5.82609726</v>
      </c>
      <c r="X35">
        <v>4.99988349</v>
      </c>
      <c r="Y35">
        <v>9.70496301</v>
      </c>
      <c r="Z35">
        <v>6.45726582</v>
      </c>
      <c r="AA35">
        <v>11.00435976</v>
      </c>
      <c r="AC35">
        <v>150</v>
      </c>
      <c r="AD35">
        <v>1.57435157</v>
      </c>
      <c r="AE35">
        <v>2.68010887</v>
      </c>
      <c r="AF35">
        <v>1.27456875</v>
      </c>
      <c r="AG35">
        <v>2.26693032</v>
      </c>
      <c r="AH35">
        <v>2.40725672</v>
      </c>
      <c r="AI35">
        <v>5.65449149</v>
      </c>
      <c r="AJ35">
        <v>2.29856778</v>
      </c>
      <c r="AK35">
        <v>5.0409459</v>
      </c>
      <c r="AL35">
        <v>4.86368262</v>
      </c>
      <c r="AM35">
        <v>9.49943839</v>
      </c>
      <c r="AN35">
        <v>7.44891142</v>
      </c>
      <c r="AO35">
        <v>13.21756216</v>
      </c>
      <c r="BJ35">
        <v>1.575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CC35">
        <v>1.575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1.89</v>
      </c>
      <c r="CM35">
        <v>11.05664355</v>
      </c>
      <c r="CN35">
        <v>79.81270666</v>
      </c>
      <c r="CO35">
        <v>1.89</v>
      </c>
      <c r="CP35">
        <v>0</v>
      </c>
      <c r="CQ35">
        <v>88.44365581</v>
      </c>
      <c r="CS35">
        <v>1.575</v>
      </c>
      <c r="CT35">
        <v>0</v>
      </c>
      <c r="CU35">
        <v>0</v>
      </c>
      <c r="CV35">
        <v>0</v>
      </c>
      <c r="CW35">
        <v>0</v>
      </c>
      <c r="CX35">
        <v>1.89</v>
      </c>
      <c r="CY35">
        <v>10.65533542</v>
      </c>
      <c r="CZ35">
        <v>89.56974013</v>
      </c>
      <c r="DA35">
        <v>1.575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X35">
        <v>15.44764071</v>
      </c>
      <c r="DY35">
        <v>1.03201273</v>
      </c>
      <c r="DZ35">
        <v>1.01623875</v>
      </c>
      <c r="EA35">
        <v>0.98607101</v>
      </c>
      <c r="EB35">
        <f t="shared" si="11"/>
        <v>1.01144083</v>
      </c>
      <c r="EC35">
        <v>17.92387016</v>
      </c>
      <c r="ED35">
        <v>1.01454868</v>
      </c>
      <c r="EE35">
        <v>0.97280397</v>
      </c>
      <c r="EF35">
        <v>0.94559385</v>
      </c>
      <c r="EG35">
        <f t="shared" si="12"/>
        <v>0.977648833333333</v>
      </c>
      <c r="EH35">
        <v>18.01372027</v>
      </c>
      <c r="EI35">
        <v>0.94751714</v>
      </c>
      <c r="EJ35">
        <v>1.05055963</v>
      </c>
      <c r="EK35">
        <v>0.92975119</v>
      </c>
      <c r="EL35">
        <f t="shared" si="13"/>
        <v>0.975942653333333</v>
      </c>
      <c r="EM35">
        <v>18.05047332</v>
      </c>
      <c r="EN35">
        <v>0.94322775</v>
      </c>
      <c r="EO35">
        <v>1.04885709</v>
      </c>
      <c r="EP35">
        <v>0.91162345</v>
      </c>
      <c r="EQ35">
        <f t="shared" si="14"/>
        <v>0.967902763333333</v>
      </c>
      <c r="ER35">
        <v>18.15207225</v>
      </c>
      <c r="ES35">
        <v>1.0052533</v>
      </c>
      <c r="ET35">
        <v>1.00254919</v>
      </c>
      <c r="EU35">
        <v>0.95843838</v>
      </c>
      <c r="EV35">
        <f t="shared" si="15"/>
        <v>0.988746956666667</v>
      </c>
      <c r="EW35">
        <v>18.2561624</v>
      </c>
      <c r="EX35">
        <v>1.01843584</v>
      </c>
      <c r="EY35">
        <v>1.04480092</v>
      </c>
      <c r="EZ35">
        <v>0.98362041</v>
      </c>
      <c r="FA35">
        <f t="shared" si="16"/>
        <v>1.01561905666667</v>
      </c>
      <c r="FG35">
        <v>15.92295273</v>
      </c>
      <c r="FH35">
        <v>0.86384802</v>
      </c>
      <c r="FI35">
        <v>1.04762686</v>
      </c>
      <c r="FJ35">
        <v>0.93823251</v>
      </c>
      <c r="FK35">
        <f t="shared" ref="FK35:FK71" si="44">AVERAGE(FH35:FJ35)</f>
        <v>0.949902463333333</v>
      </c>
      <c r="FM35">
        <v>18.6058725</v>
      </c>
      <c r="FN35">
        <v>0.96700655</v>
      </c>
      <c r="FO35">
        <v>1.08743624</v>
      </c>
      <c r="FP35">
        <v>0.93893853</v>
      </c>
      <c r="FQ35">
        <f t="shared" ref="FQ35:FQ61" si="45">AVERAGE(FN35:FP35)</f>
        <v>0.997793773333333</v>
      </c>
      <c r="FS35">
        <v>18.71059755</v>
      </c>
      <c r="FT35">
        <v>0.99114552</v>
      </c>
      <c r="FU35">
        <v>1.03787</v>
      </c>
      <c r="FV35">
        <v>0.91781484</v>
      </c>
      <c r="FW35">
        <f t="shared" ref="FW35:FW61" si="46">AVERAGE(FT35:FV35)</f>
        <v>0.982276786666667</v>
      </c>
      <c r="GM35">
        <v>18.81789047</v>
      </c>
      <c r="GN35">
        <v>0.96134253</v>
      </c>
      <c r="GO35">
        <v>1.05733294</v>
      </c>
      <c r="GP35">
        <v>0.98484608</v>
      </c>
      <c r="GQ35">
        <f t="shared" ref="GQ35:GQ61" si="47">AVERAGE(GN35:GP35)</f>
        <v>1.00117385</v>
      </c>
    </row>
    <row r="36" spans="15:199">
      <c r="O36">
        <v>155</v>
      </c>
      <c r="P36">
        <v>1.83577242</v>
      </c>
      <c r="Q36">
        <v>2.57390763</v>
      </c>
      <c r="R36">
        <v>0.98005335</v>
      </c>
      <c r="S36">
        <v>2.10563876</v>
      </c>
      <c r="T36">
        <v>2.01612357</v>
      </c>
      <c r="U36">
        <v>4.04250305</v>
      </c>
      <c r="V36">
        <v>4.25799156</v>
      </c>
      <c r="W36">
        <v>5.96784233</v>
      </c>
      <c r="X36">
        <v>5.03334185</v>
      </c>
      <c r="Y36">
        <v>9.8630081</v>
      </c>
      <c r="Z36">
        <v>6.58248487</v>
      </c>
      <c r="AA36">
        <v>11.13962275</v>
      </c>
      <c r="AC36">
        <v>155</v>
      </c>
      <c r="AD36">
        <v>1.62462275</v>
      </c>
      <c r="AE36">
        <v>2.74923256</v>
      </c>
      <c r="AF36">
        <v>1.28511671</v>
      </c>
      <c r="AG36">
        <v>2.29283744</v>
      </c>
      <c r="AH36">
        <v>2.45532553</v>
      </c>
      <c r="AI36">
        <v>5.78843537</v>
      </c>
      <c r="AJ36">
        <v>2.35092341</v>
      </c>
      <c r="AK36">
        <v>5.20479401</v>
      </c>
      <c r="AL36">
        <v>5.04779707</v>
      </c>
      <c r="AM36">
        <v>9.66426263</v>
      </c>
      <c r="AN36">
        <v>7.70038317</v>
      </c>
      <c r="AO36">
        <v>13.53018322</v>
      </c>
      <c r="BJ36">
        <v>1.625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CC36">
        <v>1.625</v>
      </c>
      <c r="CD36">
        <v>0</v>
      </c>
      <c r="CE36">
        <v>0</v>
      </c>
      <c r="CF36">
        <v>0.04054322</v>
      </c>
      <c r="CG36">
        <v>0</v>
      </c>
      <c r="CH36">
        <v>0</v>
      </c>
      <c r="CI36">
        <v>0</v>
      </c>
      <c r="CJ36">
        <v>0.04160425</v>
      </c>
      <c r="CK36">
        <v>0</v>
      </c>
      <c r="CL36">
        <v>1.95</v>
      </c>
      <c r="CM36">
        <v>12.5863036</v>
      </c>
      <c r="CN36">
        <v>76.82838572</v>
      </c>
      <c r="CO36">
        <v>1.95</v>
      </c>
      <c r="CP36">
        <v>0</v>
      </c>
      <c r="CQ36">
        <v>85.60285679</v>
      </c>
      <c r="CS36">
        <v>1.625</v>
      </c>
      <c r="CT36">
        <v>0</v>
      </c>
      <c r="CU36">
        <v>0</v>
      </c>
      <c r="CV36">
        <v>0</v>
      </c>
      <c r="CW36">
        <v>0</v>
      </c>
      <c r="CX36">
        <v>1.95</v>
      </c>
      <c r="CY36">
        <v>13.53078286</v>
      </c>
      <c r="CZ36">
        <v>86.04810819</v>
      </c>
      <c r="DA36">
        <v>1.625</v>
      </c>
      <c r="DB36">
        <v>0.04372612</v>
      </c>
      <c r="DC36">
        <v>0</v>
      </c>
      <c r="DD36">
        <v>0</v>
      </c>
      <c r="DE36">
        <v>0</v>
      </c>
      <c r="DF36">
        <v>0</v>
      </c>
      <c r="DG36">
        <v>0</v>
      </c>
      <c r="DX36">
        <v>15.92295273</v>
      </c>
      <c r="DY36">
        <v>0.91686267</v>
      </c>
      <c r="DZ36">
        <v>1.03418165</v>
      </c>
      <c r="EA36">
        <v>0.96043829</v>
      </c>
      <c r="EB36">
        <f t="shared" ref="EB36:EB72" si="48">AVERAGE(DY36:EA36)</f>
        <v>0.970494203333333</v>
      </c>
      <c r="EC36">
        <v>18.47537386</v>
      </c>
      <c r="ED36">
        <v>1.01944988</v>
      </c>
      <c r="EE36">
        <v>1.03466051</v>
      </c>
      <c r="EF36">
        <v>0.9104404</v>
      </c>
      <c r="EG36">
        <f t="shared" ref="EG36:EG62" si="49">AVERAGE(ED36:EF36)</f>
        <v>0.988183596666667</v>
      </c>
      <c r="EH36">
        <v>18.56798858</v>
      </c>
      <c r="EI36">
        <v>0.98998621</v>
      </c>
      <c r="EJ36">
        <v>1.07543195</v>
      </c>
      <c r="EK36">
        <v>0.93753437</v>
      </c>
      <c r="EL36">
        <f t="shared" ref="EL36:EL67" si="50">AVERAGE(EI36:EK36)</f>
        <v>1.00098417666667</v>
      </c>
      <c r="EM36">
        <v>18.6058725</v>
      </c>
      <c r="EN36">
        <v>0.98733856</v>
      </c>
      <c r="EO36">
        <v>1.08992578</v>
      </c>
      <c r="EP36">
        <v>0.93697449</v>
      </c>
      <c r="EQ36">
        <f t="shared" ref="EQ36:EQ62" si="51">AVERAGE(EN36:EP36)</f>
        <v>1.00474627666667</v>
      </c>
      <c r="ER36">
        <v>18.71059755</v>
      </c>
      <c r="ES36">
        <v>1.00626734</v>
      </c>
      <c r="ET36">
        <v>1.01961889</v>
      </c>
      <c r="EU36">
        <v>0.95573426</v>
      </c>
      <c r="EV36">
        <f t="shared" ref="EV36:EV62" si="52">AVERAGE(ES36:EU36)</f>
        <v>0.993873496666667</v>
      </c>
      <c r="EW36">
        <v>18.81789047</v>
      </c>
      <c r="EX36">
        <v>0.99815501</v>
      </c>
      <c r="EY36">
        <v>1.06508176</v>
      </c>
      <c r="EZ36">
        <v>0.98362041</v>
      </c>
      <c r="FA36">
        <f t="shared" ref="FA36:FA62" si="53">AVERAGE(EX36:EZ36)</f>
        <v>1.01561906</v>
      </c>
      <c r="FG36">
        <v>16.39826475</v>
      </c>
      <c r="FH36">
        <v>0.93569607</v>
      </c>
      <c r="FI36">
        <v>0.95235308</v>
      </c>
      <c r="FJ36">
        <v>0.84094488</v>
      </c>
      <c r="FK36">
        <f t="shared" si="44"/>
        <v>0.909664676666667</v>
      </c>
      <c r="FM36">
        <v>19.16127168</v>
      </c>
      <c r="FN36">
        <v>1.00601215</v>
      </c>
      <c r="FO36">
        <v>1.12897885</v>
      </c>
      <c r="FP36">
        <v>0.99232808</v>
      </c>
      <c r="FQ36">
        <f t="shared" si="45"/>
        <v>1.04243969333333</v>
      </c>
      <c r="FS36">
        <v>19.26912285</v>
      </c>
      <c r="FT36">
        <v>0.92497437</v>
      </c>
      <c r="FU36">
        <v>1.1120836</v>
      </c>
      <c r="FV36">
        <v>0.88041047</v>
      </c>
      <c r="FW36">
        <f t="shared" si="46"/>
        <v>0.97248948</v>
      </c>
      <c r="GM36">
        <v>19.37961854</v>
      </c>
      <c r="GN36">
        <v>0.90130431</v>
      </c>
      <c r="GO36">
        <v>1.04642097</v>
      </c>
      <c r="GP36">
        <v>0.90508166</v>
      </c>
      <c r="GQ36">
        <f t="shared" si="47"/>
        <v>0.950935646666667</v>
      </c>
    </row>
    <row r="37" spans="15:199">
      <c r="O37">
        <v>160</v>
      </c>
      <c r="P37">
        <v>1.83774171</v>
      </c>
      <c r="Q37">
        <v>2.57814961</v>
      </c>
      <c r="R37">
        <v>1.01035573</v>
      </c>
      <c r="S37">
        <v>2.14717749</v>
      </c>
      <c r="T37">
        <v>2.02591067</v>
      </c>
      <c r="U37">
        <v>4.14758256</v>
      </c>
      <c r="V37">
        <v>4.34741019</v>
      </c>
      <c r="W37">
        <v>6.06778015</v>
      </c>
      <c r="X37">
        <v>5.10096712</v>
      </c>
      <c r="Y37">
        <v>10.01485865</v>
      </c>
      <c r="Z37">
        <v>6.6973673</v>
      </c>
      <c r="AA37">
        <v>11.55104209</v>
      </c>
      <c r="AC37">
        <v>160</v>
      </c>
      <c r="AD37">
        <v>1.66032172</v>
      </c>
      <c r="AE37">
        <v>2.77761412</v>
      </c>
      <c r="AF37">
        <v>1.31149429</v>
      </c>
      <c r="AG37">
        <v>2.3287619</v>
      </c>
      <c r="AH37">
        <v>2.57612826</v>
      </c>
      <c r="AI37">
        <v>5.96932882</v>
      </c>
      <c r="AJ37">
        <v>2.3656906</v>
      </c>
      <c r="AK37">
        <v>5.34055333</v>
      </c>
      <c r="AL37">
        <v>5.2120424</v>
      </c>
      <c r="AM37">
        <v>9.78715958</v>
      </c>
      <c r="AN37">
        <v>7.94883196</v>
      </c>
      <c r="AO37">
        <v>13.72629677</v>
      </c>
      <c r="BJ37">
        <v>1.675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CC37">
        <v>1.675</v>
      </c>
      <c r="CD37">
        <v>0.07650637</v>
      </c>
      <c r="CE37">
        <v>0</v>
      </c>
      <c r="CF37">
        <v>0.07631806</v>
      </c>
      <c r="CG37">
        <v>0</v>
      </c>
      <c r="CH37">
        <v>0.03857603</v>
      </c>
      <c r="CI37">
        <v>0</v>
      </c>
      <c r="CJ37">
        <v>0.15663069</v>
      </c>
      <c r="CK37">
        <v>0.49436561</v>
      </c>
      <c r="CL37">
        <v>2.01</v>
      </c>
      <c r="CM37">
        <v>10.74204525</v>
      </c>
      <c r="CN37">
        <v>69.11597532</v>
      </c>
      <c r="CO37">
        <v>2.01</v>
      </c>
      <c r="CP37">
        <v>0</v>
      </c>
      <c r="CQ37">
        <v>70.79398804</v>
      </c>
      <c r="CS37">
        <v>1.675</v>
      </c>
      <c r="CT37">
        <v>0.04097448</v>
      </c>
      <c r="CU37">
        <v>0</v>
      </c>
      <c r="CV37">
        <v>0.04029475</v>
      </c>
      <c r="CW37">
        <v>0</v>
      </c>
      <c r="CX37">
        <v>2.01</v>
      </c>
      <c r="CY37">
        <v>12.82977554</v>
      </c>
      <c r="CZ37">
        <v>77.40177543</v>
      </c>
      <c r="DA37">
        <v>1.675</v>
      </c>
      <c r="DB37">
        <v>0.12346426</v>
      </c>
      <c r="DC37">
        <v>0.51957878</v>
      </c>
      <c r="DD37">
        <v>0.12556172</v>
      </c>
      <c r="DE37">
        <v>0</v>
      </c>
      <c r="DF37">
        <v>0.25547104</v>
      </c>
      <c r="DG37">
        <v>0</v>
      </c>
      <c r="DX37">
        <v>16.39826475</v>
      </c>
      <c r="DY37">
        <v>0.92810163</v>
      </c>
      <c r="DZ37">
        <v>0.99277495</v>
      </c>
      <c r="EA37">
        <v>0.89832824</v>
      </c>
      <c r="EB37">
        <f t="shared" si="48"/>
        <v>0.93973494</v>
      </c>
      <c r="EC37">
        <v>19.02687755</v>
      </c>
      <c r="ED37">
        <v>1.0052533</v>
      </c>
      <c r="EE37">
        <v>1.14299396</v>
      </c>
      <c r="EF37">
        <v>0.92751011</v>
      </c>
      <c r="EG37">
        <f t="shared" si="49"/>
        <v>1.02525245666667</v>
      </c>
      <c r="EH37">
        <v>19.1222569</v>
      </c>
      <c r="EI37">
        <v>0.98237223</v>
      </c>
      <c r="EJ37">
        <v>1.08016954</v>
      </c>
      <c r="EK37">
        <v>0.96815948</v>
      </c>
      <c r="EL37">
        <f t="shared" si="50"/>
        <v>1.01023375</v>
      </c>
      <c r="EM37">
        <v>19.16127168</v>
      </c>
      <c r="EN37">
        <v>0.99240877</v>
      </c>
      <c r="EO37">
        <v>1.09972818</v>
      </c>
      <c r="EP37">
        <v>0.9761841</v>
      </c>
      <c r="EQ37">
        <f t="shared" si="51"/>
        <v>1.02277368333333</v>
      </c>
      <c r="ER37">
        <v>19.26912285</v>
      </c>
      <c r="ES37">
        <v>0.96807177</v>
      </c>
      <c r="ET37">
        <v>1.08113742</v>
      </c>
      <c r="EU37">
        <v>0.92176387</v>
      </c>
      <c r="EV37">
        <f t="shared" si="52"/>
        <v>0.990324353333333</v>
      </c>
      <c r="EW37">
        <v>19.37961854</v>
      </c>
      <c r="EX37">
        <v>0.92852415</v>
      </c>
      <c r="EY37">
        <v>1.07218005</v>
      </c>
      <c r="EZ37">
        <v>0.93156627</v>
      </c>
      <c r="FA37">
        <f t="shared" si="53"/>
        <v>0.97742349</v>
      </c>
      <c r="FG37">
        <v>16.87357677</v>
      </c>
      <c r="FH37">
        <v>0.99591233</v>
      </c>
      <c r="FI37">
        <v>0.97384866</v>
      </c>
      <c r="FJ37">
        <v>0.89454636</v>
      </c>
      <c r="FK37">
        <f t="shared" si="44"/>
        <v>0.954769116666667</v>
      </c>
      <c r="FM37">
        <v>19.71667086</v>
      </c>
      <c r="FN37">
        <v>1.02077061</v>
      </c>
      <c r="FO37">
        <v>1.17068112</v>
      </c>
      <c r="FP37">
        <v>1.02227583</v>
      </c>
      <c r="FQ37">
        <f t="shared" si="45"/>
        <v>1.07124252</v>
      </c>
      <c r="FS37">
        <v>19.82764815</v>
      </c>
      <c r="FT37">
        <v>0.89624875</v>
      </c>
      <c r="FU37">
        <v>1.07742474</v>
      </c>
      <c r="FV37">
        <v>0.916878</v>
      </c>
      <c r="FW37">
        <f t="shared" si="46"/>
        <v>0.963517163333333</v>
      </c>
      <c r="GM37">
        <v>19.94134662</v>
      </c>
      <c r="GN37">
        <v>0.8651436</v>
      </c>
      <c r="GO37">
        <v>1.06176485</v>
      </c>
      <c r="GP37">
        <v>0.87402819</v>
      </c>
      <c r="GQ37">
        <f t="shared" si="47"/>
        <v>0.933645546666667</v>
      </c>
    </row>
    <row r="38" spans="15:199">
      <c r="O38">
        <v>165</v>
      </c>
      <c r="P38">
        <v>1.86181858</v>
      </c>
      <c r="Q38">
        <v>2.61241068</v>
      </c>
      <c r="R38">
        <v>1.01388437</v>
      </c>
      <c r="S38">
        <v>2.1636862</v>
      </c>
      <c r="T38">
        <v>2.01986812</v>
      </c>
      <c r="U38">
        <v>4.2761081</v>
      </c>
      <c r="V38">
        <v>4.39971393</v>
      </c>
      <c r="W38">
        <v>6.17581005</v>
      </c>
      <c r="X38">
        <v>5.14567601</v>
      </c>
      <c r="Y38">
        <v>10.19106819</v>
      </c>
      <c r="Z38">
        <v>6.71661117</v>
      </c>
      <c r="AA38">
        <v>11.66008374</v>
      </c>
      <c r="AC38">
        <v>165</v>
      </c>
      <c r="AD38">
        <v>1.68480038</v>
      </c>
      <c r="AE38">
        <v>2.85504971</v>
      </c>
      <c r="AF38">
        <v>1.29891767</v>
      </c>
      <c r="AG38">
        <v>2.35557798</v>
      </c>
      <c r="AH38">
        <v>2.61942321</v>
      </c>
      <c r="AI38">
        <v>6.08273072</v>
      </c>
      <c r="AJ38">
        <v>2.41220178</v>
      </c>
      <c r="AK38">
        <v>5.43263246</v>
      </c>
      <c r="AL38">
        <v>5.37081878</v>
      </c>
      <c r="AM38">
        <v>9.91254785</v>
      </c>
      <c r="AN38">
        <v>8.19608652</v>
      </c>
      <c r="AO38">
        <v>13.98649748</v>
      </c>
      <c r="BJ38">
        <v>1.725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CC38">
        <v>1.725</v>
      </c>
      <c r="CD38">
        <v>1.082037</v>
      </c>
      <c r="CE38">
        <v>0</v>
      </c>
      <c r="CF38">
        <v>1.15133205</v>
      </c>
      <c r="CG38">
        <v>1.8169459</v>
      </c>
      <c r="CH38">
        <v>1.45489192</v>
      </c>
      <c r="CI38">
        <v>3.21440184</v>
      </c>
      <c r="CJ38">
        <v>1.10762152</v>
      </c>
      <c r="CK38">
        <v>3.72899245</v>
      </c>
      <c r="CL38">
        <v>2.07</v>
      </c>
      <c r="CM38">
        <v>8.97891178</v>
      </c>
      <c r="CN38">
        <v>42.71489551</v>
      </c>
      <c r="CO38">
        <v>2.07</v>
      </c>
      <c r="CP38">
        <v>0</v>
      </c>
      <c r="CQ38">
        <v>41.61386096</v>
      </c>
      <c r="CS38">
        <v>1.725</v>
      </c>
      <c r="CT38">
        <v>0.65677351</v>
      </c>
      <c r="CU38">
        <v>2.43875459</v>
      </c>
      <c r="CV38">
        <v>0.79784954</v>
      </c>
      <c r="CW38">
        <v>3.3576168</v>
      </c>
      <c r="CX38">
        <v>2.07</v>
      </c>
      <c r="CY38">
        <v>9.86495951</v>
      </c>
      <c r="CZ38">
        <v>51.56505846</v>
      </c>
      <c r="DA38">
        <v>1.725</v>
      </c>
      <c r="DB38">
        <v>1.04770025</v>
      </c>
      <c r="DC38">
        <v>3.919175</v>
      </c>
      <c r="DD38">
        <v>1.53905406</v>
      </c>
      <c r="DE38">
        <v>5.48041364</v>
      </c>
      <c r="DF38">
        <v>1.3248223</v>
      </c>
      <c r="DG38">
        <v>5.06844893</v>
      </c>
      <c r="DX38">
        <v>16.87357677</v>
      </c>
      <c r="DY38">
        <v>0.95550892</v>
      </c>
      <c r="DZ38">
        <v>0.98508514</v>
      </c>
      <c r="EA38">
        <v>0.93105925</v>
      </c>
      <c r="EB38">
        <f t="shared" si="48"/>
        <v>0.95721777</v>
      </c>
      <c r="EC38">
        <v>19.57838125</v>
      </c>
      <c r="ED38">
        <v>0.98024027</v>
      </c>
      <c r="EE38">
        <v>1.17476726</v>
      </c>
      <c r="EF38">
        <v>0.94407279</v>
      </c>
      <c r="EG38">
        <f t="shared" si="49"/>
        <v>1.03302677333333</v>
      </c>
      <c r="EH38">
        <v>19.67652521</v>
      </c>
      <c r="EI38">
        <v>0.97171267</v>
      </c>
      <c r="EJ38">
        <v>1.08152313</v>
      </c>
      <c r="EK38">
        <v>0.94887073</v>
      </c>
      <c r="EL38">
        <f t="shared" si="50"/>
        <v>1.00070217666667</v>
      </c>
      <c r="EM38">
        <v>19.71667086</v>
      </c>
      <c r="EN38">
        <v>1.00221117</v>
      </c>
      <c r="EO38">
        <v>1.11426278</v>
      </c>
      <c r="EP38">
        <v>1.00829542</v>
      </c>
      <c r="EQ38">
        <f t="shared" si="51"/>
        <v>1.04158979</v>
      </c>
      <c r="ER38">
        <v>19.82764815</v>
      </c>
      <c r="ES38">
        <v>0.92565103</v>
      </c>
      <c r="ET38">
        <v>1.06102559</v>
      </c>
      <c r="EU38">
        <v>0.93393237</v>
      </c>
      <c r="EV38">
        <f t="shared" si="52"/>
        <v>0.97353633</v>
      </c>
      <c r="EW38">
        <v>19.94134662</v>
      </c>
      <c r="EX38">
        <v>0.90875033</v>
      </c>
      <c r="EY38">
        <v>1.08840472</v>
      </c>
      <c r="EZ38">
        <v>0.92311592</v>
      </c>
      <c r="FA38">
        <f t="shared" si="53"/>
        <v>0.973423656666667</v>
      </c>
      <c r="FG38">
        <v>17.3488888</v>
      </c>
      <c r="FH38">
        <v>0.99887475</v>
      </c>
      <c r="FI38">
        <v>0.96567475</v>
      </c>
      <c r="FJ38">
        <v>0.91592175</v>
      </c>
      <c r="FK38">
        <f t="shared" si="44"/>
        <v>0.960157083333333</v>
      </c>
      <c r="FM38">
        <v>20.27207004</v>
      </c>
      <c r="FN38">
        <v>0.94667764</v>
      </c>
      <c r="FO38">
        <v>1.10527462</v>
      </c>
      <c r="FP38">
        <v>1.03856232</v>
      </c>
      <c r="FQ38">
        <f t="shared" si="45"/>
        <v>1.03017152666667</v>
      </c>
      <c r="FS38">
        <v>20.38617345</v>
      </c>
      <c r="FT38">
        <v>0.86170295</v>
      </c>
      <c r="FU38">
        <v>1.05959542</v>
      </c>
      <c r="FV38">
        <v>0.91594696</v>
      </c>
      <c r="FW38">
        <f t="shared" si="46"/>
        <v>0.945748443333333</v>
      </c>
      <c r="GM38">
        <v>20.50307469</v>
      </c>
      <c r="GN38">
        <v>0.90487528</v>
      </c>
      <c r="GO38">
        <v>1.05137227</v>
      </c>
      <c r="GP38">
        <v>0.82389536</v>
      </c>
      <c r="GQ38">
        <f t="shared" si="47"/>
        <v>0.926714303333333</v>
      </c>
    </row>
    <row r="39" spans="15:199">
      <c r="O39">
        <v>170</v>
      </c>
      <c r="P39">
        <v>1.89741727</v>
      </c>
      <c r="Q39">
        <v>2.68238634</v>
      </c>
      <c r="R39">
        <v>1.02114653</v>
      </c>
      <c r="S39">
        <v>2.1964338</v>
      </c>
      <c r="T39">
        <v>2.01500718</v>
      </c>
      <c r="U39">
        <v>4.3489561</v>
      </c>
      <c r="V39">
        <v>4.44794386</v>
      </c>
      <c r="W39">
        <v>6.23634834</v>
      </c>
      <c r="X39">
        <v>5.21778746</v>
      </c>
      <c r="Y39">
        <v>10.41052767</v>
      </c>
      <c r="Z39">
        <v>6.84638026</v>
      </c>
      <c r="AA39">
        <v>11.87481474</v>
      </c>
      <c r="AC39">
        <v>170</v>
      </c>
      <c r="AD39">
        <v>1.73894112</v>
      </c>
      <c r="AE39">
        <v>2.93944557</v>
      </c>
      <c r="AF39">
        <v>1.32423833</v>
      </c>
      <c r="AG39">
        <v>2.4066779</v>
      </c>
      <c r="AH39">
        <v>2.67098414</v>
      </c>
      <c r="AI39">
        <v>6.17945037</v>
      </c>
      <c r="AJ39">
        <v>2.43527728</v>
      </c>
      <c r="AK39">
        <v>5.58891058</v>
      </c>
      <c r="AL39">
        <v>5.51946404</v>
      </c>
      <c r="AM39">
        <v>10.05166129</v>
      </c>
      <c r="AN39">
        <v>8.44625051</v>
      </c>
      <c r="AO39">
        <v>14.35997399</v>
      </c>
      <c r="BJ39">
        <v>1.775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CC39">
        <v>1.775</v>
      </c>
      <c r="CD39">
        <v>3.67898304</v>
      </c>
      <c r="CE39">
        <v>13.76212175</v>
      </c>
      <c r="CF39">
        <v>3.26215823</v>
      </c>
      <c r="CG39">
        <v>18.01832712</v>
      </c>
      <c r="CH39">
        <v>3.71003212</v>
      </c>
      <c r="CI39">
        <v>11.276093</v>
      </c>
      <c r="CJ39">
        <v>4.18441306</v>
      </c>
      <c r="CK39">
        <v>21.13128596</v>
      </c>
      <c r="CL39">
        <v>2.13</v>
      </c>
      <c r="CM39">
        <v>7.53796913</v>
      </c>
      <c r="CN39">
        <v>26.37777106</v>
      </c>
      <c r="CO39">
        <v>2.13</v>
      </c>
      <c r="CP39">
        <v>0</v>
      </c>
      <c r="CQ39">
        <v>26.6413538</v>
      </c>
      <c r="CS39">
        <v>1.775</v>
      </c>
      <c r="CT39">
        <v>2.59064694</v>
      </c>
      <c r="CU39">
        <v>13.81982434</v>
      </c>
      <c r="CV39">
        <v>3.12179318</v>
      </c>
      <c r="CW39">
        <v>14.49660281</v>
      </c>
      <c r="CX39">
        <v>2.13</v>
      </c>
      <c r="CY39">
        <v>8.05229308</v>
      </c>
      <c r="CZ39">
        <v>26.08036549</v>
      </c>
      <c r="DA39">
        <v>1.775</v>
      </c>
      <c r="DB39">
        <v>3.66485212</v>
      </c>
      <c r="DC39">
        <v>18.5075032</v>
      </c>
      <c r="DD39">
        <v>3.98800981</v>
      </c>
      <c r="DE39">
        <v>24.93903795</v>
      </c>
      <c r="DF39">
        <v>4.96704571</v>
      </c>
      <c r="DG39">
        <v>22.97732597</v>
      </c>
      <c r="DX39">
        <v>17.3488888</v>
      </c>
      <c r="DY39">
        <v>0.97345183</v>
      </c>
      <c r="DZ39">
        <v>0.9986902</v>
      </c>
      <c r="EA39">
        <v>0.94545301</v>
      </c>
      <c r="EB39">
        <f t="shared" si="48"/>
        <v>0.97253168</v>
      </c>
      <c r="EC39">
        <v>20.12988495</v>
      </c>
      <c r="ED39">
        <v>0.90368013</v>
      </c>
      <c r="EE39">
        <v>1.12710731</v>
      </c>
      <c r="EF39">
        <v>0.93308733</v>
      </c>
      <c r="EG39">
        <f t="shared" si="49"/>
        <v>0.987958256666667</v>
      </c>
      <c r="EH39">
        <v>20.23079353</v>
      </c>
      <c r="EI39">
        <v>0.93668837</v>
      </c>
      <c r="EJ39">
        <v>1.05309762</v>
      </c>
      <c r="EK39">
        <v>1.00369137</v>
      </c>
      <c r="EL39">
        <f t="shared" si="50"/>
        <v>0.997825786666667</v>
      </c>
      <c r="EM39">
        <v>20.27207004</v>
      </c>
      <c r="EN39">
        <v>0.92362295</v>
      </c>
      <c r="EO39">
        <v>1.08705266</v>
      </c>
      <c r="EP39">
        <v>0.98040928</v>
      </c>
      <c r="EQ39">
        <f t="shared" si="51"/>
        <v>0.997028296666667</v>
      </c>
      <c r="ER39">
        <v>20.38617345</v>
      </c>
      <c r="ES39">
        <v>0.91551061</v>
      </c>
      <c r="ET39">
        <v>1.06981395</v>
      </c>
      <c r="EU39">
        <v>0.94001662</v>
      </c>
      <c r="EV39">
        <f t="shared" si="52"/>
        <v>0.975113726666667</v>
      </c>
      <c r="EW39">
        <v>20.50307469</v>
      </c>
      <c r="EX39">
        <v>0.92446798</v>
      </c>
      <c r="EY39">
        <v>1.09161585</v>
      </c>
      <c r="EZ39">
        <v>0.8932017</v>
      </c>
      <c r="FA39">
        <f t="shared" si="53"/>
        <v>0.969761843333333</v>
      </c>
      <c r="FG39">
        <v>17.82420082</v>
      </c>
      <c r="FH39">
        <v>0.96582269</v>
      </c>
      <c r="FI39">
        <v>0.93813412</v>
      </c>
      <c r="FJ39">
        <v>0.96754405</v>
      </c>
      <c r="FK39">
        <f t="shared" si="44"/>
        <v>0.957166953333333</v>
      </c>
      <c r="FM39">
        <v>20.82746922</v>
      </c>
      <c r="FN39">
        <v>0.86415548</v>
      </c>
      <c r="FO39">
        <v>1.08062555</v>
      </c>
      <c r="FP39">
        <v>0.99146181</v>
      </c>
      <c r="FQ39">
        <f t="shared" si="45"/>
        <v>0.978747613333333</v>
      </c>
      <c r="FS39">
        <v>20.94469875</v>
      </c>
      <c r="FT39">
        <v>0.84257473</v>
      </c>
      <c r="FU39">
        <v>1.01741378</v>
      </c>
      <c r="FV39">
        <v>0.94673424</v>
      </c>
      <c r="FW39">
        <f t="shared" si="46"/>
        <v>0.93557425</v>
      </c>
      <c r="GM39">
        <v>21.06480277</v>
      </c>
      <c r="GN39">
        <v>0.87953006</v>
      </c>
      <c r="GO39">
        <v>1.01278921</v>
      </c>
      <c r="GP39">
        <v>0.80858515</v>
      </c>
      <c r="GQ39">
        <f t="shared" si="47"/>
        <v>0.900301473333333</v>
      </c>
    </row>
    <row r="40" spans="15:199">
      <c r="O40">
        <v>175</v>
      </c>
      <c r="P40">
        <v>1.88690927</v>
      </c>
      <c r="Q40">
        <v>2.73936129</v>
      </c>
      <c r="R40">
        <v>1.06551631</v>
      </c>
      <c r="S40">
        <v>2.26272675</v>
      </c>
      <c r="T40">
        <v>2.01357379</v>
      </c>
      <c r="U40">
        <v>4.4282866</v>
      </c>
      <c r="V40">
        <v>4.50816307</v>
      </c>
      <c r="W40">
        <v>6.38476831</v>
      </c>
      <c r="X40">
        <v>5.24464347</v>
      </c>
      <c r="Y40">
        <v>10.54949526</v>
      </c>
      <c r="Z40">
        <v>6.94290306</v>
      </c>
      <c r="AA40">
        <v>12.06162702</v>
      </c>
      <c r="AC40">
        <v>175</v>
      </c>
      <c r="AD40">
        <v>1.74461471</v>
      </c>
      <c r="AE40">
        <v>2.97043415</v>
      </c>
      <c r="AF40">
        <v>1.33846712</v>
      </c>
      <c r="AG40">
        <v>2.43768936</v>
      </c>
      <c r="AH40">
        <v>2.75006272</v>
      </c>
      <c r="AI40">
        <v>6.31776843</v>
      </c>
      <c r="AJ40">
        <v>2.52339987</v>
      </c>
      <c r="AK40">
        <v>5.76275599</v>
      </c>
      <c r="AL40">
        <v>5.71490083</v>
      </c>
      <c r="AM40">
        <v>10.27638579</v>
      </c>
      <c r="AN40">
        <v>8.65125859</v>
      </c>
      <c r="AO40">
        <v>14.62318042</v>
      </c>
      <c r="BJ40">
        <v>1.825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CC40">
        <v>1.825</v>
      </c>
      <c r="CD40">
        <v>8.12039398</v>
      </c>
      <c r="CE40">
        <v>32.95284877</v>
      </c>
      <c r="CF40">
        <v>8.29327421</v>
      </c>
      <c r="CG40">
        <v>41.79986995</v>
      </c>
      <c r="CH40">
        <v>8.28641393</v>
      </c>
      <c r="CI40">
        <v>39.7950967</v>
      </c>
      <c r="CJ40">
        <v>8.47732738</v>
      </c>
      <c r="CK40">
        <v>48.72401638</v>
      </c>
      <c r="CL40">
        <v>2.19</v>
      </c>
      <c r="CM40">
        <v>5.52234996</v>
      </c>
      <c r="CN40">
        <v>15.90097697</v>
      </c>
      <c r="CO40">
        <v>2.19</v>
      </c>
      <c r="CP40">
        <v>0</v>
      </c>
      <c r="CQ40">
        <v>18.71408978</v>
      </c>
      <c r="CS40">
        <v>1.825</v>
      </c>
      <c r="CT40">
        <v>7.28290871</v>
      </c>
      <c r="CU40">
        <v>54.90657357</v>
      </c>
      <c r="CV40">
        <v>7.6033577</v>
      </c>
      <c r="CW40">
        <v>50.56742023</v>
      </c>
      <c r="CX40">
        <v>2.19</v>
      </c>
      <c r="CY40">
        <v>6.04186989</v>
      </c>
      <c r="CZ40">
        <v>17.6221205</v>
      </c>
      <c r="DA40">
        <v>1.825</v>
      </c>
      <c r="DB40">
        <v>8.21631971</v>
      </c>
      <c r="DC40">
        <v>52.52204373</v>
      </c>
      <c r="DD40">
        <v>7.79179006</v>
      </c>
      <c r="DE40">
        <v>52.07894974</v>
      </c>
      <c r="DF40">
        <v>8.32122711</v>
      </c>
      <c r="DG40">
        <v>50.26361913</v>
      </c>
      <c r="DX40">
        <v>17.82420082</v>
      </c>
      <c r="DY40">
        <v>0.95531175</v>
      </c>
      <c r="DZ40">
        <v>0.96911398</v>
      </c>
      <c r="EA40">
        <v>0.95314282</v>
      </c>
      <c r="EB40">
        <f t="shared" si="48"/>
        <v>0.959189516666667</v>
      </c>
      <c r="EC40">
        <v>20.68138864</v>
      </c>
      <c r="ED40">
        <v>0.87883611</v>
      </c>
      <c r="EE40">
        <v>1.08654564</v>
      </c>
      <c r="EF40">
        <v>0.9298762</v>
      </c>
      <c r="EG40">
        <f t="shared" si="49"/>
        <v>0.965085983333333</v>
      </c>
      <c r="EH40">
        <v>20.78506185</v>
      </c>
      <c r="EI40">
        <v>0.92399841</v>
      </c>
      <c r="EJ40">
        <v>1.03770047</v>
      </c>
      <c r="EK40">
        <v>0.98880181</v>
      </c>
      <c r="EL40">
        <f t="shared" si="50"/>
        <v>0.98350023</v>
      </c>
      <c r="EM40">
        <v>20.82746922</v>
      </c>
      <c r="EN40">
        <v>0.89455375</v>
      </c>
      <c r="EO40">
        <v>1.07708125</v>
      </c>
      <c r="EP40">
        <v>0.95725533</v>
      </c>
      <c r="EQ40">
        <f t="shared" si="51"/>
        <v>0.976296776666667</v>
      </c>
      <c r="ER40">
        <v>20.94469875</v>
      </c>
      <c r="ES40">
        <v>0.89421574</v>
      </c>
      <c r="ET40">
        <v>1.05967353</v>
      </c>
      <c r="EU40">
        <v>0.95235413</v>
      </c>
      <c r="EV40">
        <f t="shared" si="52"/>
        <v>0.9687478</v>
      </c>
      <c r="EW40">
        <v>21.06480277</v>
      </c>
      <c r="EX40">
        <v>0.92074983</v>
      </c>
      <c r="EY40">
        <v>1.05612439</v>
      </c>
      <c r="EZ40">
        <v>0.88559638</v>
      </c>
      <c r="FA40">
        <f t="shared" si="53"/>
        <v>0.954156866666667</v>
      </c>
      <c r="FG40">
        <v>18.29951284</v>
      </c>
      <c r="FH40">
        <v>1.02895932</v>
      </c>
      <c r="FI40">
        <v>0.93392666</v>
      </c>
      <c r="FJ40">
        <v>0.98920399</v>
      </c>
      <c r="FK40">
        <f t="shared" si="44"/>
        <v>0.98402999</v>
      </c>
      <c r="FM40">
        <v>21.3828684</v>
      </c>
      <c r="FN40">
        <v>0.7991163</v>
      </c>
      <c r="FO40">
        <v>1.0550479</v>
      </c>
      <c r="FP40">
        <v>1.00434811</v>
      </c>
      <c r="FQ40">
        <f t="shared" si="45"/>
        <v>0.952837436666667</v>
      </c>
      <c r="FS40">
        <v>21.50322405</v>
      </c>
      <c r="FT40">
        <v>0.89499882</v>
      </c>
      <c r="FU40">
        <v>1.03972855</v>
      </c>
      <c r="FV40">
        <v>0.94753499</v>
      </c>
      <c r="FW40">
        <f t="shared" si="46"/>
        <v>0.96075412</v>
      </c>
      <c r="GM40">
        <v>21.62653084</v>
      </c>
      <c r="GN40">
        <v>0.86316987</v>
      </c>
      <c r="GO40">
        <v>1.00508326</v>
      </c>
      <c r="GP40">
        <v>0.84630747</v>
      </c>
      <c r="GQ40">
        <f t="shared" si="47"/>
        <v>0.904853533333333</v>
      </c>
    </row>
    <row r="41" spans="15:199">
      <c r="O41">
        <v>180</v>
      </c>
      <c r="P41">
        <v>1.92405967</v>
      </c>
      <c r="Q41">
        <v>2.79693054</v>
      </c>
      <c r="R41">
        <v>1.07222119</v>
      </c>
      <c r="S41">
        <v>2.28538722</v>
      </c>
      <c r="T41">
        <v>2.01813355</v>
      </c>
      <c r="U41">
        <v>4.53257293</v>
      </c>
      <c r="V41">
        <v>4.56569465</v>
      </c>
      <c r="W41">
        <v>6.4508311</v>
      </c>
      <c r="X41">
        <v>5.28587668</v>
      </c>
      <c r="Y41">
        <v>10.73263179</v>
      </c>
      <c r="Z41">
        <v>7.03997713</v>
      </c>
      <c r="AA41">
        <v>12.21797262</v>
      </c>
      <c r="AC41">
        <v>180</v>
      </c>
      <c r="AD41">
        <v>1.80380611</v>
      </c>
      <c r="AE41">
        <v>3.0937042</v>
      </c>
      <c r="AF41">
        <v>1.38523602</v>
      </c>
      <c r="AG41">
        <v>2.52338588</v>
      </c>
      <c r="AH41">
        <v>2.74000279</v>
      </c>
      <c r="AI41">
        <v>6.40992705</v>
      </c>
      <c r="AJ41">
        <v>2.61180641</v>
      </c>
      <c r="AK41">
        <v>5.85439378</v>
      </c>
      <c r="AL41">
        <v>5.8860539</v>
      </c>
      <c r="AM41">
        <v>10.50480229</v>
      </c>
      <c r="AN41">
        <v>8.88941671</v>
      </c>
      <c r="AO41">
        <v>14.97525444</v>
      </c>
      <c r="BJ41">
        <v>1.875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CC41">
        <v>1.875</v>
      </c>
      <c r="CD41">
        <v>11.26490539</v>
      </c>
      <c r="CE41">
        <v>73.6149356</v>
      </c>
      <c r="CF41">
        <v>10.11041601</v>
      </c>
      <c r="CG41">
        <v>89.9659533</v>
      </c>
      <c r="CH41">
        <v>10.43640116</v>
      </c>
      <c r="CI41">
        <v>75.40222872</v>
      </c>
      <c r="CJ41">
        <v>10.90626088</v>
      </c>
      <c r="CK41">
        <v>77.72273378</v>
      </c>
      <c r="CL41">
        <v>2.25</v>
      </c>
      <c r="CM41">
        <v>4.13034383</v>
      </c>
      <c r="CN41">
        <v>9.73384363</v>
      </c>
      <c r="CO41">
        <v>2.25</v>
      </c>
      <c r="CP41">
        <v>0</v>
      </c>
      <c r="CQ41">
        <v>9.219273</v>
      </c>
      <c r="CS41">
        <v>1.875</v>
      </c>
      <c r="CT41">
        <v>10.75828218</v>
      </c>
      <c r="CU41">
        <v>89.99842597</v>
      </c>
      <c r="CV41">
        <v>11.76963819</v>
      </c>
      <c r="CW41">
        <v>94.59525117</v>
      </c>
      <c r="CX41">
        <v>2.25</v>
      </c>
      <c r="CY41">
        <v>4.382696</v>
      </c>
      <c r="CZ41">
        <v>11.92490022</v>
      </c>
      <c r="DA41">
        <v>1.875</v>
      </c>
      <c r="DB41">
        <v>13.10468248</v>
      </c>
      <c r="DC41">
        <v>88.32112601</v>
      </c>
      <c r="DD41">
        <v>10.82217623</v>
      </c>
      <c r="DE41">
        <v>96.99041432</v>
      </c>
      <c r="DF41">
        <v>11.51923694</v>
      </c>
      <c r="DG41">
        <v>73.35868038</v>
      </c>
      <c r="DX41">
        <v>18.29951284</v>
      </c>
      <c r="DY41">
        <v>0.99218343</v>
      </c>
      <c r="DZ41">
        <v>0.95156543</v>
      </c>
      <c r="EA41">
        <v>0.96122699</v>
      </c>
      <c r="EB41">
        <f t="shared" si="48"/>
        <v>0.968325283333333</v>
      </c>
      <c r="EC41">
        <v>21.23289234</v>
      </c>
      <c r="ED41">
        <v>0.91162345</v>
      </c>
      <c r="EE41">
        <v>1.00609833</v>
      </c>
      <c r="EF41">
        <v>0.93849556</v>
      </c>
      <c r="EG41">
        <f t="shared" si="49"/>
        <v>0.952072446666667</v>
      </c>
      <c r="EH41">
        <v>21.33933016</v>
      </c>
      <c r="EI41">
        <v>0.89726489</v>
      </c>
      <c r="EJ41">
        <v>1.04176125</v>
      </c>
      <c r="EK41">
        <v>0.94700954</v>
      </c>
      <c r="EL41">
        <f t="shared" si="50"/>
        <v>0.962011893333333</v>
      </c>
      <c r="EM41">
        <v>21.3828684</v>
      </c>
      <c r="EN41">
        <v>0.86734363</v>
      </c>
      <c r="EO41">
        <v>1.07978536</v>
      </c>
      <c r="EP41">
        <v>0.97787417</v>
      </c>
      <c r="EQ41">
        <f t="shared" si="51"/>
        <v>0.975001053333333</v>
      </c>
      <c r="ER41">
        <v>21.50322405</v>
      </c>
      <c r="ES41">
        <v>0.93646747</v>
      </c>
      <c r="ET41">
        <v>1.07927834</v>
      </c>
      <c r="EU41">
        <v>0.95303015</v>
      </c>
      <c r="EV41">
        <f t="shared" si="52"/>
        <v>0.989591986666667</v>
      </c>
      <c r="EW41">
        <v>21.62653084</v>
      </c>
      <c r="EX41">
        <v>0.91720068</v>
      </c>
      <c r="EY41">
        <v>1.04294185</v>
      </c>
      <c r="EZ41">
        <v>0.90232807</v>
      </c>
      <c r="FA41">
        <f t="shared" si="53"/>
        <v>0.954156866666667</v>
      </c>
      <c r="FG41">
        <v>18.77482486</v>
      </c>
      <c r="FH41">
        <v>1.04501476</v>
      </c>
      <c r="FI41">
        <v>1.04462618</v>
      </c>
      <c r="FJ41">
        <v>0.92874575</v>
      </c>
      <c r="FK41">
        <f t="shared" si="44"/>
        <v>1.00612889666667</v>
      </c>
      <c r="FM41">
        <v>21.93826758</v>
      </c>
      <c r="FN41">
        <v>0.87576228</v>
      </c>
      <c r="FO41">
        <v>1.05768507</v>
      </c>
      <c r="FP41">
        <v>1.04462911</v>
      </c>
      <c r="FQ41">
        <f t="shared" si="45"/>
        <v>0.992692153333333</v>
      </c>
      <c r="FS41">
        <v>22.06174935</v>
      </c>
      <c r="FT41">
        <v>0.9500547</v>
      </c>
      <c r="FU41">
        <v>1.04036327</v>
      </c>
      <c r="FV41">
        <v>1.00271905</v>
      </c>
      <c r="FW41">
        <f t="shared" si="46"/>
        <v>0.99771234</v>
      </c>
      <c r="GM41">
        <v>22.18825891</v>
      </c>
      <c r="GN41">
        <v>0.89642241</v>
      </c>
      <c r="GO41">
        <v>0.98778303</v>
      </c>
      <c r="GP41">
        <v>0.88788922</v>
      </c>
      <c r="GQ41">
        <f t="shared" si="47"/>
        <v>0.924031553333333</v>
      </c>
    </row>
    <row r="42" spans="15:199">
      <c r="O42">
        <v>185</v>
      </c>
      <c r="P42">
        <v>1.9617468</v>
      </c>
      <c r="Q42">
        <v>2.85903278</v>
      </c>
      <c r="R42">
        <v>1.11946103</v>
      </c>
      <c r="S42">
        <v>2.3165463</v>
      </c>
      <c r="T42">
        <v>2.07376865</v>
      </c>
      <c r="U42">
        <v>4.67154003</v>
      </c>
      <c r="V42">
        <v>4.65261117</v>
      </c>
      <c r="W42">
        <v>6.55207265</v>
      </c>
      <c r="X42">
        <v>5.36708817</v>
      </c>
      <c r="Y42">
        <v>10.99130575</v>
      </c>
      <c r="Z42">
        <v>7.12778806</v>
      </c>
      <c r="AA42">
        <v>12.32327963</v>
      </c>
      <c r="AC42">
        <v>185</v>
      </c>
      <c r="AD42">
        <v>1.86379903</v>
      </c>
      <c r="AE42">
        <v>3.20350605</v>
      </c>
      <c r="AF42">
        <v>1.4166384</v>
      </c>
      <c r="AG42">
        <v>2.57622054</v>
      </c>
      <c r="AH42">
        <v>2.82273519</v>
      </c>
      <c r="AI42">
        <v>6.53515436</v>
      </c>
      <c r="AJ42">
        <v>2.67514116</v>
      </c>
      <c r="AK42">
        <v>5.99600865</v>
      </c>
      <c r="AL42">
        <v>6.09150542</v>
      </c>
      <c r="AM42">
        <v>10.71086248</v>
      </c>
      <c r="AN42">
        <v>9.06230294</v>
      </c>
      <c r="AO42">
        <v>15.22013938</v>
      </c>
      <c r="BJ42">
        <v>1.925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CC42">
        <v>1.925</v>
      </c>
      <c r="CD42">
        <v>12.22238696</v>
      </c>
      <c r="CE42">
        <v>89.95184432</v>
      </c>
      <c r="CF42">
        <v>12.33676275</v>
      </c>
      <c r="CG42">
        <v>92.28375253</v>
      </c>
      <c r="CH42">
        <v>13.05572474</v>
      </c>
      <c r="CI42">
        <v>95.87341492</v>
      </c>
      <c r="CJ42">
        <v>11.53300425</v>
      </c>
      <c r="CK42">
        <v>93.95025411</v>
      </c>
      <c r="CL42">
        <v>2.31</v>
      </c>
      <c r="CM42">
        <v>3.11744726</v>
      </c>
      <c r="CN42">
        <v>5.27701966</v>
      </c>
      <c r="CO42">
        <v>2.31</v>
      </c>
      <c r="CP42">
        <v>0</v>
      </c>
      <c r="CQ42">
        <v>5.60679236</v>
      </c>
      <c r="CS42">
        <v>1.925</v>
      </c>
      <c r="CT42">
        <v>14.64304605</v>
      </c>
      <c r="CU42">
        <v>105.75102375</v>
      </c>
      <c r="CV42">
        <v>13.36283277</v>
      </c>
      <c r="CW42">
        <v>95.13772517</v>
      </c>
      <c r="CX42">
        <v>2.31</v>
      </c>
      <c r="CY42">
        <v>2.95719323</v>
      </c>
      <c r="CZ42">
        <v>5.6567522</v>
      </c>
      <c r="DA42">
        <v>1.925</v>
      </c>
      <c r="DB42">
        <v>13.67919445</v>
      </c>
      <c r="DC42">
        <v>92.84091087</v>
      </c>
      <c r="DD42">
        <v>12.23205126</v>
      </c>
      <c r="DE42">
        <v>115.22212015</v>
      </c>
      <c r="DF42">
        <v>13.95899994</v>
      </c>
      <c r="DG42">
        <v>85.06366334</v>
      </c>
      <c r="DX42">
        <v>18.77482486</v>
      </c>
      <c r="DY42">
        <v>1.04246299</v>
      </c>
      <c r="DZ42">
        <v>1.00145064</v>
      </c>
      <c r="EA42">
        <v>0.92889033</v>
      </c>
      <c r="EB42">
        <f t="shared" si="48"/>
        <v>0.990934653333333</v>
      </c>
      <c r="EC42">
        <v>21.78439604</v>
      </c>
      <c r="ED42">
        <v>0.99274679</v>
      </c>
      <c r="EE42">
        <v>1.00390124</v>
      </c>
      <c r="EF42">
        <v>0.92345394</v>
      </c>
      <c r="EG42">
        <f t="shared" si="49"/>
        <v>0.973367323333333</v>
      </c>
      <c r="EH42">
        <v>21.89359848</v>
      </c>
      <c r="EI42">
        <v>0.92399841</v>
      </c>
      <c r="EJ42">
        <v>1.06781798</v>
      </c>
      <c r="EK42">
        <v>0.90809366</v>
      </c>
      <c r="EL42">
        <f t="shared" si="50"/>
        <v>0.966636683333333</v>
      </c>
      <c r="EM42">
        <v>21.93826758</v>
      </c>
      <c r="EN42">
        <v>0.92936918</v>
      </c>
      <c r="EO42">
        <v>1.08722167</v>
      </c>
      <c r="EP42">
        <v>1.03026633</v>
      </c>
      <c r="EQ42">
        <f t="shared" si="51"/>
        <v>1.01561906</v>
      </c>
      <c r="ER42">
        <v>22.06174935</v>
      </c>
      <c r="ES42">
        <v>0.973649</v>
      </c>
      <c r="ET42">
        <v>1.08265848</v>
      </c>
      <c r="EU42">
        <v>0.98649353</v>
      </c>
      <c r="EV42">
        <f t="shared" si="52"/>
        <v>1.01426700333333</v>
      </c>
      <c r="EW42">
        <v>22.18825891</v>
      </c>
      <c r="EX42">
        <v>0.9346084</v>
      </c>
      <c r="EY42">
        <v>1.06508176</v>
      </c>
      <c r="EZ42">
        <v>0.9395096</v>
      </c>
      <c r="FA42">
        <f t="shared" si="53"/>
        <v>0.979733253333333</v>
      </c>
      <c r="FG42">
        <v>19.25013688</v>
      </c>
      <c r="FH42">
        <v>0.95669105</v>
      </c>
      <c r="FI42">
        <v>1.16264397</v>
      </c>
      <c r="FJ42">
        <v>0.99279691</v>
      </c>
      <c r="FK42">
        <f t="shared" si="44"/>
        <v>1.03737731</v>
      </c>
      <c r="FM42">
        <v>22.49366676</v>
      </c>
      <c r="FN42">
        <v>1.04032379</v>
      </c>
      <c r="FO42">
        <v>1.06212127</v>
      </c>
      <c r="FP42">
        <v>1.00171056</v>
      </c>
      <c r="FQ42">
        <f t="shared" si="45"/>
        <v>1.03471854</v>
      </c>
      <c r="FS42">
        <v>22.62027465</v>
      </c>
      <c r="FT42">
        <v>0.99890742</v>
      </c>
      <c r="FU42">
        <v>1.0219189</v>
      </c>
      <c r="FV42">
        <v>0.95215651</v>
      </c>
      <c r="FW42">
        <f t="shared" si="46"/>
        <v>0.990994276666667</v>
      </c>
      <c r="GM42">
        <v>22.74998699</v>
      </c>
      <c r="GN42">
        <v>0.93013733</v>
      </c>
      <c r="GO42">
        <v>0.98657184</v>
      </c>
      <c r="GP42">
        <v>0.9596208</v>
      </c>
      <c r="GQ42">
        <f t="shared" si="47"/>
        <v>0.958776656666667</v>
      </c>
    </row>
    <row r="43" spans="15:199">
      <c r="O43">
        <v>190</v>
      </c>
      <c r="P43">
        <v>1.93861292</v>
      </c>
      <c r="Q43">
        <v>2.86634297</v>
      </c>
      <c r="R43">
        <v>1.1446339</v>
      </c>
      <c r="S43">
        <v>2.36165862</v>
      </c>
      <c r="T43">
        <v>2.10065321</v>
      </c>
      <c r="U43">
        <v>4.73563114</v>
      </c>
      <c r="V43">
        <v>4.77201355</v>
      </c>
      <c r="W43">
        <v>6.69764299</v>
      </c>
      <c r="X43">
        <v>5.47588371</v>
      </c>
      <c r="Y43">
        <v>11.22462904</v>
      </c>
      <c r="Z43">
        <v>7.28254982</v>
      </c>
      <c r="AA43">
        <v>12.52078559</v>
      </c>
      <c r="AC43">
        <v>190</v>
      </c>
      <c r="AD43">
        <v>1.90765657</v>
      </c>
      <c r="AE43">
        <v>3.28105147</v>
      </c>
      <c r="AF43">
        <v>1.44795356</v>
      </c>
      <c r="AG43">
        <v>2.63243565</v>
      </c>
      <c r="AH43">
        <v>2.89723771</v>
      </c>
      <c r="AI43">
        <v>6.67035068</v>
      </c>
      <c r="AJ43">
        <v>2.72911565</v>
      </c>
      <c r="AK43">
        <v>6.1483239</v>
      </c>
      <c r="AL43">
        <v>6.20306475</v>
      </c>
      <c r="AM43">
        <v>10.83419558</v>
      </c>
      <c r="AN43">
        <v>9.21920167</v>
      </c>
      <c r="AO43">
        <v>15.50417352</v>
      </c>
      <c r="BJ43">
        <v>1.975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CC43">
        <v>1.975</v>
      </c>
      <c r="CD43">
        <v>12.90461076</v>
      </c>
      <c r="CE43">
        <v>77.11811898</v>
      </c>
      <c r="CF43">
        <v>13.06498089</v>
      </c>
      <c r="CG43">
        <v>73.80959401</v>
      </c>
      <c r="CH43">
        <v>11.93137254</v>
      </c>
      <c r="CI43">
        <v>71.81368266</v>
      </c>
      <c r="CJ43">
        <v>11.80144977</v>
      </c>
      <c r="CK43">
        <v>91.03170798</v>
      </c>
      <c r="CL43">
        <v>2.37</v>
      </c>
      <c r="CM43">
        <v>2.72997404</v>
      </c>
      <c r="CN43">
        <v>5.84876255</v>
      </c>
      <c r="CO43">
        <v>2.37</v>
      </c>
      <c r="CP43">
        <v>0</v>
      </c>
      <c r="CQ43">
        <v>4.90039162</v>
      </c>
      <c r="CS43">
        <v>1.975</v>
      </c>
      <c r="CT43">
        <v>15.23731553</v>
      </c>
      <c r="CU43">
        <v>99.34832878</v>
      </c>
      <c r="CV43">
        <v>12.52093203</v>
      </c>
      <c r="CW43">
        <v>92.57736577</v>
      </c>
      <c r="CX43">
        <v>2.37</v>
      </c>
      <c r="CY43">
        <v>2.58802123</v>
      </c>
      <c r="CZ43">
        <v>2.579508</v>
      </c>
      <c r="DA43">
        <v>1.975</v>
      </c>
      <c r="DB43">
        <v>12.34413169</v>
      </c>
      <c r="DC43">
        <v>88.94731342</v>
      </c>
      <c r="DD43">
        <v>12.28289216</v>
      </c>
      <c r="DE43">
        <v>84.3771471</v>
      </c>
      <c r="DF43">
        <v>12.86305681</v>
      </c>
      <c r="DG43">
        <v>78.10478724</v>
      </c>
      <c r="DX43">
        <v>19.25013688</v>
      </c>
      <c r="DY43">
        <v>0.97266313</v>
      </c>
      <c r="DZ43">
        <v>1.0783488</v>
      </c>
      <c r="EA43">
        <v>0.95945242</v>
      </c>
      <c r="EB43">
        <f t="shared" si="48"/>
        <v>1.00348811666667</v>
      </c>
      <c r="EC43">
        <v>22.33589974</v>
      </c>
      <c r="ED43">
        <v>1.02553413</v>
      </c>
      <c r="EE43">
        <v>1.01437967</v>
      </c>
      <c r="EF43">
        <v>1.00626734</v>
      </c>
      <c r="EG43">
        <f t="shared" si="49"/>
        <v>1.01539371333333</v>
      </c>
      <c r="EH43">
        <v>22.44786679</v>
      </c>
      <c r="EI43">
        <v>1.05191322</v>
      </c>
      <c r="EJ43">
        <v>1.07103277</v>
      </c>
      <c r="EK43">
        <v>0.94362555</v>
      </c>
      <c r="EL43">
        <f t="shared" si="50"/>
        <v>1.02219051333333</v>
      </c>
      <c r="EM43">
        <v>22.49366676</v>
      </c>
      <c r="EN43">
        <v>1.02519612</v>
      </c>
      <c r="EO43">
        <v>1.10665747</v>
      </c>
      <c r="EP43">
        <v>0.99967607</v>
      </c>
      <c r="EQ43">
        <f t="shared" si="51"/>
        <v>1.04384322</v>
      </c>
      <c r="ER43">
        <v>22.62027465</v>
      </c>
      <c r="ES43">
        <v>1.00592933</v>
      </c>
      <c r="ET43">
        <v>1.06913792</v>
      </c>
      <c r="EU43">
        <v>1.00711238</v>
      </c>
      <c r="EV43">
        <f t="shared" si="52"/>
        <v>1.02739321</v>
      </c>
      <c r="EW43">
        <v>22.74998699</v>
      </c>
      <c r="EX43">
        <v>0.97229695</v>
      </c>
      <c r="EY43">
        <v>1.04108277</v>
      </c>
      <c r="EZ43">
        <v>0.97517006</v>
      </c>
      <c r="FA43">
        <f t="shared" si="53"/>
        <v>0.99618326</v>
      </c>
      <c r="FG43">
        <v>19.72544891</v>
      </c>
      <c r="FH43">
        <v>0.96970518</v>
      </c>
      <c r="FI43">
        <v>1.11572247</v>
      </c>
      <c r="FJ43">
        <v>1.0277563</v>
      </c>
      <c r="FK43">
        <f t="shared" si="44"/>
        <v>1.03772798333333</v>
      </c>
      <c r="FM43">
        <v>23.04906593</v>
      </c>
      <c r="FN43">
        <v>1.15053345</v>
      </c>
      <c r="FO43">
        <v>1.04321661</v>
      </c>
      <c r="FP43">
        <v>1.05254032</v>
      </c>
      <c r="FQ43">
        <f t="shared" si="45"/>
        <v>1.08209679333333</v>
      </c>
      <c r="FS43">
        <v>23.17879995</v>
      </c>
      <c r="FT43">
        <v>0.96896584</v>
      </c>
      <c r="FU43">
        <v>1.02398392</v>
      </c>
      <c r="FV43">
        <v>0.97051965</v>
      </c>
      <c r="FW43">
        <f t="shared" si="46"/>
        <v>0.987823136666667</v>
      </c>
      <c r="GM43">
        <v>23.31171506</v>
      </c>
      <c r="GN43">
        <v>0.95306227</v>
      </c>
      <c r="GO43">
        <v>0.96695232</v>
      </c>
      <c r="GP43">
        <v>0.94899704</v>
      </c>
      <c r="GQ43">
        <f t="shared" si="47"/>
        <v>0.95633721</v>
      </c>
    </row>
    <row r="44" spans="15:199">
      <c r="O44">
        <v>195</v>
      </c>
      <c r="P44">
        <v>1.99472498</v>
      </c>
      <c r="Q44">
        <v>2.92614519</v>
      </c>
      <c r="R44">
        <v>1.14807665</v>
      </c>
      <c r="S44">
        <v>2.39846895</v>
      </c>
      <c r="T44">
        <v>2.13349571</v>
      </c>
      <c r="U44">
        <v>4.86024747</v>
      </c>
      <c r="V44">
        <v>4.82367113</v>
      </c>
      <c r="W44">
        <v>6.80753979</v>
      </c>
      <c r="X44">
        <v>5.50192134</v>
      </c>
      <c r="Y44">
        <v>11.43115428</v>
      </c>
      <c r="Z44">
        <v>7.35636051</v>
      </c>
      <c r="AA44">
        <v>12.74715558</v>
      </c>
      <c r="AC44">
        <v>195</v>
      </c>
      <c r="AD44">
        <v>1.98339655</v>
      </c>
      <c r="AE44">
        <v>3.40312517</v>
      </c>
      <c r="AF44">
        <v>1.47040204</v>
      </c>
      <c r="AG44">
        <v>2.64178583</v>
      </c>
      <c r="AH44">
        <v>2.93870653</v>
      </c>
      <c r="AI44">
        <v>6.75138182</v>
      </c>
      <c r="AJ44">
        <v>2.76481907</v>
      </c>
      <c r="AK44">
        <v>6.26952003</v>
      </c>
      <c r="AL44">
        <v>6.30586979</v>
      </c>
      <c r="AM44">
        <v>11.03713653</v>
      </c>
      <c r="AN44">
        <v>9.41007465</v>
      </c>
      <c r="AO44">
        <v>15.74498108</v>
      </c>
      <c r="BJ44">
        <v>2.025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CC44">
        <v>2.025</v>
      </c>
      <c r="CD44">
        <v>11.51622176</v>
      </c>
      <c r="CE44">
        <v>72.03527578</v>
      </c>
      <c r="CF44">
        <v>10.83515676</v>
      </c>
      <c r="CG44">
        <v>50.43243297</v>
      </c>
      <c r="CH44">
        <v>10.9535608</v>
      </c>
      <c r="CI44">
        <v>61.64677215</v>
      </c>
      <c r="CJ44">
        <v>10.23457889</v>
      </c>
      <c r="CK44">
        <v>53.10527406</v>
      </c>
      <c r="CL44">
        <v>2.43</v>
      </c>
      <c r="CM44">
        <v>1.44793036</v>
      </c>
      <c r="CN44">
        <v>2.18566662</v>
      </c>
      <c r="CO44">
        <v>2.43</v>
      </c>
      <c r="CP44">
        <v>0</v>
      </c>
      <c r="CQ44">
        <v>3.64804959</v>
      </c>
      <c r="CS44">
        <v>2.025</v>
      </c>
      <c r="CT44">
        <v>13.03635405</v>
      </c>
      <c r="CU44">
        <v>75.39007651</v>
      </c>
      <c r="CV44">
        <v>11.63457807</v>
      </c>
      <c r="CW44">
        <v>64.74146435</v>
      </c>
      <c r="CX44">
        <v>2.43</v>
      </c>
      <c r="CY44">
        <v>1.76537113</v>
      </c>
      <c r="CZ44">
        <v>2.24922859</v>
      </c>
      <c r="DA44">
        <v>2.025</v>
      </c>
      <c r="DB44">
        <v>11.54499167</v>
      </c>
      <c r="DC44">
        <v>72.52225868</v>
      </c>
      <c r="DD44">
        <v>10.76746818</v>
      </c>
      <c r="DE44">
        <v>65.07731766</v>
      </c>
      <c r="DF44">
        <v>12.06092216</v>
      </c>
      <c r="DG44">
        <v>59.95137728</v>
      </c>
      <c r="DX44">
        <v>19.72544891</v>
      </c>
      <c r="DY44">
        <v>0.95353717</v>
      </c>
      <c r="DZ44">
        <v>1.08682732</v>
      </c>
      <c r="EA44">
        <v>0.96753658</v>
      </c>
      <c r="EB44">
        <f t="shared" si="48"/>
        <v>1.00263369</v>
      </c>
      <c r="EC44">
        <v>22.88740343</v>
      </c>
      <c r="ED44">
        <v>1.13623368</v>
      </c>
      <c r="EE44">
        <v>1.09381294</v>
      </c>
      <c r="EF44">
        <v>1.07809529</v>
      </c>
      <c r="EG44">
        <f t="shared" si="49"/>
        <v>1.10271397</v>
      </c>
      <c r="EH44">
        <v>23.00213511</v>
      </c>
      <c r="EI44">
        <v>1.10013508</v>
      </c>
      <c r="EJ44">
        <v>1.0608808</v>
      </c>
      <c r="EK44">
        <v>0.98355663</v>
      </c>
      <c r="EL44">
        <f t="shared" si="50"/>
        <v>1.04819083666667</v>
      </c>
      <c r="EM44">
        <v>23.04906593</v>
      </c>
      <c r="EN44">
        <v>1.09093982</v>
      </c>
      <c r="EO44">
        <v>1.07572919</v>
      </c>
      <c r="EP44">
        <v>1.05409631</v>
      </c>
      <c r="EQ44">
        <f t="shared" si="51"/>
        <v>1.07358844</v>
      </c>
      <c r="ER44">
        <v>23.17879995</v>
      </c>
      <c r="ES44">
        <v>0.9907187</v>
      </c>
      <c r="ET44">
        <v>1.04851908</v>
      </c>
      <c r="EU44">
        <v>0.99105672</v>
      </c>
      <c r="EV44">
        <f t="shared" si="52"/>
        <v>1.01009816666667</v>
      </c>
      <c r="EW44">
        <v>23.31171506</v>
      </c>
      <c r="EX44">
        <v>0.98412743</v>
      </c>
      <c r="EY44">
        <v>1.02046392</v>
      </c>
      <c r="EZ44">
        <v>0.96959283</v>
      </c>
      <c r="FA44">
        <f t="shared" si="53"/>
        <v>0.991394726666667</v>
      </c>
      <c r="FG44">
        <v>20.20076093</v>
      </c>
      <c r="FH44">
        <v>0.84261597</v>
      </c>
      <c r="FI44">
        <v>1.10007028</v>
      </c>
      <c r="FJ44">
        <v>1.00667073</v>
      </c>
      <c r="FK44">
        <f t="shared" si="44"/>
        <v>0.983118993333333</v>
      </c>
      <c r="FM44">
        <v>23.60446511</v>
      </c>
      <c r="FN44">
        <v>1.1821423</v>
      </c>
      <c r="FO44">
        <v>1.0710152</v>
      </c>
      <c r="FP44">
        <v>1.05174231</v>
      </c>
      <c r="FQ44">
        <f t="shared" si="45"/>
        <v>1.10163327</v>
      </c>
      <c r="FS44">
        <v>23.73732525</v>
      </c>
      <c r="FT44">
        <v>1.02380142</v>
      </c>
      <c r="FU44">
        <v>0.98283513</v>
      </c>
      <c r="FV44">
        <v>0.99839158</v>
      </c>
      <c r="FW44">
        <f t="shared" si="46"/>
        <v>1.00167604333333</v>
      </c>
      <c r="GM44">
        <v>23.87344313</v>
      </c>
      <c r="GN44">
        <v>1.00545045</v>
      </c>
      <c r="GO44">
        <v>0.97146815</v>
      </c>
      <c r="GP44">
        <v>0.9577268</v>
      </c>
      <c r="GQ44">
        <f t="shared" si="47"/>
        <v>0.978215133333333</v>
      </c>
    </row>
    <row r="45" spans="15:199">
      <c r="O45">
        <v>200</v>
      </c>
      <c r="P45">
        <v>2.0275823</v>
      </c>
      <c r="Q45">
        <v>2.98698166</v>
      </c>
      <c r="R45">
        <v>1.15517891</v>
      </c>
      <c r="S45">
        <v>2.4126164</v>
      </c>
      <c r="T45">
        <v>2.15694272</v>
      </c>
      <c r="U45">
        <v>4.90369255</v>
      </c>
      <c r="V45">
        <v>4.8671592</v>
      </c>
      <c r="W45">
        <v>6.8660183</v>
      </c>
      <c r="X45">
        <v>5.57994829</v>
      </c>
      <c r="Y45">
        <v>11.75329942</v>
      </c>
      <c r="Z45">
        <v>7.42084065</v>
      </c>
      <c r="AA45">
        <v>12.94466984</v>
      </c>
      <c r="AC45">
        <v>200</v>
      </c>
      <c r="AD45">
        <v>2.0404453</v>
      </c>
      <c r="AE45">
        <v>3.51089439</v>
      </c>
      <c r="AF45">
        <v>1.45624635</v>
      </c>
      <c r="AG45">
        <v>2.62508226</v>
      </c>
      <c r="AH45">
        <v>3.017254</v>
      </c>
      <c r="AI45">
        <v>6.87648759</v>
      </c>
      <c r="AJ45">
        <v>2.80205437</v>
      </c>
      <c r="AK45">
        <v>6.35034606</v>
      </c>
      <c r="AL45">
        <v>6.43334784</v>
      </c>
      <c r="AM45">
        <v>11.13080165</v>
      </c>
      <c r="AN45">
        <v>9.5537597</v>
      </c>
      <c r="AO45">
        <v>15.93001093</v>
      </c>
      <c r="BJ45">
        <v>2.075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CC45">
        <v>2.075</v>
      </c>
      <c r="CD45">
        <v>9.44738157</v>
      </c>
      <c r="CE45">
        <v>45.31751897</v>
      </c>
      <c r="CF45">
        <v>9.69765239</v>
      </c>
      <c r="CG45">
        <v>37.98558008</v>
      </c>
      <c r="CH45">
        <v>10.00472607</v>
      </c>
      <c r="CI45">
        <v>38.40067754</v>
      </c>
      <c r="CJ45">
        <v>8.44596957</v>
      </c>
      <c r="CK45">
        <v>41.87899565</v>
      </c>
      <c r="CL45">
        <v>2.49</v>
      </c>
      <c r="CM45">
        <v>1.39398372</v>
      </c>
      <c r="CN45">
        <v>1.13542222</v>
      </c>
      <c r="CO45">
        <v>2.49</v>
      </c>
      <c r="CP45">
        <v>0</v>
      </c>
      <c r="CQ45">
        <v>1.35114255</v>
      </c>
      <c r="CS45">
        <v>2.075</v>
      </c>
      <c r="CT45">
        <v>11.10737483</v>
      </c>
      <c r="CU45">
        <v>46.51880722</v>
      </c>
      <c r="CV45">
        <v>9.79404111</v>
      </c>
      <c r="CW45">
        <v>57.68112548</v>
      </c>
      <c r="CX45">
        <v>2.49</v>
      </c>
      <c r="CY45">
        <v>1.48079746</v>
      </c>
      <c r="CZ45">
        <v>0.77896116</v>
      </c>
      <c r="DA45">
        <v>2.075</v>
      </c>
      <c r="DB45">
        <v>9.4667166</v>
      </c>
      <c r="DC45">
        <v>48.07777958</v>
      </c>
      <c r="DD45">
        <v>9.65481413</v>
      </c>
      <c r="DE45">
        <v>49.58319802</v>
      </c>
      <c r="DF45">
        <v>9.46127043</v>
      </c>
      <c r="DG45">
        <v>42.73525449</v>
      </c>
      <c r="DX45">
        <v>20.20076093</v>
      </c>
      <c r="DY45">
        <v>0.85396392</v>
      </c>
      <c r="DZ45">
        <v>1.10200977</v>
      </c>
      <c r="EA45">
        <v>0.94446714</v>
      </c>
      <c r="EB45">
        <f t="shared" si="48"/>
        <v>0.96681361</v>
      </c>
      <c r="EC45">
        <v>23.43890713</v>
      </c>
      <c r="ED45">
        <v>1.07758827</v>
      </c>
      <c r="EE45">
        <v>1.05122319</v>
      </c>
      <c r="EF45">
        <v>1.07065899</v>
      </c>
      <c r="EG45">
        <f t="shared" si="49"/>
        <v>1.06649015</v>
      </c>
      <c r="EH45">
        <v>23.55640343</v>
      </c>
      <c r="EI45">
        <v>1.07154036</v>
      </c>
      <c r="EJ45">
        <v>1.01367414</v>
      </c>
      <c r="EK45">
        <v>1.06392639</v>
      </c>
      <c r="EL45">
        <f t="shared" si="50"/>
        <v>1.04971363</v>
      </c>
      <c r="EM45">
        <v>23.60446511</v>
      </c>
      <c r="EN45">
        <v>1.08468656</v>
      </c>
      <c r="EO45">
        <v>1.05308226</v>
      </c>
      <c r="EP45">
        <v>1.05680042</v>
      </c>
      <c r="EQ45">
        <f t="shared" si="51"/>
        <v>1.06485641333333</v>
      </c>
      <c r="ER45">
        <v>23.73732525</v>
      </c>
      <c r="ES45">
        <v>1.02604115</v>
      </c>
      <c r="ET45">
        <v>1.01150656</v>
      </c>
      <c r="EU45">
        <v>1.00846443</v>
      </c>
      <c r="EV45">
        <f t="shared" si="52"/>
        <v>1.01533738</v>
      </c>
      <c r="EW45">
        <v>23.87344313</v>
      </c>
      <c r="EX45">
        <v>1.02891427</v>
      </c>
      <c r="EY45">
        <v>1.01691478</v>
      </c>
      <c r="EZ45">
        <v>1.00373224</v>
      </c>
      <c r="FA45">
        <f t="shared" si="53"/>
        <v>1.01652043</v>
      </c>
      <c r="FG45">
        <v>20.67607295</v>
      </c>
      <c r="FH45">
        <v>0.82788105</v>
      </c>
      <c r="FI45">
        <v>1.06227075</v>
      </c>
      <c r="FJ45">
        <v>1.01039115</v>
      </c>
      <c r="FK45">
        <f t="shared" si="44"/>
        <v>0.96684765</v>
      </c>
      <c r="FM45">
        <v>24.15986429</v>
      </c>
      <c r="FN45">
        <v>1.08934991</v>
      </c>
      <c r="FO45">
        <v>0.9885698</v>
      </c>
      <c r="FP45">
        <v>1.0126177</v>
      </c>
      <c r="FQ45">
        <f t="shared" si="45"/>
        <v>1.03017913666667</v>
      </c>
      <c r="FS45">
        <v>24.29585056</v>
      </c>
      <c r="FT45">
        <v>1.03339066</v>
      </c>
      <c r="FU45">
        <v>0.95616305</v>
      </c>
      <c r="FV45">
        <v>1.04891208</v>
      </c>
      <c r="FW45">
        <f t="shared" si="46"/>
        <v>1.01282193</v>
      </c>
      <c r="GM45">
        <v>24.43517121</v>
      </c>
      <c r="GN45">
        <v>1.01457962</v>
      </c>
      <c r="GO45">
        <v>0.93757613</v>
      </c>
      <c r="GP45">
        <v>0.99507262</v>
      </c>
      <c r="GQ45">
        <f t="shared" si="47"/>
        <v>0.982409456666666</v>
      </c>
    </row>
    <row r="46" spans="15:199">
      <c r="O46">
        <v>205</v>
      </c>
      <c r="P46">
        <v>2.0354154</v>
      </c>
      <c r="Q46">
        <v>3.02426876</v>
      </c>
      <c r="R46">
        <v>1.17855104</v>
      </c>
      <c r="S46">
        <v>2.41506848</v>
      </c>
      <c r="T46">
        <v>2.17489804</v>
      </c>
      <c r="U46">
        <v>4.96731725</v>
      </c>
      <c r="V46">
        <v>4.95117008</v>
      </c>
      <c r="W46">
        <v>7.01233186</v>
      </c>
      <c r="X46">
        <v>5.67197153</v>
      </c>
      <c r="Y46">
        <v>12.04435302</v>
      </c>
      <c r="Z46">
        <v>7.58730817</v>
      </c>
      <c r="AA46">
        <v>13.21267175</v>
      </c>
      <c r="AC46">
        <v>205</v>
      </c>
      <c r="AD46">
        <v>2.11289196</v>
      </c>
      <c r="AE46">
        <v>3.59822519</v>
      </c>
      <c r="AF46">
        <v>1.47538962</v>
      </c>
      <c r="AG46">
        <v>2.64437454</v>
      </c>
      <c r="AH46">
        <v>3.04680208</v>
      </c>
      <c r="AI46">
        <v>7.00109559</v>
      </c>
      <c r="AJ46">
        <v>2.83340252</v>
      </c>
      <c r="AK46">
        <v>6.45026811</v>
      </c>
      <c r="AL46">
        <v>6.55085554</v>
      </c>
      <c r="AM46">
        <v>11.28987995</v>
      </c>
      <c r="AN46">
        <v>9.82093155</v>
      </c>
      <c r="AO46">
        <v>16.27359464</v>
      </c>
      <c r="BJ46">
        <v>2.125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CC46">
        <v>2.125</v>
      </c>
      <c r="CD46">
        <v>7.77211664</v>
      </c>
      <c r="CE46">
        <v>21.60505817</v>
      </c>
      <c r="CF46">
        <v>7.65814947</v>
      </c>
      <c r="CG46">
        <v>25.14386228</v>
      </c>
      <c r="CH46">
        <v>7.76580446</v>
      </c>
      <c r="CI46">
        <v>22.99780671</v>
      </c>
      <c r="CJ46">
        <v>7.44495806</v>
      </c>
      <c r="CK46">
        <v>29.79503846</v>
      </c>
      <c r="CL46">
        <v>2.55</v>
      </c>
      <c r="CM46">
        <v>1.04331853</v>
      </c>
      <c r="CN46">
        <v>1.26305857</v>
      </c>
      <c r="CO46">
        <v>2.55</v>
      </c>
      <c r="CP46">
        <v>0</v>
      </c>
      <c r="CQ46">
        <v>0.92022165</v>
      </c>
      <c r="CS46">
        <v>2.125</v>
      </c>
      <c r="CT46">
        <v>8.75781668</v>
      </c>
      <c r="CU46">
        <v>31.82027944</v>
      </c>
      <c r="CV46">
        <v>7.53596542</v>
      </c>
      <c r="CW46">
        <v>27.18330383</v>
      </c>
      <c r="CX46">
        <v>2.55</v>
      </c>
      <c r="CY46">
        <v>1.11778256</v>
      </c>
      <c r="CZ46">
        <v>1.67115847</v>
      </c>
      <c r="DA46">
        <v>2.125</v>
      </c>
      <c r="DB46">
        <v>7.44109708</v>
      </c>
      <c r="DC46">
        <v>28.73196805</v>
      </c>
      <c r="DD46">
        <v>7.82756102</v>
      </c>
      <c r="DE46">
        <v>41.36774979</v>
      </c>
      <c r="DF46">
        <v>8.46572908</v>
      </c>
      <c r="DG46">
        <v>34.73594462</v>
      </c>
      <c r="DX46">
        <v>20.67607295</v>
      </c>
      <c r="DY46">
        <v>0.87880794</v>
      </c>
      <c r="DZ46">
        <v>1.06592679</v>
      </c>
      <c r="EA46">
        <v>0.98390209</v>
      </c>
      <c r="EB46">
        <f t="shared" si="48"/>
        <v>0.976212273333333</v>
      </c>
      <c r="EC46">
        <v>23.99041083</v>
      </c>
      <c r="ED46">
        <v>1.06727885</v>
      </c>
      <c r="EE46">
        <v>1.01928088</v>
      </c>
      <c r="EF46">
        <v>1.07133501</v>
      </c>
      <c r="EG46">
        <f t="shared" si="49"/>
        <v>1.05263158</v>
      </c>
      <c r="EH46">
        <v>24.11067174</v>
      </c>
      <c r="EI46">
        <v>1.07289396</v>
      </c>
      <c r="EJ46">
        <v>0.97915744</v>
      </c>
      <c r="EK46">
        <v>1.11993142</v>
      </c>
      <c r="EL46">
        <f t="shared" si="50"/>
        <v>1.05732760666667</v>
      </c>
      <c r="EM46">
        <v>24.15986429</v>
      </c>
      <c r="EN46">
        <v>1.03820965</v>
      </c>
      <c r="EO46">
        <v>0.99021168</v>
      </c>
      <c r="EP46">
        <v>1.04108277</v>
      </c>
      <c r="EQ46">
        <f t="shared" si="51"/>
        <v>1.02316803333333</v>
      </c>
      <c r="ER46">
        <v>24.29585056</v>
      </c>
      <c r="ES46">
        <v>1.02080194</v>
      </c>
      <c r="ET46">
        <v>0.98649353</v>
      </c>
      <c r="EU46">
        <v>1.06491275</v>
      </c>
      <c r="EV46">
        <f t="shared" si="52"/>
        <v>1.02406940666667</v>
      </c>
      <c r="EW46">
        <v>24.43517121</v>
      </c>
      <c r="EX46">
        <v>1.01708379</v>
      </c>
      <c r="EY46">
        <v>1.00930947</v>
      </c>
      <c r="EZ46">
        <v>1.01640776</v>
      </c>
      <c r="FA46">
        <f t="shared" si="53"/>
        <v>1.01426700666667</v>
      </c>
      <c r="FG46">
        <v>21.15138497</v>
      </c>
      <c r="FH46">
        <v>0.77653027</v>
      </c>
      <c r="FI46">
        <v>1.03150949</v>
      </c>
      <c r="FJ46">
        <v>0.93226501</v>
      </c>
      <c r="FK46">
        <f t="shared" si="44"/>
        <v>0.913434923333333</v>
      </c>
      <c r="FM46">
        <v>24.71526347</v>
      </c>
      <c r="FN46">
        <v>0.95662465</v>
      </c>
      <c r="FO46">
        <v>0.95133192</v>
      </c>
      <c r="FP46">
        <v>1.00536251</v>
      </c>
      <c r="FQ46">
        <f t="shared" si="45"/>
        <v>0.97110636</v>
      </c>
      <c r="FS46">
        <v>24.85437586</v>
      </c>
      <c r="FT46">
        <v>1.01961885</v>
      </c>
      <c r="FU46">
        <v>0.95675494</v>
      </c>
      <c r="FV46">
        <v>1.06303946</v>
      </c>
      <c r="FW46">
        <f t="shared" si="46"/>
        <v>1.01313775</v>
      </c>
      <c r="GM46">
        <v>24.99689928</v>
      </c>
      <c r="GN46">
        <v>0.98560762</v>
      </c>
      <c r="GO46">
        <v>0.93948572</v>
      </c>
      <c r="GP46">
        <v>0.99106791</v>
      </c>
      <c r="GQ46">
        <f t="shared" si="47"/>
        <v>0.97205375</v>
      </c>
    </row>
    <row r="47" spans="15:199">
      <c r="O47">
        <v>210</v>
      </c>
      <c r="P47">
        <v>2.08519141</v>
      </c>
      <c r="Q47">
        <v>3.09480014</v>
      </c>
      <c r="R47">
        <v>1.19277019</v>
      </c>
      <c r="S47">
        <v>2.43966029</v>
      </c>
      <c r="T47">
        <v>2.24484724</v>
      </c>
      <c r="U47">
        <v>5.08556934</v>
      </c>
      <c r="V47">
        <v>4.98030972</v>
      </c>
      <c r="W47">
        <v>7.11565115</v>
      </c>
      <c r="X47">
        <v>5.78344726</v>
      </c>
      <c r="Y47">
        <v>12.25646539</v>
      </c>
      <c r="Z47">
        <v>7.67366751</v>
      </c>
      <c r="AA47">
        <v>13.36826348</v>
      </c>
      <c r="AC47">
        <v>210</v>
      </c>
      <c r="AD47">
        <v>2.16916733</v>
      </c>
      <c r="AE47">
        <v>3.69817648</v>
      </c>
      <c r="AF47">
        <v>1.51331745</v>
      </c>
      <c r="AG47">
        <v>2.69483977</v>
      </c>
      <c r="AH47">
        <v>3.07951565</v>
      </c>
      <c r="AI47">
        <v>7.10844361</v>
      </c>
      <c r="AJ47">
        <v>2.8590667</v>
      </c>
      <c r="AK47">
        <v>6.55476149</v>
      </c>
      <c r="AL47">
        <v>6.69078024</v>
      </c>
      <c r="AM47">
        <v>11.35059746</v>
      </c>
      <c r="AN47">
        <v>9.89884666</v>
      </c>
      <c r="AO47">
        <v>16.47331793</v>
      </c>
      <c r="BJ47">
        <v>2.175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CC47">
        <v>2.175</v>
      </c>
      <c r="CD47">
        <v>5.80806916</v>
      </c>
      <c r="CE47">
        <v>21.19604926</v>
      </c>
      <c r="CF47">
        <v>6.04272506</v>
      </c>
      <c r="CG47">
        <v>13.42922091</v>
      </c>
      <c r="CH47">
        <v>5.90284532</v>
      </c>
      <c r="CI47">
        <v>18.48643032</v>
      </c>
      <c r="CJ47">
        <v>5.94539962</v>
      </c>
      <c r="CK47">
        <v>14.9534929</v>
      </c>
      <c r="CL47">
        <v>2.61</v>
      </c>
      <c r="CM47">
        <v>1.00954583</v>
      </c>
      <c r="CN47">
        <v>1.55013034</v>
      </c>
      <c r="CO47">
        <v>2.61</v>
      </c>
      <c r="CP47">
        <v>0</v>
      </c>
      <c r="CQ47">
        <v>0.70272061</v>
      </c>
      <c r="CS47">
        <v>2.175</v>
      </c>
      <c r="CT47">
        <v>6.46426722</v>
      </c>
      <c r="CU47">
        <v>18.71539021</v>
      </c>
      <c r="CV47">
        <v>6.45262494</v>
      </c>
      <c r="CW47">
        <v>22.62899717</v>
      </c>
      <c r="CX47">
        <v>2.61</v>
      </c>
      <c r="CY47">
        <v>0.7440804</v>
      </c>
      <c r="CZ47">
        <v>1.0634734</v>
      </c>
      <c r="DA47">
        <v>2.175</v>
      </c>
      <c r="DB47">
        <v>6.2242126</v>
      </c>
      <c r="DC47">
        <v>21.26300864</v>
      </c>
      <c r="DD47">
        <v>5.80866166</v>
      </c>
      <c r="DE47">
        <v>25.69836316</v>
      </c>
      <c r="DF47">
        <v>6.71732376</v>
      </c>
      <c r="DG47">
        <v>18.49158017</v>
      </c>
      <c r="DX47">
        <v>21.15138497</v>
      </c>
      <c r="DY47">
        <v>0.86362548</v>
      </c>
      <c r="DZ47">
        <v>1.01564723</v>
      </c>
      <c r="EA47">
        <v>0.99356365</v>
      </c>
      <c r="EB47">
        <f t="shared" si="48"/>
        <v>0.95761212</v>
      </c>
      <c r="EC47">
        <v>24.54191452</v>
      </c>
      <c r="ED47">
        <v>0.9907187</v>
      </c>
      <c r="EE47">
        <v>0.98057829</v>
      </c>
      <c r="EF47">
        <v>1.08130642</v>
      </c>
      <c r="EG47">
        <f t="shared" si="49"/>
        <v>1.01753447</v>
      </c>
      <c r="EH47">
        <v>24.66494006</v>
      </c>
      <c r="EI47">
        <v>0.97205106</v>
      </c>
      <c r="EJ47">
        <v>0.95749991</v>
      </c>
      <c r="EK47">
        <v>1.1260226</v>
      </c>
      <c r="EL47">
        <f t="shared" si="50"/>
        <v>1.01852452333333</v>
      </c>
      <c r="EM47">
        <v>24.71526347</v>
      </c>
      <c r="EN47">
        <v>0.97770517</v>
      </c>
      <c r="EO47">
        <v>0.95387519</v>
      </c>
      <c r="EP47">
        <v>1.01894286</v>
      </c>
      <c r="EQ47">
        <f t="shared" si="51"/>
        <v>0.98350774</v>
      </c>
      <c r="ER47">
        <v>24.85437586</v>
      </c>
      <c r="ES47">
        <v>1.02840725</v>
      </c>
      <c r="ET47">
        <v>1.00119713</v>
      </c>
      <c r="EU47">
        <v>1.10344633</v>
      </c>
      <c r="EV47">
        <f t="shared" si="52"/>
        <v>1.04435023666667</v>
      </c>
      <c r="EW47">
        <v>24.99689928</v>
      </c>
      <c r="EX47">
        <v>1.03499852</v>
      </c>
      <c r="EY47">
        <v>0.99376083</v>
      </c>
      <c r="EZ47">
        <v>1.00576032</v>
      </c>
      <c r="FA47">
        <f t="shared" si="53"/>
        <v>1.01150655666667</v>
      </c>
      <c r="FG47">
        <v>21.62669699</v>
      </c>
      <c r="FH47">
        <v>0.88746443</v>
      </c>
      <c r="FI47">
        <v>0.97996724</v>
      </c>
      <c r="FJ47">
        <v>0.90667813</v>
      </c>
      <c r="FK47">
        <f t="shared" si="44"/>
        <v>0.924703266666667</v>
      </c>
      <c r="FM47">
        <v>25.27066265</v>
      </c>
      <c r="FN47">
        <v>0.85626733</v>
      </c>
      <c r="FO47">
        <v>0.87380792</v>
      </c>
      <c r="FP47">
        <v>1.02787201</v>
      </c>
      <c r="FQ47">
        <f t="shared" si="45"/>
        <v>0.919315753333333</v>
      </c>
      <c r="FS47">
        <v>25.41290116</v>
      </c>
      <c r="FT47">
        <v>0.9876495</v>
      </c>
      <c r="FU47">
        <v>0.93810724</v>
      </c>
      <c r="FV47">
        <v>1.037339</v>
      </c>
      <c r="FW47">
        <f t="shared" si="46"/>
        <v>0.98769858</v>
      </c>
      <c r="GM47">
        <v>25.55862736</v>
      </c>
      <c r="GN47">
        <v>0.96384923</v>
      </c>
      <c r="GO47">
        <v>0.93730632</v>
      </c>
      <c r="GP47">
        <v>0.96119974</v>
      </c>
      <c r="GQ47">
        <f t="shared" si="47"/>
        <v>0.95411843</v>
      </c>
    </row>
    <row r="48" spans="15:199">
      <c r="O48">
        <v>215</v>
      </c>
      <c r="P48">
        <v>2.11428523</v>
      </c>
      <c r="Q48">
        <v>3.14431652</v>
      </c>
      <c r="R48">
        <v>1.18927055</v>
      </c>
      <c r="S48">
        <v>2.46822336</v>
      </c>
      <c r="T48">
        <v>2.27629571</v>
      </c>
      <c r="U48">
        <v>5.14572347</v>
      </c>
      <c r="V48">
        <v>5.00286155</v>
      </c>
      <c r="W48">
        <v>7.19438905</v>
      </c>
      <c r="X48">
        <v>5.96040409</v>
      </c>
      <c r="Y48">
        <v>12.52137015</v>
      </c>
      <c r="Z48">
        <v>7.79787995</v>
      </c>
      <c r="AA48">
        <v>13.52660315</v>
      </c>
      <c r="AC48">
        <v>215</v>
      </c>
      <c r="AD48">
        <v>2.1956284</v>
      </c>
      <c r="AE48">
        <v>3.79463071</v>
      </c>
      <c r="AF48">
        <v>1.51346977</v>
      </c>
      <c r="AG48">
        <v>2.71912982</v>
      </c>
      <c r="AH48">
        <v>3.12171742</v>
      </c>
      <c r="AI48">
        <v>7.18460363</v>
      </c>
      <c r="AJ48">
        <v>2.88336051</v>
      </c>
      <c r="AK48">
        <v>6.63466356</v>
      </c>
      <c r="AL48">
        <v>6.83067056</v>
      </c>
      <c r="AM48">
        <v>11.50535082</v>
      </c>
      <c r="AN48">
        <v>10.20447998</v>
      </c>
      <c r="AO48">
        <v>16.80787682</v>
      </c>
      <c r="BJ48">
        <v>2.225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CC48">
        <v>2.225</v>
      </c>
      <c r="CD48">
        <v>4.48767607</v>
      </c>
      <c r="CE48">
        <v>9.85337572</v>
      </c>
      <c r="CF48">
        <v>4.82265037</v>
      </c>
      <c r="CG48">
        <v>7.09881159</v>
      </c>
      <c r="CH48">
        <v>5.9247541</v>
      </c>
      <c r="CI48">
        <v>9.66051925</v>
      </c>
      <c r="CJ48">
        <v>4.86009259</v>
      </c>
      <c r="CK48">
        <v>9.24582682</v>
      </c>
      <c r="CL48">
        <v>2.67</v>
      </c>
      <c r="CM48">
        <v>0.84735816</v>
      </c>
      <c r="CN48">
        <v>0.65833211</v>
      </c>
      <c r="CO48">
        <v>2.67</v>
      </c>
      <c r="CP48">
        <v>0</v>
      </c>
      <c r="CQ48">
        <v>0.8393673</v>
      </c>
      <c r="CS48">
        <v>2.225</v>
      </c>
      <c r="CT48">
        <v>4.94625623</v>
      </c>
      <c r="CU48">
        <v>12.89974335</v>
      </c>
      <c r="CV48">
        <v>4.68150898</v>
      </c>
      <c r="CW48">
        <v>13.83899728</v>
      </c>
      <c r="CX48">
        <v>2.67</v>
      </c>
      <c r="CY48">
        <v>0.72443112</v>
      </c>
      <c r="CZ48">
        <v>0.33873862</v>
      </c>
      <c r="DA48">
        <v>2.225</v>
      </c>
      <c r="DB48">
        <v>4.82807408</v>
      </c>
      <c r="DC48">
        <v>13.2509642</v>
      </c>
      <c r="DD48">
        <v>4.83893437</v>
      </c>
      <c r="DE48">
        <v>12.8771397</v>
      </c>
      <c r="DF48">
        <v>5.04336352</v>
      </c>
      <c r="DG48">
        <v>15.53729992</v>
      </c>
      <c r="DX48">
        <v>21.62669699</v>
      </c>
      <c r="DY48">
        <v>0.92120051</v>
      </c>
      <c r="DZ48">
        <v>1.01328113</v>
      </c>
      <c r="EA48">
        <v>0.96043829</v>
      </c>
      <c r="EB48">
        <f t="shared" si="48"/>
        <v>0.96497331</v>
      </c>
      <c r="EC48">
        <v>25.09341822</v>
      </c>
      <c r="ED48">
        <v>0.92379195</v>
      </c>
      <c r="EE48">
        <v>0.89911694</v>
      </c>
      <c r="EF48">
        <v>1.10462938</v>
      </c>
      <c r="EG48">
        <f t="shared" si="49"/>
        <v>0.97584609</v>
      </c>
      <c r="EH48">
        <v>25.21920837</v>
      </c>
      <c r="EI48">
        <v>0.94125676</v>
      </c>
      <c r="EJ48">
        <v>0.91604603</v>
      </c>
      <c r="EK48">
        <v>1.07120196</v>
      </c>
      <c r="EL48">
        <f t="shared" si="50"/>
        <v>0.97616825</v>
      </c>
      <c r="EM48">
        <v>25.27066265</v>
      </c>
      <c r="EN48">
        <v>0.91179246</v>
      </c>
      <c r="EO48">
        <v>0.90266608</v>
      </c>
      <c r="EP48">
        <v>1.03956171</v>
      </c>
      <c r="EQ48">
        <f t="shared" si="51"/>
        <v>0.951340083333333</v>
      </c>
      <c r="ER48">
        <v>25.41290116</v>
      </c>
      <c r="ES48">
        <v>1.02333704</v>
      </c>
      <c r="ET48">
        <v>0.97009985</v>
      </c>
      <c r="EU48">
        <v>1.0782643</v>
      </c>
      <c r="EV48">
        <f t="shared" si="52"/>
        <v>1.02390039666667</v>
      </c>
      <c r="EW48">
        <v>25.55862736</v>
      </c>
      <c r="EX48">
        <v>1.00119713</v>
      </c>
      <c r="EY48">
        <v>0.96722674</v>
      </c>
      <c r="EZ48">
        <v>0.99950706</v>
      </c>
      <c r="FA48">
        <f t="shared" si="53"/>
        <v>0.98931031</v>
      </c>
      <c r="FG48">
        <v>22.10200902</v>
      </c>
      <c r="FH48">
        <v>1.0203845</v>
      </c>
      <c r="FI48">
        <v>0.94431544</v>
      </c>
      <c r="FJ48">
        <v>0.8778035</v>
      </c>
      <c r="FK48">
        <f t="shared" si="44"/>
        <v>0.947501146666667</v>
      </c>
      <c r="FM48">
        <v>25.82606183</v>
      </c>
      <c r="FN48">
        <v>0.83272226</v>
      </c>
      <c r="FO48">
        <v>0.85166755</v>
      </c>
      <c r="FP48">
        <v>0.95973032</v>
      </c>
      <c r="FQ48">
        <f t="shared" si="45"/>
        <v>0.881373376666667</v>
      </c>
      <c r="FS48">
        <v>25.97142646</v>
      </c>
      <c r="FT48">
        <v>0.96406051</v>
      </c>
      <c r="FU48">
        <v>0.98324015</v>
      </c>
      <c r="FV48">
        <v>1.03437399</v>
      </c>
      <c r="FW48">
        <f t="shared" si="46"/>
        <v>0.99389155</v>
      </c>
      <c r="GM48">
        <v>26.12035543</v>
      </c>
      <c r="GN48">
        <v>0.91975188</v>
      </c>
      <c r="GO48">
        <v>0.96138437</v>
      </c>
      <c r="GP48">
        <v>0.96822621</v>
      </c>
      <c r="GQ48">
        <f t="shared" si="47"/>
        <v>0.949787486666667</v>
      </c>
    </row>
    <row r="49" spans="15:199">
      <c r="O49">
        <v>220</v>
      </c>
      <c r="P49">
        <v>2.13709069</v>
      </c>
      <c r="Q49">
        <v>3.17130939</v>
      </c>
      <c r="R49">
        <v>1.22097908</v>
      </c>
      <c r="S49">
        <v>2.49482252</v>
      </c>
      <c r="T49">
        <v>2.30160084</v>
      </c>
      <c r="U49">
        <v>5.23983479</v>
      </c>
      <c r="V49">
        <v>5.00153783</v>
      </c>
      <c r="W49">
        <v>7.34877366</v>
      </c>
      <c r="X49">
        <v>6.08092745</v>
      </c>
      <c r="Y49">
        <v>12.78343627</v>
      </c>
      <c r="Z49">
        <v>7.94628675</v>
      </c>
      <c r="AA49">
        <v>13.8451785</v>
      </c>
      <c r="AC49">
        <v>220</v>
      </c>
      <c r="AD49">
        <v>2.2309599</v>
      </c>
      <c r="AE49">
        <v>3.90187581</v>
      </c>
      <c r="AF49">
        <v>1.54065721</v>
      </c>
      <c r="AG49">
        <v>2.75317009</v>
      </c>
      <c r="AH49">
        <v>3.14329982</v>
      </c>
      <c r="AI49">
        <v>7.3036067</v>
      </c>
      <c r="AJ49">
        <v>2.8676388</v>
      </c>
      <c r="AK49">
        <v>6.69513884</v>
      </c>
      <c r="AL49">
        <v>6.99305764</v>
      </c>
      <c r="AM49">
        <v>11.64903617</v>
      </c>
      <c r="AN49">
        <v>10.43248264</v>
      </c>
      <c r="AO49">
        <v>17.01027633</v>
      </c>
      <c r="BJ49">
        <v>2.275</v>
      </c>
      <c r="BK49">
        <v>0</v>
      </c>
      <c r="BL49">
        <v>0</v>
      </c>
      <c r="BM49">
        <v>0.05543513</v>
      </c>
      <c r="BN49">
        <v>0.05577526</v>
      </c>
      <c r="BO49">
        <v>0.05672279</v>
      </c>
      <c r="BP49">
        <v>0</v>
      </c>
      <c r="BQ49">
        <v>0</v>
      </c>
      <c r="CC49">
        <v>2.275</v>
      </c>
      <c r="CD49">
        <v>3.9815338</v>
      </c>
      <c r="CE49">
        <v>10.21045681</v>
      </c>
      <c r="CF49">
        <v>3.93036188</v>
      </c>
      <c r="CG49">
        <v>4.96208187</v>
      </c>
      <c r="CH49">
        <v>3.86875111</v>
      </c>
      <c r="CI49">
        <v>6.86441919</v>
      </c>
      <c r="CJ49">
        <v>3.14166712</v>
      </c>
      <c r="CK49">
        <v>7.23591742</v>
      </c>
      <c r="CL49">
        <v>2.73</v>
      </c>
      <c r="CM49">
        <v>0.68582668</v>
      </c>
      <c r="CN49">
        <v>1.10199877</v>
      </c>
      <c r="CO49">
        <v>2.73</v>
      </c>
      <c r="CP49">
        <v>0</v>
      </c>
      <c r="CQ49">
        <v>0.32115158</v>
      </c>
      <c r="CS49">
        <v>2.275</v>
      </c>
      <c r="CT49">
        <v>3.42070601</v>
      </c>
      <c r="CU49">
        <v>5.60862511</v>
      </c>
      <c r="CV49">
        <v>3.77899334</v>
      </c>
      <c r="CW49">
        <v>9.65226983</v>
      </c>
      <c r="CX49">
        <v>2.73</v>
      </c>
      <c r="CY49">
        <v>0.7314358</v>
      </c>
      <c r="CZ49">
        <v>0.97203969</v>
      </c>
      <c r="DA49">
        <v>2.275</v>
      </c>
      <c r="DB49">
        <v>3.05648431</v>
      </c>
      <c r="DC49">
        <v>8.16828698</v>
      </c>
      <c r="DD49">
        <v>3.97059541</v>
      </c>
      <c r="DE49">
        <v>8.59350293</v>
      </c>
      <c r="DF49">
        <v>3.76235363</v>
      </c>
      <c r="DG49">
        <v>8.15946018</v>
      </c>
      <c r="DX49">
        <v>22.10200902</v>
      </c>
      <c r="DY49">
        <v>1.02254834</v>
      </c>
      <c r="DZ49">
        <v>1.0158444</v>
      </c>
      <c r="EA49">
        <v>0.933031</v>
      </c>
      <c r="EB49">
        <f t="shared" si="48"/>
        <v>0.99047458</v>
      </c>
      <c r="EC49">
        <v>25.64492192</v>
      </c>
      <c r="ED49">
        <v>0.89286368</v>
      </c>
      <c r="EE49">
        <v>0.84165458</v>
      </c>
      <c r="EF49">
        <v>1.06187063</v>
      </c>
      <c r="EG49">
        <f t="shared" si="49"/>
        <v>0.93212963</v>
      </c>
      <c r="EH49">
        <v>25.77347669</v>
      </c>
      <c r="EI49">
        <v>0.90623246</v>
      </c>
      <c r="EJ49">
        <v>0.91401564</v>
      </c>
      <c r="EK49">
        <v>1.00978255</v>
      </c>
      <c r="EL49">
        <f t="shared" si="50"/>
        <v>0.94334355</v>
      </c>
      <c r="EM49">
        <v>25.82606183</v>
      </c>
      <c r="EN49">
        <v>0.94103066</v>
      </c>
      <c r="EO49">
        <v>0.89387772</v>
      </c>
      <c r="EP49">
        <v>0.99714097</v>
      </c>
      <c r="EQ49">
        <f t="shared" si="51"/>
        <v>0.94401645</v>
      </c>
      <c r="ER49">
        <v>25.97142646</v>
      </c>
      <c r="ES49">
        <v>1.00846443</v>
      </c>
      <c r="ET49">
        <v>0.98632452</v>
      </c>
      <c r="EU49">
        <v>1.05899751</v>
      </c>
      <c r="EV49">
        <f t="shared" si="52"/>
        <v>1.01792882</v>
      </c>
      <c r="EW49">
        <v>26.12035543</v>
      </c>
      <c r="EX49">
        <v>0.99984508</v>
      </c>
      <c r="EY49">
        <v>0.99477487</v>
      </c>
      <c r="EZ49">
        <v>1.01725279</v>
      </c>
      <c r="FA49">
        <f t="shared" si="53"/>
        <v>1.00395758</v>
      </c>
      <c r="FG49">
        <v>22.57732104</v>
      </c>
      <c r="FH49">
        <v>1.15460684</v>
      </c>
      <c r="FI49">
        <v>0.94002245</v>
      </c>
      <c r="FJ49">
        <v>0.91619802</v>
      </c>
      <c r="FK49">
        <f t="shared" si="44"/>
        <v>1.00360910333333</v>
      </c>
      <c r="FM49">
        <v>26.38146101</v>
      </c>
      <c r="FN49">
        <v>0.9018172</v>
      </c>
      <c r="FO49">
        <v>0.88171882</v>
      </c>
      <c r="FP49">
        <v>0.96834985</v>
      </c>
      <c r="FQ49">
        <f t="shared" si="45"/>
        <v>0.91729529</v>
      </c>
      <c r="FS49">
        <v>26.52995176</v>
      </c>
      <c r="FT49">
        <v>0.91739922</v>
      </c>
      <c r="FU49">
        <v>0.95833455</v>
      </c>
      <c r="FV49">
        <v>1.06885899</v>
      </c>
      <c r="FW49">
        <f t="shared" si="46"/>
        <v>0.98153092</v>
      </c>
      <c r="GM49">
        <v>26.6820835</v>
      </c>
      <c r="GN49">
        <v>0.9277757</v>
      </c>
      <c r="GO49">
        <v>0.97421191</v>
      </c>
      <c r="GP49">
        <v>0.9717664</v>
      </c>
      <c r="GQ49">
        <f t="shared" si="47"/>
        <v>0.957918003333333</v>
      </c>
    </row>
    <row r="50" spans="15:199">
      <c r="O50">
        <v>225</v>
      </c>
      <c r="P50">
        <v>2.16343798</v>
      </c>
      <c r="Q50">
        <v>3.20536356</v>
      </c>
      <c r="R50">
        <v>1.20447606</v>
      </c>
      <c r="S50">
        <v>2.50228582</v>
      </c>
      <c r="T50">
        <v>2.28778364</v>
      </c>
      <c r="U50">
        <v>5.30963083</v>
      </c>
      <c r="V50">
        <v>5.09203601</v>
      </c>
      <c r="W50">
        <v>7.44389139</v>
      </c>
      <c r="X50">
        <v>6.24498216</v>
      </c>
      <c r="Y50">
        <v>13.0279768</v>
      </c>
      <c r="Z50">
        <v>7.94953328</v>
      </c>
      <c r="AA50">
        <v>14.06030183</v>
      </c>
      <c r="AC50">
        <v>225</v>
      </c>
      <c r="AD50">
        <v>2.28714694</v>
      </c>
      <c r="AE50">
        <v>3.99576411</v>
      </c>
      <c r="AF50">
        <v>1.5317398</v>
      </c>
      <c r="AG50">
        <v>2.78171403</v>
      </c>
      <c r="AH50">
        <v>3.20990971</v>
      </c>
      <c r="AI50">
        <v>7.40857521</v>
      </c>
      <c r="AJ50">
        <v>2.89275234</v>
      </c>
      <c r="AK50">
        <v>6.78223782</v>
      </c>
      <c r="AL50">
        <v>7.14811489</v>
      </c>
      <c r="AM50">
        <v>11.73684823</v>
      </c>
      <c r="AN50">
        <v>10.73267745</v>
      </c>
      <c r="AO50">
        <v>17.24598382</v>
      </c>
      <c r="BJ50">
        <v>2.325</v>
      </c>
      <c r="BK50">
        <v>0</v>
      </c>
      <c r="BL50">
        <v>0.05228627</v>
      </c>
      <c r="BM50">
        <v>0.21230623</v>
      </c>
      <c r="BN50">
        <v>0.16020663</v>
      </c>
      <c r="BO50">
        <v>0.21723771</v>
      </c>
      <c r="BP50">
        <v>0</v>
      </c>
      <c r="BQ50">
        <v>0</v>
      </c>
      <c r="CC50">
        <v>2.325</v>
      </c>
      <c r="CD50">
        <v>3.1569226</v>
      </c>
      <c r="CE50">
        <v>3.25867875</v>
      </c>
      <c r="CF50">
        <v>2.71342072</v>
      </c>
      <c r="CG50">
        <v>3.25065821</v>
      </c>
      <c r="CH50">
        <v>3.06343115</v>
      </c>
      <c r="CI50">
        <v>3.53896377</v>
      </c>
      <c r="CJ50">
        <v>3.3128646</v>
      </c>
      <c r="CK50">
        <v>1.79616202</v>
      </c>
      <c r="CL50">
        <v>2.79</v>
      </c>
      <c r="CM50">
        <v>0.59695187</v>
      </c>
      <c r="CN50">
        <v>0.60292139</v>
      </c>
      <c r="CO50">
        <v>2.79</v>
      </c>
      <c r="CP50">
        <v>0</v>
      </c>
      <c r="CQ50">
        <v>0.61497532</v>
      </c>
      <c r="CS50">
        <v>2.325</v>
      </c>
      <c r="CT50">
        <v>2.63714704</v>
      </c>
      <c r="CU50">
        <v>4.2959976</v>
      </c>
      <c r="CV50">
        <v>2.55156999</v>
      </c>
      <c r="CW50">
        <v>3.6966393</v>
      </c>
      <c r="CX50">
        <v>2.79</v>
      </c>
      <c r="CY50">
        <v>0.57745327</v>
      </c>
      <c r="CZ50">
        <v>0.31022756</v>
      </c>
      <c r="DA50">
        <v>2.325</v>
      </c>
      <c r="DB50">
        <v>2.43514085</v>
      </c>
      <c r="DC50">
        <v>2.96649285</v>
      </c>
      <c r="DD50">
        <v>3.01960419</v>
      </c>
      <c r="DE50">
        <v>3.83967655</v>
      </c>
      <c r="DF50">
        <v>2.96138205</v>
      </c>
      <c r="DG50">
        <v>7.25428102</v>
      </c>
      <c r="DX50">
        <v>22.57732104</v>
      </c>
      <c r="DY50">
        <v>1.11936115</v>
      </c>
      <c r="DZ50">
        <v>1.00322522</v>
      </c>
      <c r="EA50">
        <v>0.93322817</v>
      </c>
      <c r="EB50">
        <f t="shared" si="48"/>
        <v>1.01860484666667</v>
      </c>
      <c r="EC50">
        <v>26.19642562</v>
      </c>
      <c r="ED50">
        <v>0.92396096</v>
      </c>
      <c r="EE50">
        <v>0.92210188</v>
      </c>
      <c r="EF50">
        <v>1.05409631</v>
      </c>
      <c r="EG50">
        <f t="shared" si="49"/>
        <v>0.966719716666667</v>
      </c>
      <c r="EH50">
        <v>26.32774501</v>
      </c>
      <c r="EI50">
        <v>0.95614631</v>
      </c>
      <c r="EJ50">
        <v>0.96494469</v>
      </c>
      <c r="EK50">
        <v>0.97052827</v>
      </c>
      <c r="EL50">
        <f t="shared" si="50"/>
        <v>0.96387309</v>
      </c>
      <c r="EM50">
        <v>26.38146101</v>
      </c>
      <c r="EN50">
        <v>0.94474881</v>
      </c>
      <c r="EO50">
        <v>0.91567962</v>
      </c>
      <c r="EP50">
        <v>1.00576032</v>
      </c>
      <c r="EQ50">
        <f t="shared" si="51"/>
        <v>0.95539625</v>
      </c>
      <c r="ER50">
        <v>26.52995176</v>
      </c>
      <c r="ES50">
        <v>0.98294438</v>
      </c>
      <c r="ET50">
        <v>0.97533907</v>
      </c>
      <c r="EU50">
        <v>1.05696942</v>
      </c>
      <c r="EV50">
        <f t="shared" si="52"/>
        <v>1.00508429</v>
      </c>
      <c r="EW50">
        <v>26.6820835</v>
      </c>
      <c r="EX50">
        <v>0.99494388</v>
      </c>
      <c r="EY50">
        <v>0.99325381</v>
      </c>
      <c r="EZ50">
        <v>1.03584356</v>
      </c>
      <c r="FA50">
        <f t="shared" si="53"/>
        <v>1.00801375</v>
      </c>
      <c r="FG50">
        <v>23.05263306</v>
      </c>
      <c r="FH50">
        <v>1.18202374</v>
      </c>
      <c r="FI50">
        <v>0.97631684</v>
      </c>
      <c r="FJ50">
        <v>1.05289808</v>
      </c>
      <c r="FK50">
        <f t="shared" si="44"/>
        <v>1.07041288666667</v>
      </c>
      <c r="FM50">
        <v>26.93686019</v>
      </c>
      <c r="FN50">
        <v>0.95893067</v>
      </c>
      <c r="FO50">
        <v>0.92277975</v>
      </c>
      <c r="FP50">
        <v>1.01309907</v>
      </c>
      <c r="FQ50">
        <f t="shared" si="45"/>
        <v>0.964936496666667</v>
      </c>
      <c r="FS50">
        <v>27.08847706</v>
      </c>
      <c r="FT50">
        <v>0.95240442</v>
      </c>
      <c r="FU50">
        <v>0.93347047</v>
      </c>
      <c r="FV50">
        <v>1.03221775</v>
      </c>
      <c r="FW50">
        <f t="shared" si="46"/>
        <v>0.972697546666667</v>
      </c>
      <c r="GM50">
        <v>27.24381158</v>
      </c>
      <c r="GN50">
        <v>0.92395943</v>
      </c>
      <c r="GO50">
        <v>0.97562777</v>
      </c>
      <c r="GP50">
        <v>0.97402443</v>
      </c>
      <c r="GQ50">
        <f t="shared" si="47"/>
        <v>0.957870543333333</v>
      </c>
    </row>
    <row r="51" spans="15:199">
      <c r="O51">
        <v>230</v>
      </c>
      <c r="P51">
        <v>2.20179927</v>
      </c>
      <c r="Q51">
        <v>3.28957555</v>
      </c>
      <c r="R51">
        <v>1.20912274</v>
      </c>
      <c r="S51">
        <v>2.48779035</v>
      </c>
      <c r="T51">
        <v>2.35490811</v>
      </c>
      <c r="U51">
        <v>5.45625536</v>
      </c>
      <c r="V51">
        <v>5.14430435</v>
      </c>
      <c r="W51">
        <v>7.54178543</v>
      </c>
      <c r="X51">
        <v>6.40050285</v>
      </c>
      <c r="Y51">
        <v>13.32643438</v>
      </c>
      <c r="Z51">
        <v>8.04190075</v>
      </c>
      <c r="AA51">
        <v>14.27814407</v>
      </c>
      <c r="AC51">
        <v>230</v>
      </c>
      <c r="AD51">
        <v>2.30683959</v>
      </c>
      <c r="AE51">
        <v>4.07807491</v>
      </c>
      <c r="AF51">
        <v>1.56555232</v>
      </c>
      <c r="AG51">
        <v>2.83605388</v>
      </c>
      <c r="AH51">
        <v>3.28565594</v>
      </c>
      <c r="AI51">
        <v>7.51679479</v>
      </c>
      <c r="AJ51">
        <v>2.88489926</v>
      </c>
      <c r="AK51">
        <v>6.8989857</v>
      </c>
      <c r="AL51">
        <v>7.31815764</v>
      </c>
      <c r="AM51">
        <v>11.79808247</v>
      </c>
      <c r="AN51">
        <v>10.97331408</v>
      </c>
      <c r="AO51">
        <v>17.49042085</v>
      </c>
      <c r="BJ51">
        <v>2.375</v>
      </c>
      <c r="BK51">
        <v>0.50953269</v>
      </c>
      <c r="BL51">
        <v>0.50107997</v>
      </c>
      <c r="BM51">
        <v>0.61038432</v>
      </c>
      <c r="BN51">
        <v>1.07472641</v>
      </c>
      <c r="BO51">
        <v>0.72865617</v>
      </c>
      <c r="BP51">
        <v>0.50953269</v>
      </c>
      <c r="BQ51">
        <v>0</v>
      </c>
      <c r="CC51">
        <v>2.375</v>
      </c>
      <c r="CD51">
        <v>2.03596342</v>
      </c>
      <c r="CE51">
        <v>2.88269587</v>
      </c>
      <c r="CF51">
        <v>2.31566528</v>
      </c>
      <c r="CG51">
        <v>1.19816697</v>
      </c>
      <c r="CH51">
        <v>2.20665235</v>
      </c>
      <c r="CI51">
        <v>2.66477257</v>
      </c>
      <c r="CJ51">
        <v>2.20096892</v>
      </c>
      <c r="CK51">
        <v>1.72133299</v>
      </c>
      <c r="CL51">
        <v>2.85</v>
      </c>
      <c r="CM51">
        <v>0.48054935</v>
      </c>
      <c r="CN51">
        <v>0.86670507</v>
      </c>
      <c r="CO51">
        <v>2.85</v>
      </c>
      <c r="CP51">
        <v>0</v>
      </c>
      <c r="CQ51">
        <v>1.17871027</v>
      </c>
      <c r="CS51">
        <v>2.375</v>
      </c>
      <c r="CT51">
        <v>1.89546161</v>
      </c>
      <c r="CU51">
        <v>1.54388406</v>
      </c>
      <c r="CV51">
        <v>1.9241471</v>
      </c>
      <c r="CW51">
        <v>3.79568081</v>
      </c>
      <c r="CX51">
        <v>2.85</v>
      </c>
      <c r="CY51">
        <v>0.57694505</v>
      </c>
      <c r="CZ51">
        <v>0.7432583</v>
      </c>
      <c r="DA51">
        <v>2.375</v>
      </c>
      <c r="DB51">
        <v>2.12898184</v>
      </c>
      <c r="DC51">
        <v>3.61824558</v>
      </c>
      <c r="DD51">
        <v>1.54058733</v>
      </c>
      <c r="DE51">
        <v>3.67971366</v>
      </c>
      <c r="DF51">
        <v>2.8803677</v>
      </c>
      <c r="DG51">
        <v>5.08035443</v>
      </c>
      <c r="DX51">
        <v>23.05263306</v>
      </c>
      <c r="DY51">
        <v>1.12409335</v>
      </c>
      <c r="DZ51">
        <v>0.9979015</v>
      </c>
      <c r="EA51">
        <v>1.01643593</v>
      </c>
      <c r="EB51">
        <f t="shared" si="48"/>
        <v>1.04614359333333</v>
      </c>
      <c r="EC51">
        <v>26.74792931</v>
      </c>
      <c r="ED51">
        <v>0.99240877</v>
      </c>
      <c r="EE51">
        <v>0.99950706</v>
      </c>
      <c r="EF51">
        <v>1.05815247</v>
      </c>
      <c r="EG51">
        <f t="shared" si="49"/>
        <v>1.01668943333333</v>
      </c>
      <c r="EH51">
        <v>26.88201332</v>
      </c>
      <c r="EI51">
        <v>1.01282814</v>
      </c>
      <c r="EJ51">
        <v>1.00639856</v>
      </c>
      <c r="EK51">
        <v>1.02433371</v>
      </c>
      <c r="EL51">
        <f t="shared" si="50"/>
        <v>1.01452013666667</v>
      </c>
      <c r="EM51">
        <v>26.93686019</v>
      </c>
      <c r="EN51">
        <v>0.98159233</v>
      </c>
      <c r="EO51">
        <v>0.92852415</v>
      </c>
      <c r="EP51">
        <v>1.03820965</v>
      </c>
      <c r="EQ51">
        <f t="shared" si="51"/>
        <v>0.982775376666667</v>
      </c>
      <c r="ER51">
        <v>27.08847706</v>
      </c>
      <c r="ES51">
        <v>1.00001408</v>
      </c>
      <c r="ET51">
        <v>0.94255172</v>
      </c>
      <c r="EU51">
        <v>1.04666</v>
      </c>
      <c r="EV51">
        <f t="shared" si="52"/>
        <v>0.9964086</v>
      </c>
      <c r="EW51">
        <v>27.24381158</v>
      </c>
      <c r="EX51">
        <v>0.98750757</v>
      </c>
      <c r="EY51">
        <v>0.98632452</v>
      </c>
      <c r="EZ51">
        <v>1.04192781</v>
      </c>
      <c r="FA51">
        <f t="shared" si="53"/>
        <v>1.0052533</v>
      </c>
      <c r="FG51">
        <v>23.52794508</v>
      </c>
      <c r="FH51">
        <v>1.1168592</v>
      </c>
      <c r="FI51">
        <v>1.01175082</v>
      </c>
      <c r="FJ51">
        <v>1.13670684</v>
      </c>
      <c r="FK51">
        <f t="shared" si="44"/>
        <v>1.08843895333333</v>
      </c>
      <c r="FM51">
        <v>27.49225937</v>
      </c>
      <c r="FN51">
        <v>1.01643461</v>
      </c>
      <c r="FO51">
        <v>0.94584302</v>
      </c>
      <c r="FP51">
        <v>1.08780922</v>
      </c>
      <c r="FQ51">
        <f t="shared" si="45"/>
        <v>1.01669561666667</v>
      </c>
      <c r="FS51">
        <v>27.64700236</v>
      </c>
      <c r="FT51">
        <v>0.99402816</v>
      </c>
      <c r="FU51">
        <v>0.9124206</v>
      </c>
      <c r="FV51">
        <v>1.02353257</v>
      </c>
      <c r="FW51">
        <f t="shared" si="46"/>
        <v>0.976660443333333</v>
      </c>
      <c r="GM51">
        <v>27.80553965</v>
      </c>
      <c r="GN51">
        <v>0.93492654</v>
      </c>
      <c r="GO51">
        <v>0.96856302</v>
      </c>
      <c r="GP51">
        <v>0.99610305</v>
      </c>
      <c r="GQ51">
        <f t="shared" si="47"/>
        <v>0.96653087</v>
      </c>
    </row>
    <row r="52" spans="15:199">
      <c r="O52">
        <v>235</v>
      </c>
      <c r="P52">
        <v>2.22328359</v>
      </c>
      <c r="Q52">
        <v>3.3304803</v>
      </c>
      <c r="R52">
        <v>1.21149471</v>
      </c>
      <c r="S52">
        <v>2.52917476</v>
      </c>
      <c r="T52">
        <v>2.36844808</v>
      </c>
      <c r="U52">
        <v>5.57228081</v>
      </c>
      <c r="V52">
        <v>5.1780282</v>
      </c>
      <c r="W52">
        <v>7.61084656</v>
      </c>
      <c r="X52">
        <v>6.50369247</v>
      </c>
      <c r="Y52">
        <v>13.63694286</v>
      </c>
      <c r="Z52">
        <v>8.07824935</v>
      </c>
      <c r="AA52">
        <v>14.44883002</v>
      </c>
      <c r="AC52">
        <v>235</v>
      </c>
      <c r="AD52">
        <v>2.37878951</v>
      </c>
      <c r="AE52">
        <v>4.19786819</v>
      </c>
      <c r="AF52">
        <v>1.53782483</v>
      </c>
      <c r="AG52">
        <v>2.84867748</v>
      </c>
      <c r="AH52">
        <v>3.30782984</v>
      </c>
      <c r="AI52">
        <v>7.60037452</v>
      </c>
      <c r="AJ52">
        <v>2.92643408</v>
      </c>
      <c r="AK52">
        <v>6.97094276</v>
      </c>
      <c r="AL52">
        <v>7.44276052</v>
      </c>
      <c r="AM52">
        <v>11.89401687</v>
      </c>
      <c r="AN52">
        <v>11.19548048</v>
      </c>
      <c r="AO52">
        <v>17.78630594</v>
      </c>
      <c r="BJ52">
        <v>2.425</v>
      </c>
      <c r="BK52">
        <v>1.46621516</v>
      </c>
      <c r="BL52">
        <v>1.44189189</v>
      </c>
      <c r="BM52">
        <v>1.75642261</v>
      </c>
      <c r="BN52">
        <v>2.01264362</v>
      </c>
      <c r="BO52">
        <v>1.89706672</v>
      </c>
      <c r="BP52">
        <v>1.46621516</v>
      </c>
      <c r="BQ52">
        <v>0</v>
      </c>
      <c r="CC52">
        <v>2.425</v>
      </c>
      <c r="CD52">
        <v>1.51484669</v>
      </c>
      <c r="CE52">
        <v>0.92168383</v>
      </c>
      <c r="CF52">
        <v>1.82062436</v>
      </c>
      <c r="CG52">
        <v>0.45970765</v>
      </c>
      <c r="CH52">
        <v>1.71168334</v>
      </c>
      <c r="CI52">
        <v>0.69709684</v>
      </c>
      <c r="CJ52">
        <v>1.66276115</v>
      </c>
      <c r="CK52">
        <v>2.35869208</v>
      </c>
      <c r="CL52">
        <v>2.91</v>
      </c>
      <c r="CM52">
        <v>0.36216547</v>
      </c>
      <c r="CN52">
        <v>0.69277864</v>
      </c>
      <c r="CO52">
        <v>2.91</v>
      </c>
      <c r="CP52">
        <v>0</v>
      </c>
      <c r="CQ52">
        <v>0.28265162</v>
      </c>
      <c r="CS52">
        <v>2.425</v>
      </c>
      <c r="CT52">
        <v>1.5444133</v>
      </c>
      <c r="CU52">
        <v>1.72769019</v>
      </c>
      <c r="CV52">
        <v>1.63414414</v>
      </c>
      <c r="CW52">
        <v>3.88349548</v>
      </c>
      <c r="CX52">
        <v>2.91</v>
      </c>
      <c r="CY52">
        <v>0.50822413</v>
      </c>
      <c r="CZ52">
        <v>0.42775531</v>
      </c>
      <c r="DA52">
        <v>2.425</v>
      </c>
      <c r="DB52">
        <v>2.15991022</v>
      </c>
      <c r="DC52">
        <v>2.97478544</v>
      </c>
      <c r="DD52">
        <v>1.7972211</v>
      </c>
      <c r="DE52">
        <v>3.52954255</v>
      </c>
      <c r="DF52">
        <v>2.49872541</v>
      </c>
      <c r="DG52">
        <v>2.05179891</v>
      </c>
      <c r="DX52">
        <v>23.52794508</v>
      </c>
      <c r="DY52">
        <v>1.1002352</v>
      </c>
      <c r="DZ52">
        <v>0.98173317</v>
      </c>
      <c r="EA52">
        <v>1.08741884</v>
      </c>
      <c r="EB52">
        <f t="shared" si="48"/>
        <v>1.05646240333333</v>
      </c>
      <c r="EC52">
        <v>27.29943301</v>
      </c>
      <c r="ED52">
        <v>1.03651958</v>
      </c>
      <c r="EE52">
        <v>1.02925229</v>
      </c>
      <c r="EF52">
        <v>1.06913792</v>
      </c>
      <c r="EG52">
        <f t="shared" si="49"/>
        <v>1.04496993</v>
      </c>
      <c r="EH52">
        <v>27.43628164</v>
      </c>
      <c r="EI52">
        <v>1.03770047</v>
      </c>
      <c r="EJ52">
        <v>0.96579068</v>
      </c>
      <c r="EK52">
        <v>1.06308039</v>
      </c>
      <c r="EL52">
        <f t="shared" si="50"/>
        <v>1.02219051333333</v>
      </c>
      <c r="EM52">
        <v>27.49225937</v>
      </c>
      <c r="EN52">
        <v>1.02401307</v>
      </c>
      <c r="EO52">
        <v>0.95066406</v>
      </c>
      <c r="EP52">
        <v>1.08722167</v>
      </c>
      <c r="EQ52">
        <f t="shared" si="51"/>
        <v>1.02063293333333</v>
      </c>
      <c r="ER52">
        <v>27.64700236</v>
      </c>
      <c r="ES52">
        <v>1.03854767</v>
      </c>
      <c r="ET52">
        <v>0.94626988</v>
      </c>
      <c r="EU52">
        <v>1.06525076</v>
      </c>
      <c r="EV52">
        <f t="shared" si="52"/>
        <v>1.01668943666667</v>
      </c>
      <c r="EW52">
        <v>27.80553965</v>
      </c>
      <c r="EX52">
        <v>0.98987367</v>
      </c>
      <c r="EY52">
        <v>0.973649</v>
      </c>
      <c r="EZ52">
        <v>1.04226582</v>
      </c>
      <c r="FA52">
        <f t="shared" si="53"/>
        <v>1.00192949666667</v>
      </c>
      <c r="FG52">
        <v>24.0032571</v>
      </c>
      <c r="FH52">
        <v>1.11723933</v>
      </c>
      <c r="FI52">
        <v>1.01151727</v>
      </c>
      <c r="FJ52">
        <v>1.28727879</v>
      </c>
      <c r="FK52">
        <f t="shared" si="44"/>
        <v>1.13867846333333</v>
      </c>
      <c r="FM52">
        <v>28.04765855</v>
      </c>
      <c r="FN52">
        <v>1.04083678</v>
      </c>
      <c r="FO52">
        <v>0.99133027</v>
      </c>
      <c r="FP52">
        <v>1.03531904</v>
      </c>
      <c r="FQ52">
        <f t="shared" si="45"/>
        <v>1.02249536333333</v>
      </c>
      <c r="FS52">
        <v>28.20552766</v>
      </c>
      <c r="FT52">
        <v>1.03689197</v>
      </c>
      <c r="FU52">
        <v>0.89754079</v>
      </c>
      <c r="FV52">
        <v>1.05097839</v>
      </c>
      <c r="FW52">
        <f t="shared" si="46"/>
        <v>0.99513705</v>
      </c>
      <c r="GM52">
        <v>28.36726772</v>
      </c>
      <c r="GN52">
        <v>0.9684779</v>
      </c>
      <c r="GO52">
        <v>0.94855898</v>
      </c>
      <c r="GP52">
        <v>1.00004617</v>
      </c>
      <c r="GQ52">
        <f t="shared" si="47"/>
        <v>0.972361016666667</v>
      </c>
    </row>
    <row r="53" spans="15:199">
      <c r="O53">
        <v>240</v>
      </c>
      <c r="P53">
        <v>2.2455061</v>
      </c>
      <c r="Q53">
        <v>3.36749187</v>
      </c>
      <c r="R53">
        <v>1.22077271</v>
      </c>
      <c r="S53">
        <v>2.52637561</v>
      </c>
      <c r="T53">
        <v>2.41441059</v>
      </c>
      <c r="U53">
        <v>5.71109005</v>
      </c>
      <c r="V53">
        <v>5.2463685</v>
      </c>
      <c r="W53">
        <v>7.66777116</v>
      </c>
      <c r="X53">
        <v>6.58897019</v>
      </c>
      <c r="Y53">
        <v>13.86650359</v>
      </c>
      <c r="Z53">
        <v>8.1744906</v>
      </c>
      <c r="AA53">
        <v>14.67096555</v>
      </c>
      <c r="AC53">
        <v>240</v>
      </c>
      <c r="AD53">
        <v>2.48616681</v>
      </c>
      <c r="AE53">
        <v>4.34210678</v>
      </c>
      <c r="AF53">
        <v>1.54607871</v>
      </c>
      <c r="AG53">
        <v>2.89201947</v>
      </c>
      <c r="AH53">
        <v>3.38915394</v>
      </c>
      <c r="AI53">
        <v>7.74082169</v>
      </c>
      <c r="AJ53">
        <v>2.96246333</v>
      </c>
      <c r="AK53">
        <v>7.12983465</v>
      </c>
      <c r="AL53">
        <v>7.69108908</v>
      </c>
      <c r="AM53">
        <v>12.08779747</v>
      </c>
      <c r="AN53">
        <v>11.38634573</v>
      </c>
      <c r="AO53">
        <v>18.03229719</v>
      </c>
      <c r="BJ53">
        <v>2.475</v>
      </c>
      <c r="BK53">
        <v>3.70661293</v>
      </c>
      <c r="BL53">
        <v>3.27599694</v>
      </c>
      <c r="BM53">
        <v>3.65337973</v>
      </c>
      <c r="BN53">
        <v>3.53441858</v>
      </c>
      <c r="BO53">
        <v>4.07372425</v>
      </c>
      <c r="BP53">
        <v>3.70661293</v>
      </c>
      <c r="BQ53">
        <v>0</v>
      </c>
      <c r="CC53">
        <v>2.475</v>
      </c>
      <c r="CD53">
        <v>1.15640037</v>
      </c>
      <c r="CE53">
        <v>0.88482149</v>
      </c>
      <c r="CF53">
        <v>1.74780929</v>
      </c>
      <c r="CG53">
        <v>0.44132185</v>
      </c>
      <c r="CH53">
        <v>1.36051989</v>
      </c>
      <c r="CI53">
        <v>1.78457803</v>
      </c>
      <c r="CJ53">
        <v>1.41690473</v>
      </c>
      <c r="CK53">
        <v>0.67930717</v>
      </c>
      <c r="CL53">
        <v>2.97</v>
      </c>
      <c r="CM53">
        <v>0.37928816</v>
      </c>
      <c r="CN53">
        <v>1.33014252</v>
      </c>
      <c r="CO53">
        <v>2.97</v>
      </c>
      <c r="CP53">
        <v>0</v>
      </c>
      <c r="CQ53">
        <v>1.35673544</v>
      </c>
      <c r="CS53">
        <v>2.475</v>
      </c>
      <c r="CT53">
        <v>1.25743325</v>
      </c>
      <c r="CU53">
        <v>0.71082514</v>
      </c>
      <c r="CV53">
        <v>1.12583557</v>
      </c>
      <c r="CW53">
        <v>1.8640884</v>
      </c>
      <c r="CX53">
        <v>2.97</v>
      </c>
      <c r="CY53">
        <v>0.36863399</v>
      </c>
      <c r="CZ53">
        <v>0.5475299</v>
      </c>
      <c r="DA53">
        <v>2.475</v>
      </c>
      <c r="DB53">
        <v>1.56456929</v>
      </c>
      <c r="DC53">
        <v>1.18992092</v>
      </c>
      <c r="DD53">
        <v>1.03520522</v>
      </c>
      <c r="DE53">
        <v>1.69419003</v>
      </c>
      <c r="DF53">
        <v>1.96973812</v>
      </c>
      <c r="DG53">
        <v>1.96973812</v>
      </c>
      <c r="DX53">
        <v>24.0032571</v>
      </c>
      <c r="DY53">
        <v>1.03082968</v>
      </c>
      <c r="DZ53">
        <v>0.97009985</v>
      </c>
      <c r="EA53">
        <v>1.17930228</v>
      </c>
      <c r="EB53">
        <f t="shared" si="48"/>
        <v>1.06007727</v>
      </c>
      <c r="EC53">
        <v>27.85093671</v>
      </c>
      <c r="ED53">
        <v>1.03297044</v>
      </c>
      <c r="EE53">
        <v>1.01860485</v>
      </c>
      <c r="EF53">
        <v>1.06237765</v>
      </c>
      <c r="EG53">
        <f t="shared" si="49"/>
        <v>1.03798431333333</v>
      </c>
      <c r="EH53">
        <v>27.99054995</v>
      </c>
      <c r="EI53">
        <v>1.05225162</v>
      </c>
      <c r="EJ53">
        <v>0.95546951</v>
      </c>
      <c r="EK53">
        <v>1.07881594</v>
      </c>
      <c r="EL53">
        <f t="shared" si="50"/>
        <v>1.02884569</v>
      </c>
      <c r="EM53">
        <v>28.04765855</v>
      </c>
      <c r="EN53">
        <v>1.03330845</v>
      </c>
      <c r="EO53">
        <v>0.99088771</v>
      </c>
      <c r="EP53">
        <v>1.05206822</v>
      </c>
      <c r="EQ53">
        <f t="shared" si="51"/>
        <v>1.02542146</v>
      </c>
      <c r="ER53">
        <v>28.20552766</v>
      </c>
      <c r="ES53">
        <v>1.04496993</v>
      </c>
      <c r="ET53">
        <v>0.93511542</v>
      </c>
      <c r="EU53">
        <v>1.0611946</v>
      </c>
      <c r="EV53">
        <f t="shared" si="52"/>
        <v>1.01375998333333</v>
      </c>
      <c r="EW53">
        <v>28.36726772</v>
      </c>
      <c r="EX53">
        <v>1.00964748</v>
      </c>
      <c r="EY53">
        <v>0.98209935</v>
      </c>
      <c r="EZ53">
        <v>1.01370365</v>
      </c>
      <c r="FA53">
        <f t="shared" si="53"/>
        <v>1.00181682666667</v>
      </c>
      <c r="FG53">
        <v>24.47856912</v>
      </c>
      <c r="FH53">
        <v>1.06253142</v>
      </c>
      <c r="FI53">
        <v>1.02481906</v>
      </c>
      <c r="FJ53">
        <v>1.1875795</v>
      </c>
      <c r="FK53">
        <f t="shared" si="44"/>
        <v>1.09164332666667</v>
      </c>
      <c r="FM53">
        <v>28.60305773</v>
      </c>
      <c r="FN53">
        <v>1.03148803</v>
      </c>
      <c r="FO53">
        <v>0.9576876</v>
      </c>
      <c r="FP53">
        <v>1.07736167</v>
      </c>
      <c r="FQ53">
        <f t="shared" si="45"/>
        <v>1.0221791</v>
      </c>
      <c r="FS53">
        <v>28.76405296</v>
      </c>
      <c r="FT53">
        <v>1.00637211</v>
      </c>
      <c r="FU53">
        <v>0.87495812</v>
      </c>
      <c r="FV53">
        <v>1.02297467</v>
      </c>
      <c r="FW53">
        <f t="shared" si="46"/>
        <v>0.968101633333333</v>
      </c>
      <c r="GM53">
        <v>28.9289958</v>
      </c>
      <c r="GN53">
        <v>0.97928582</v>
      </c>
      <c r="GO53">
        <v>0.90216745</v>
      </c>
      <c r="GP53">
        <v>0.95259692</v>
      </c>
      <c r="GQ53">
        <f t="shared" si="47"/>
        <v>0.944683396666667</v>
      </c>
    </row>
    <row r="54" spans="15:199">
      <c r="O54">
        <v>245</v>
      </c>
      <c r="P54">
        <v>2.28071699</v>
      </c>
      <c r="Q54">
        <v>3.44124527</v>
      </c>
      <c r="R54">
        <v>1.20605152</v>
      </c>
      <c r="S54">
        <v>2.54448743</v>
      </c>
      <c r="T54">
        <v>2.45492679</v>
      </c>
      <c r="U54">
        <v>5.81751778</v>
      </c>
      <c r="V54">
        <v>5.28954663</v>
      </c>
      <c r="W54">
        <v>7.72551796</v>
      </c>
      <c r="X54">
        <v>6.7352094</v>
      </c>
      <c r="Y54">
        <v>14.17454813</v>
      </c>
      <c r="Z54">
        <v>8.33873042</v>
      </c>
      <c r="AA54">
        <v>14.96319217</v>
      </c>
      <c r="AC54">
        <v>245</v>
      </c>
      <c r="AD54">
        <v>2.55400586</v>
      </c>
      <c r="AE54">
        <v>4.44278178</v>
      </c>
      <c r="AF54">
        <v>1.57639199</v>
      </c>
      <c r="AG54">
        <v>2.9133343</v>
      </c>
      <c r="AH54">
        <v>3.43414146</v>
      </c>
      <c r="AI54">
        <v>7.8596437</v>
      </c>
      <c r="AJ54">
        <v>3.02304006</v>
      </c>
      <c r="AK54">
        <v>7.21963456</v>
      </c>
      <c r="AL54">
        <v>7.88665005</v>
      </c>
      <c r="AM54">
        <v>12.22682103</v>
      </c>
      <c r="AN54">
        <v>11.62161231</v>
      </c>
      <c r="AO54">
        <v>18.37515332</v>
      </c>
      <c r="BJ54">
        <v>2.525</v>
      </c>
      <c r="BK54">
        <v>4.77841902</v>
      </c>
      <c r="BL54">
        <v>5.36412302</v>
      </c>
      <c r="BM54">
        <v>5.35519629</v>
      </c>
      <c r="BN54">
        <v>4.4824983</v>
      </c>
      <c r="BO54">
        <v>4.83493036</v>
      </c>
      <c r="BP54">
        <v>4.77841902</v>
      </c>
      <c r="BQ54">
        <v>0</v>
      </c>
      <c r="CC54">
        <v>2.525</v>
      </c>
      <c r="CD54">
        <v>1.16155986</v>
      </c>
      <c r="CE54">
        <v>1.06265893</v>
      </c>
      <c r="CF54">
        <v>1.44417797</v>
      </c>
      <c r="CG54">
        <v>0.42401737</v>
      </c>
      <c r="CH54">
        <v>1.17136294</v>
      </c>
      <c r="CI54">
        <v>0.85730186</v>
      </c>
      <c r="CJ54">
        <v>1.49920503</v>
      </c>
      <c r="CK54">
        <v>1.95801347</v>
      </c>
      <c r="CL54">
        <v>3.03</v>
      </c>
      <c r="CM54">
        <v>0.35429339</v>
      </c>
      <c r="CN54">
        <v>1.91698033</v>
      </c>
      <c r="CO54">
        <v>3.03</v>
      </c>
      <c r="CP54">
        <v>0</v>
      </c>
      <c r="CQ54">
        <v>0.78212225</v>
      </c>
      <c r="CS54">
        <v>2.525</v>
      </c>
      <c r="CT54">
        <v>0.79339788</v>
      </c>
      <c r="CU54">
        <v>1.36590657</v>
      </c>
      <c r="CV54">
        <v>0.86889927</v>
      </c>
      <c r="CW54">
        <v>1.11937278</v>
      </c>
      <c r="CX54">
        <v>3.03</v>
      </c>
      <c r="CY54">
        <v>0.20834097</v>
      </c>
      <c r="CZ54">
        <v>1.18363714</v>
      </c>
      <c r="DA54">
        <v>2.525</v>
      </c>
      <c r="DB54">
        <v>1.10477736</v>
      </c>
      <c r="DC54">
        <v>0.68595807</v>
      </c>
      <c r="DD54">
        <v>0.97619546</v>
      </c>
      <c r="DE54">
        <v>1.62775989</v>
      </c>
      <c r="DF54">
        <v>1.25542317</v>
      </c>
      <c r="DG54">
        <v>1.65594064</v>
      </c>
      <c r="DX54">
        <v>24.47856912</v>
      </c>
      <c r="DY54">
        <v>0.99336648</v>
      </c>
      <c r="DZ54">
        <v>1.014267</v>
      </c>
      <c r="EA54">
        <v>1.17180964</v>
      </c>
      <c r="EB54">
        <f t="shared" si="48"/>
        <v>1.05981437333333</v>
      </c>
      <c r="EC54">
        <v>28.40244041</v>
      </c>
      <c r="ED54">
        <v>1.04209681</v>
      </c>
      <c r="EE54">
        <v>0.99038069</v>
      </c>
      <c r="EF54">
        <v>1.07082799</v>
      </c>
      <c r="EG54">
        <f t="shared" si="49"/>
        <v>1.03443516333333</v>
      </c>
      <c r="EH54">
        <v>28.54481827</v>
      </c>
      <c r="EI54">
        <v>1.00013818</v>
      </c>
      <c r="EJ54">
        <v>0.91926082</v>
      </c>
      <c r="EK54">
        <v>1.06697198</v>
      </c>
      <c r="EL54">
        <f t="shared" si="50"/>
        <v>0.995456993333333</v>
      </c>
      <c r="EM54">
        <v>28.60305773</v>
      </c>
      <c r="EN54">
        <v>1.00846443</v>
      </c>
      <c r="EO54">
        <v>0.94745292</v>
      </c>
      <c r="EP54">
        <v>1.04632199</v>
      </c>
      <c r="EQ54">
        <f t="shared" si="51"/>
        <v>1.00074644666667</v>
      </c>
      <c r="ER54">
        <v>28.76405296</v>
      </c>
      <c r="ES54">
        <v>1.00880244</v>
      </c>
      <c r="ET54">
        <v>0.91432756</v>
      </c>
      <c r="EU54">
        <v>1.05004014</v>
      </c>
      <c r="EV54">
        <f t="shared" si="52"/>
        <v>0.991056713333333</v>
      </c>
      <c r="EW54">
        <v>28.9289958</v>
      </c>
      <c r="EX54">
        <v>1.02553413</v>
      </c>
      <c r="EY54">
        <v>0.94863597</v>
      </c>
      <c r="EZ54">
        <v>1.00187316</v>
      </c>
      <c r="FA54">
        <f t="shared" si="53"/>
        <v>0.99201442</v>
      </c>
      <c r="FG54">
        <v>24.95388115</v>
      </c>
      <c r="FH54">
        <v>0.97148135</v>
      </c>
      <c r="FI54">
        <v>0.89858534</v>
      </c>
      <c r="FJ54">
        <v>1.12860768</v>
      </c>
      <c r="FK54">
        <f t="shared" si="44"/>
        <v>0.999558123333333</v>
      </c>
      <c r="FM54">
        <v>29.15845691</v>
      </c>
      <c r="FN54">
        <v>1.02877839</v>
      </c>
      <c r="FO54">
        <v>0.94325177</v>
      </c>
      <c r="FP54">
        <v>0.99726991</v>
      </c>
      <c r="FQ54">
        <f t="shared" si="45"/>
        <v>0.98976669</v>
      </c>
      <c r="FS54">
        <v>29.32257826</v>
      </c>
      <c r="FT54">
        <v>1.01909386</v>
      </c>
      <c r="FU54">
        <v>0.89281377</v>
      </c>
      <c r="FV54">
        <v>0.97268079</v>
      </c>
      <c r="FW54">
        <f t="shared" si="46"/>
        <v>0.961529473333333</v>
      </c>
      <c r="GM54">
        <v>29.49072387</v>
      </c>
      <c r="GN54">
        <v>0.98853359</v>
      </c>
      <c r="GO54">
        <v>0.88179427</v>
      </c>
      <c r="GP54">
        <v>0.94261427</v>
      </c>
      <c r="GQ54">
        <f t="shared" si="47"/>
        <v>0.937647376666667</v>
      </c>
    </row>
    <row r="55" spans="15:199">
      <c r="O55">
        <v>250</v>
      </c>
      <c r="P55">
        <v>2.26765865</v>
      </c>
      <c r="Q55">
        <v>3.44677705</v>
      </c>
      <c r="R55">
        <v>1.26574668</v>
      </c>
      <c r="S55">
        <v>2.5662399</v>
      </c>
      <c r="T55">
        <v>2.4639492</v>
      </c>
      <c r="U55">
        <v>5.91627847</v>
      </c>
      <c r="V55">
        <v>5.30739396</v>
      </c>
      <c r="W55">
        <v>7.80438414</v>
      </c>
      <c r="X55">
        <v>6.8802541</v>
      </c>
      <c r="Y55">
        <v>14.49282517</v>
      </c>
      <c r="Z55">
        <v>8.46961119</v>
      </c>
      <c r="AA55">
        <v>15.2759189</v>
      </c>
      <c r="AC55">
        <v>250</v>
      </c>
      <c r="AD55">
        <v>2.61434878</v>
      </c>
      <c r="AE55">
        <v>4.51882672</v>
      </c>
      <c r="AF55">
        <v>1.61101587</v>
      </c>
      <c r="AG55">
        <v>2.98318096</v>
      </c>
      <c r="AH55">
        <v>3.54117606</v>
      </c>
      <c r="AI55">
        <v>7.99556011</v>
      </c>
      <c r="AJ55">
        <v>3.02272627</v>
      </c>
      <c r="AK55">
        <v>7.39266687</v>
      </c>
      <c r="AL55">
        <v>8.00728292</v>
      </c>
      <c r="AM55">
        <v>12.30146064</v>
      </c>
      <c r="AN55">
        <v>11.80340008</v>
      </c>
      <c r="AO55">
        <v>18.46741797</v>
      </c>
      <c r="BJ55">
        <v>2.575</v>
      </c>
      <c r="BK55">
        <v>6.89198516</v>
      </c>
      <c r="BL55">
        <v>6.7350262</v>
      </c>
      <c r="BM55">
        <v>6.75028136</v>
      </c>
      <c r="BN55">
        <v>5.70328506</v>
      </c>
      <c r="BO55">
        <v>6.55286896</v>
      </c>
      <c r="BP55">
        <v>6.89198516</v>
      </c>
      <c r="BQ55">
        <v>0</v>
      </c>
      <c r="CC55">
        <v>2.575</v>
      </c>
      <c r="CD55">
        <v>0.85790109</v>
      </c>
      <c r="CE55">
        <v>0.81743406</v>
      </c>
      <c r="CF55">
        <v>1.11414111</v>
      </c>
      <c r="CG55">
        <v>0.20385553</v>
      </c>
      <c r="CH55">
        <v>0.97940538</v>
      </c>
      <c r="CI55">
        <v>0.20608321</v>
      </c>
      <c r="CJ55">
        <v>1.02731188</v>
      </c>
      <c r="CK55">
        <v>0.62757157</v>
      </c>
      <c r="CL55">
        <v>3.09</v>
      </c>
      <c r="CM55">
        <v>0.26280137</v>
      </c>
      <c r="CN55">
        <v>1.3517237</v>
      </c>
      <c r="CO55">
        <v>3.09</v>
      </c>
      <c r="CP55">
        <v>0</v>
      </c>
      <c r="CQ55">
        <v>1.00272588</v>
      </c>
      <c r="CS55">
        <v>2.575</v>
      </c>
      <c r="CT55">
        <v>0.72820975</v>
      </c>
      <c r="CU55">
        <v>0.43779277</v>
      </c>
      <c r="CV55">
        <v>0.76728147</v>
      </c>
      <c r="CW55">
        <v>1.07632539</v>
      </c>
      <c r="CX55">
        <v>3.09</v>
      </c>
      <c r="CY55">
        <v>0.33054262</v>
      </c>
      <c r="CZ55">
        <v>0.63228797</v>
      </c>
      <c r="DA55">
        <v>2.575</v>
      </c>
      <c r="DB55">
        <v>1.07970587</v>
      </c>
      <c r="DC55">
        <v>1.09929731</v>
      </c>
      <c r="DD55">
        <v>0.88552283</v>
      </c>
      <c r="DE55">
        <v>1.56516161</v>
      </c>
      <c r="DF55">
        <v>1.00895595</v>
      </c>
      <c r="DG55">
        <v>0.68239655</v>
      </c>
      <c r="DX55">
        <v>24.95388115</v>
      </c>
      <c r="DY55">
        <v>0.95136825</v>
      </c>
      <c r="DZ55">
        <v>0.91765137</v>
      </c>
      <c r="EA55">
        <v>1.15485261</v>
      </c>
      <c r="EB55">
        <f t="shared" si="48"/>
        <v>1.00795741</v>
      </c>
      <c r="EC55">
        <v>28.9539441</v>
      </c>
      <c r="ED55">
        <v>1.01167556</v>
      </c>
      <c r="EE55">
        <v>0.92412997</v>
      </c>
      <c r="EF55">
        <v>1.04615298</v>
      </c>
      <c r="EG55">
        <f t="shared" si="49"/>
        <v>0.99398617</v>
      </c>
      <c r="EH55">
        <v>29.09908658</v>
      </c>
      <c r="EI55">
        <v>0.98017264</v>
      </c>
      <c r="EJ55">
        <v>0.90487887</v>
      </c>
      <c r="EK55">
        <v>1.02839449</v>
      </c>
      <c r="EL55">
        <f t="shared" si="50"/>
        <v>0.971148666666667</v>
      </c>
      <c r="EM55">
        <v>29.15845691</v>
      </c>
      <c r="EN55">
        <v>1.01488669</v>
      </c>
      <c r="EO55">
        <v>0.96452263</v>
      </c>
      <c r="EP55">
        <v>1.01150656</v>
      </c>
      <c r="EQ55">
        <f t="shared" si="51"/>
        <v>0.99697196</v>
      </c>
      <c r="ER55">
        <v>29.32257826</v>
      </c>
      <c r="ES55">
        <v>1.01826683</v>
      </c>
      <c r="ET55">
        <v>0.92751011</v>
      </c>
      <c r="EU55">
        <v>1.01184457</v>
      </c>
      <c r="EV55">
        <f t="shared" si="52"/>
        <v>0.985873836666667</v>
      </c>
      <c r="EW55">
        <v>29.49072387</v>
      </c>
      <c r="EX55">
        <v>1.01133755</v>
      </c>
      <c r="EY55">
        <v>0.93359436</v>
      </c>
      <c r="EZ55">
        <v>0.98919764</v>
      </c>
      <c r="FA55">
        <f t="shared" si="53"/>
        <v>0.978043183333333</v>
      </c>
      <c r="FG55">
        <v>25.42919317</v>
      </c>
      <c r="FH55">
        <v>0.91712194</v>
      </c>
      <c r="FI55">
        <v>0.87368983</v>
      </c>
      <c r="FJ55">
        <v>1.03714682</v>
      </c>
      <c r="FK55">
        <f t="shared" si="44"/>
        <v>0.942652863333333</v>
      </c>
      <c r="FM55">
        <v>29.71385608</v>
      </c>
      <c r="FN55">
        <v>1.03949296</v>
      </c>
      <c r="FO55">
        <v>0.90106776</v>
      </c>
      <c r="FP55">
        <v>0.9603325</v>
      </c>
      <c r="FQ55">
        <f t="shared" si="45"/>
        <v>0.966964406666667</v>
      </c>
      <c r="FS55">
        <v>29.88110356</v>
      </c>
      <c r="FT55">
        <v>1.00014372</v>
      </c>
      <c r="FU55">
        <v>0.93479841</v>
      </c>
      <c r="FV55">
        <v>0.93470495</v>
      </c>
      <c r="FW55">
        <f t="shared" si="46"/>
        <v>0.956549026666667</v>
      </c>
      <c r="GM55">
        <v>30.05245195</v>
      </c>
      <c r="GN55">
        <v>0.98119605</v>
      </c>
      <c r="GO55">
        <v>0.92350875</v>
      </c>
      <c r="GP55">
        <v>0.94048872</v>
      </c>
      <c r="GQ55">
        <f t="shared" si="47"/>
        <v>0.94839784</v>
      </c>
    </row>
    <row r="56" spans="15:199">
      <c r="O56">
        <v>255</v>
      </c>
      <c r="P56">
        <v>2.27536571</v>
      </c>
      <c r="Q56">
        <v>3.45985871</v>
      </c>
      <c r="R56">
        <v>1.21189849</v>
      </c>
      <c r="S56">
        <v>2.5512092</v>
      </c>
      <c r="T56">
        <v>2.5413171</v>
      </c>
      <c r="U56">
        <v>6.03361264</v>
      </c>
      <c r="V56">
        <v>5.32768569</v>
      </c>
      <c r="W56">
        <v>7.87030373</v>
      </c>
      <c r="X56">
        <v>6.9116697</v>
      </c>
      <c r="Y56">
        <v>14.76134147</v>
      </c>
      <c r="Z56">
        <v>8.6422093</v>
      </c>
      <c r="AA56">
        <v>15.7274876</v>
      </c>
      <c r="AC56">
        <v>255</v>
      </c>
      <c r="AD56">
        <v>2.67343073</v>
      </c>
      <c r="AE56">
        <v>4.60551322</v>
      </c>
      <c r="AF56">
        <v>1.69994451</v>
      </c>
      <c r="AG56">
        <v>3.0409396</v>
      </c>
      <c r="AH56">
        <v>3.57647834</v>
      </c>
      <c r="AI56">
        <v>8.0597555</v>
      </c>
      <c r="AJ56">
        <v>3.10423958</v>
      </c>
      <c r="AK56">
        <v>7.57422191</v>
      </c>
      <c r="AL56">
        <v>8.24777367</v>
      </c>
      <c r="AM56">
        <v>12.50711084</v>
      </c>
      <c r="AN56">
        <v>12.05143583</v>
      </c>
      <c r="AO56">
        <v>18.65150021</v>
      </c>
      <c r="BJ56">
        <v>2.625</v>
      </c>
      <c r="BK56">
        <v>8.13351341</v>
      </c>
      <c r="BL56">
        <v>6.56294178</v>
      </c>
      <c r="BM56">
        <v>7.03688328</v>
      </c>
      <c r="BN56">
        <v>6.15839419</v>
      </c>
      <c r="BO56">
        <v>6.60385961</v>
      </c>
      <c r="BP56">
        <v>8.13351341</v>
      </c>
      <c r="BQ56">
        <v>0</v>
      </c>
      <c r="CC56">
        <v>2.625</v>
      </c>
      <c r="CD56">
        <v>1.01244414</v>
      </c>
      <c r="CE56">
        <v>0.39329561</v>
      </c>
      <c r="CF56">
        <v>1.08764086</v>
      </c>
      <c r="CG56">
        <v>0.78465519</v>
      </c>
      <c r="CH56">
        <v>0.83249852</v>
      </c>
      <c r="CI56">
        <v>0.99153715</v>
      </c>
      <c r="CJ56">
        <v>0.87693959</v>
      </c>
      <c r="CK56">
        <v>0.60389249</v>
      </c>
      <c r="CL56">
        <v>3.15</v>
      </c>
      <c r="CM56">
        <v>0.28098393</v>
      </c>
      <c r="CN56">
        <v>1.77371103</v>
      </c>
      <c r="CO56">
        <v>3.15</v>
      </c>
      <c r="CP56">
        <v>0</v>
      </c>
      <c r="CQ56">
        <v>1.08550321</v>
      </c>
      <c r="CS56">
        <v>2.625</v>
      </c>
      <c r="CT56">
        <v>0.63399694</v>
      </c>
      <c r="CU56">
        <v>0.42127428</v>
      </c>
      <c r="CV56">
        <v>0.90240449</v>
      </c>
      <c r="CW56">
        <v>0.8285714</v>
      </c>
      <c r="CX56">
        <v>3.15</v>
      </c>
      <c r="CY56">
        <v>0.20240871</v>
      </c>
      <c r="CZ56">
        <v>0.73011712</v>
      </c>
      <c r="DA56">
        <v>2.625</v>
      </c>
      <c r="DB56">
        <v>0.78760415</v>
      </c>
      <c r="DC56">
        <v>1.05781941</v>
      </c>
      <c r="DD56">
        <v>0.78394204</v>
      </c>
      <c r="DE56">
        <v>1.29094804</v>
      </c>
      <c r="DF56">
        <v>0.74550233</v>
      </c>
      <c r="DG56">
        <v>1.09441475</v>
      </c>
      <c r="DX56">
        <v>25.42919317</v>
      </c>
      <c r="DY56">
        <v>0.96635353</v>
      </c>
      <c r="DZ56">
        <v>0.88906103</v>
      </c>
      <c r="EA56">
        <v>1.07203921</v>
      </c>
      <c r="EB56">
        <f t="shared" si="48"/>
        <v>0.975817923333333</v>
      </c>
      <c r="EC56">
        <v>29.5054478</v>
      </c>
      <c r="ED56">
        <v>1.02113995</v>
      </c>
      <c r="EE56">
        <v>0.85416109</v>
      </c>
      <c r="EF56">
        <v>1.02130896</v>
      </c>
      <c r="EG56">
        <f t="shared" si="49"/>
        <v>0.965536666666667</v>
      </c>
      <c r="EH56">
        <v>29.6533549</v>
      </c>
      <c r="EI56">
        <v>0.99776939</v>
      </c>
      <c r="EJ56">
        <v>0.90640166</v>
      </c>
      <c r="EK56">
        <v>1.00013818</v>
      </c>
      <c r="EL56">
        <f t="shared" si="50"/>
        <v>0.968103076666667</v>
      </c>
      <c r="EM56">
        <v>29.71385608</v>
      </c>
      <c r="EN56">
        <v>1.01285861</v>
      </c>
      <c r="EO56">
        <v>0.924975</v>
      </c>
      <c r="EP56">
        <v>0.98683154</v>
      </c>
      <c r="EQ56">
        <f t="shared" si="51"/>
        <v>0.974888383333333</v>
      </c>
      <c r="ER56">
        <v>29.88110356</v>
      </c>
      <c r="ES56">
        <v>0.99984508</v>
      </c>
      <c r="ET56">
        <v>0.94829796</v>
      </c>
      <c r="EU56">
        <v>0.99595792</v>
      </c>
      <c r="EV56">
        <f t="shared" si="52"/>
        <v>0.981366986666667</v>
      </c>
      <c r="EW56">
        <v>30.05245195</v>
      </c>
      <c r="EX56">
        <v>1.00609833</v>
      </c>
      <c r="EY56">
        <v>0.98074729</v>
      </c>
      <c r="EZ56">
        <v>0.99781699</v>
      </c>
      <c r="FA56">
        <f t="shared" si="53"/>
        <v>0.994887536666667</v>
      </c>
      <c r="FG56">
        <v>25.90450519</v>
      </c>
      <c r="FH56">
        <v>0.91015747</v>
      </c>
      <c r="FI56">
        <v>0.87385821</v>
      </c>
      <c r="FJ56">
        <v>0.97304746</v>
      </c>
      <c r="FK56">
        <f t="shared" si="44"/>
        <v>0.919021046666667</v>
      </c>
      <c r="FM56">
        <v>30.26925526</v>
      </c>
      <c r="FN56">
        <v>1.01300704</v>
      </c>
      <c r="FO56">
        <v>0.9482735</v>
      </c>
      <c r="FP56">
        <v>0.92715264</v>
      </c>
      <c r="FQ56">
        <f t="shared" si="45"/>
        <v>0.96281106</v>
      </c>
      <c r="FS56">
        <v>30.43962886</v>
      </c>
      <c r="FT56">
        <v>0.9559434</v>
      </c>
      <c r="FU56">
        <v>0.90479979</v>
      </c>
      <c r="FV56">
        <v>0.98050861</v>
      </c>
      <c r="FW56">
        <f t="shared" si="46"/>
        <v>0.947083933333333</v>
      </c>
      <c r="GM56">
        <v>30.61418002</v>
      </c>
      <c r="GN56">
        <v>0.99221183</v>
      </c>
      <c r="GO56">
        <v>0.8826442</v>
      </c>
      <c r="GP56">
        <v>0.94611247</v>
      </c>
      <c r="GQ56">
        <f t="shared" si="47"/>
        <v>0.940322833333333</v>
      </c>
    </row>
    <row r="57" spans="15:199">
      <c r="O57">
        <v>260</v>
      </c>
      <c r="P57">
        <v>2.33659735</v>
      </c>
      <c r="Q57">
        <v>3.53264623</v>
      </c>
      <c r="R57">
        <v>1.22526819</v>
      </c>
      <c r="S57">
        <v>2.61362299</v>
      </c>
      <c r="T57">
        <v>2.54578993</v>
      </c>
      <c r="U57">
        <v>6.09785672</v>
      </c>
      <c r="V57">
        <v>5.39482061</v>
      </c>
      <c r="W57">
        <v>7.95925732</v>
      </c>
      <c r="X57">
        <v>7.06225371</v>
      </c>
      <c r="Y57">
        <v>15.13256494</v>
      </c>
      <c r="Z57">
        <v>8.80254449</v>
      </c>
      <c r="AA57">
        <v>16.02079348</v>
      </c>
      <c r="AC57">
        <v>260</v>
      </c>
      <c r="AD57">
        <v>2.72531396</v>
      </c>
      <c r="AE57">
        <v>4.70313709</v>
      </c>
      <c r="AF57">
        <v>1.70177389</v>
      </c>
      <c r="AG57">
        <v>3.07682369</v>
      </c>
      <c r="AH57">
        <v>3.59026639</v>
      </c>
      <c r="AI57">
        <v>8.1978714</v>
      </c>
      <c r="AJ57">
        <v>3.10912984</v>
      </c>
      <c r="AK57">
        <v>7.64885997</v>
      </c>
      <c r="AL57">
        <v>8.46243404</v>
      </c>
      <c r="AM57">
        <v>12.68949875</v>
      </c>
      <c r="AN57">
        <v>12.17503292</v>
      </c>
      <c r="AO57">
        <v>18.9009273</v>
      </c>
      <c r="BJ57">
        <v>2.675</v>
      </c>
      <c r="BK57">
        <v>9.0372776</v>
      </c>
      <c r="BL57">
        <v>7.18888417</v>
      </c>
      <c r="BM57">
        <v>7.25744489</v>
      </c>
      <c r="BN57">
        <v>6.69683758</v>
      </c>
      <c r="BO57">
        <v>6.76957816</v>
      </c>
      <c r="BP57">
        <v>9.0372776</v>
      </c>
      <c r="BQ57">
        <v>0</v>
      </c>
      <c r="CC57">
        <v>2.675</v>
      </c>
      <c r="CD57">
        <v>0.83995742</v>
      </c>
      <c r="CE57">
        <v>0</v>
      </c>
      <c r="CF57">
        <v>0.8079654</v>
      </c>
      <c r="CG57">
        <v>0.56669796</v>
      </c>
      <c r="CH57">
        <v>0.7260397</v>
      </c>
      <c r="CI57">
        <v>0.5728907</v>
      </c>
      <c r="CJ57">
        <v>0.9058797</v>
      </c>
      <c r="CK57">
        <v>0.38768581</v>
      </c>
      <c r="CL57">
        <v>3.21</v>
      </c>
      <c r="CM57">
        <v>0.22548194</v>
      </c>
      <c r="CN57">
        <v>2.04963082</v>
      </c>
      <c r="CO57">
        <v>3.21</v>
      </c>
      <c r="CP57">
        <v>0</v>
      </c>
      <c r="CQ57">
        <v>1.50988365</v>
      </c>
      <c r="CS57">
        <v>2.675</v>
      </c>
      <c r="CT57">
        <v>0.28919288</v>
      </c>
      <c r="CU57">
        <v>1.01418337</v>
      </c>
      <c r="CV57">
        <v>0.64778956</v>
      </c>
      <c r="CW57">
        <v>1.99471786</v>
      </c>
      <c r="CX57">
        <v>3.21</v>
      </c>
      <c r="CY57">
        <v>0.31557337</v>
      </c>
      <c r="CZ57">
        <v>0.58589908</v>
      </c>
      <c r="DA57">
        <v>2.675</v>
      </c>
      <c r="DB57">
        <v>0.66161528</v>
      </c>
      <c r="DC57">
        <v>0.2037291</v>
      </c>
      <c r="DD57">
        <v>0.78773273</v>
      </c>
      <c r="DE57">
        <v>0.20719012</v>
      </c>
      <c r="DF57">
        <v>0.81806565</v>
      </c>
      <c r="DG57">
        <v>0.84310847</v>
      </c>
      <c r="DX57">
        <v>25.90450519</v>
      </c>
      <c r="DY57">
        <v>0.99415518</v>
      </c>
      <c r="DZ57">
        <v>0.8892582</v>
      </c>
      <c r="EA57">
        <v>1.01308395</v>
      </c>
      <c r="EB57">
        <f t="shared" si="48"/>
        <v>0.96549911</v>
      </c>
      <c r="EC57">
        <v>30.0569515</v>
      </c>
      <c r="ED57">
        <v>1.00102813</v>
      </c>
      <c r="EE57">
        <v>0.86852668</v>
      </c>
      <c r="EF57">
        <v>1.01387265</v>
      </c>
      <c r="EG57">
        <f t="shared" si="49"/>
        <v>0.961142486666667</v>
      </c>
      <c r="EH57">
        <v>30.20762322</v>
      </c>
      <c r="EI57">
        <v>1.00301457</v>
      </c>
      <c r="EJ57">
        <v>0.94971673</v>
      </c>
      <c r="EK57">
        <v>0.99590819</v>
      </c>
      <c r="EL57">
        <f t="shared" si="50"/>
        <v>0.98287983</v>
      </c>
      <c r="EM57">
        <v>30.26925526</v>
      </c>
      <c r="EN57">
        <v>1.00457727</v>
      </c>
      <c r="EO57">
        <v>0.93291833</v>
      </c>
      <c r="EP57">
        <v>0.97804318</v>
      </c>
      <c r="EQ57">
        <f t="shared" si="51"/>
        <v>0.97184626</v>
      </c>
      <c r="ER57">
        <v>30.43962886</v>
      </c>
      <c r="ES57">
        <v>0.96232554</v>
      </c>
      <c r="ET57">
        <v>0.94576286</v>
      </c>
      <c r="EU57">
        <v>1.02925229</v>
      </c>
      <c r="EV57">
        <f t="shared" si="52"/>
        <v>0.979113563333333</v>
      </c>
      <c r="EW57">
        <v>30.61418002</v>
      </c>
      <c r="EX57">
        <v>1.01556272</v>
      </c>
      <c r="EY57">
        <v>0.9469459</v>
      </c>
      <c r="EZ57">
        <v>1.00153515</v>
      </c>
      <c r="FA57">
        <f t="shared" si="53"/>
        <v>0.98801459</v>
      </c>
      <c r="FG57">
        <v>26.37981721</v>
      </c>
      <c r="FH57">
        <v>0.90216435</v>
      </c>
      <c r="FI57">
        <v>0.97627322</v>
      </c>
      <c r="FJ57">
        <v>1.02790361</v>
      </c>
      <c r="FK57">
        <f t="shared" si="44"/>
        <v>0.968780393333333</v>
      </c>
      <c r="FM57">
        <v>30.82465444</v>
      </c>
      <c r="FN57">
        <v>1.01875871</v>
      </c>
      <c r="FO57">
        <v>0.94397624</v>
      </c>
      <c r="FP57">
        <v>0.99533105</v>
      </c>
      <c r="FQ57">
        <f t="shared" si="45"/>
        <v>0.986022</v>
      </c>
      <c r="FS57">
        <v>30.99815416</v>
      </c>
      <c r="FT57">
        <v>0.93732323</v>
      </c>
      <c r="FU57">
        <v>0.93631923</v>
      </c>
      <c r="FV57">
        <v>0.96624119</v>
      </c>
      <c r="FW57">
        <f t="shared" si="46"/>
        <v>0.946627883333333</v>
      </c>
      <c r="GM57">
        <v>31.17590809</v>
      </c>
      <c r="GN57">
        <v>0.98766847</v>
      </c>
      <c r="GO57">
        <v>0.96002036</v>
      </c>
      <c r="GP57">
        <v>0.96052391</v>
      </c>
      <c r="GQ57">
        <f t="shared" si="47"/>
        <v>0.969404246666667</v>
      </c>
    </row>
    <row r="58" spans="15:199">
      <c r="O58">
        <v>265</v>
      </c>
      <c r="P58">
        <v>2.34576252</v>
      </c>
      <c r="Q58">
        <v>3.59729667</v>
      </c>
      <c r="R58">
        <v>1.24443325</v>
      </c>
      <c r="S58">
        <v>2.65232304</v>
      </c>
      <c r="T58">
        <v>2.56868224</v>
      </c>
      <c r="U58">
        <v>6.17488805</v>
      </c>
      <c r="V58">
        <v>5.40006072</v>
      </c>
      <c r="W58">
        <v>8.07950307</v>
      </c>
      <c r="X58">
        <v>7.17788495</v>
      </c>
      <c r="Y58">
        <v>15.40140655</v>
      </c>
      <c r="Z58">
        <v>9.00538876</v>
      </c>
      <c r="AA58">
        <v>16.23408457</v>
      </c>
      <c r="AC58">
        <v>265</v>
      </c>
      <c r="AD58">
        <v>2.77119889</v>
      </c>
      <c r="AE58">
        <v>4.81043184</v>
      </c>
      <c r="AF58">
        <v>1.7314274</v>
      </c>
      <c r="AG58">
        <v>3.16039232</v>
      </c>
      <c r="AH58">
        <v>3.6005457</v>
      </c>
      <c r="AI58">
        <v>8.25390641</v>
      </c>
      <c r="AJ58">
        <v>3.21867754</v>
      </c>
      <c r="AK58">
        <v>7.73706977</v>
      </c>
      <c r="AL58">
        <v>8.63687935</v>
      </c>
      <c r="AM58">
        <v>12.89175613</v>
      </c>
      <c r="AN58">
        <v>12.37462938</v>
      </c>
      <c r="AO58">
        <v>19.09063794</v>
      </c>
      <c r="BJ58">
        <v>2.725</v>
      </c>
      <c r="BK58">
        <v>6.46378043</v>
      </c>
      <c r="BL58">
        <v>6.43267814</v>
      </c>
      <c r="BM58">
        <v>6.10488206</v>
      </c>
      <c r="BN58">
        <v>6.56997024</v>
      </c>
      <c r="BO58">
        <v>5.49550342</v>
      </c>
      <c r="BP58">
        <v>6.46378043</v>
      </c>
      <c r="BQ58">
        <v>0</v>
      </c>
      <c r="CC58">
        <v>2.725</v>
      </c>
      <c r="CD58">
        <v>0.56370109</v>
      </c>
      <c r="CE58">
        <v>0.36496032</v>
      </c>
      <c r="CF58">
        <v>0.66324175</v>
      </c>
      <c r="CG58">
        <v>0.72812409</v>
      </c>
      <c r="CH58">
        <v>0.58303435</v>
      </c>
      <c r="CI58">
        <v>0</v>
      </c>
      <c r="CJ58">
        <v>0.75457726</v>
      </c>
      <c r="CK58">
        <v>0.37358972</v>
      </c>
      <c r="CL58">
        <v>3.27</v>
      </c>
      <c r="CM58">
        <v>0.3215796</v>
      </c>
      <c r="CN58">
        <v>2.41401985</v>
      </c>
      <c r="CO58">
        <v>3.27</v>
      </c>
      <c r="CP58">
        <v>0</v>
      </c>
      <c r="CQ58">
        <v>1.34306303</v>
      </c>
      <c r="CS58">
        <v>2.725</v>
      </c>
      <c r="CT58">
        <v>0.63476646</v>
      </c>
      <c r="CU58">
        <v>0.39092325</v>
      </c>
      <c r="CV58">
        <v>0.6394615</v>
      </c>
      <c r="CW58">
        <v>0.38443816</v>
      </c>
      <c r="CX58">
        <v>3.27</v>
      </c>
      <c r="CY58">
        <v>0.18782601</v>
      </c>
      <c r="CZ58">
        <v>1.35503052</v>
      </c>
      <c r="DA58">
        <v>2.725</v>
      </c>
      <c r="DB58">
        <v>0.60645879</v>
      </c>
      <c r="DC58">
        <v>0.39264319</v>
      </c>
      <c r="DD58">
        <v>0.75909112</v>
      </c>
      <c r="DE58">
        <v>0.59897034</v>
      </c>
      <c r="DF58">
        <v>0.57917472</v>
      </c>
      <c r="DG58">
        <v>0.81245342</v>
      </c>
      <c r="DX58">
        <v>26.37981721</v>
      </c>
      <c r="DY58">
        <v>1.00322522</v>
      </c>
      <c r="DZ58">
        <v>0.9557061</v>
      </c>
      <c r="EA58">
        <v>1.04285734</v>
      </c>
      <c r="EB58">
        <f t="shared" si="48"/>
        <v>1.00059622</v>
      </c>
      <c r="EC58">
        <v>30.60845519</v>
      </c>
      <c r="ED58">
        <v>1.00136614</v>
      </c>
      <c r="EE58">
        <v>0.9322423</v>
      </c>
      <c r="EF58">
        <v>0.98176133</v>
      </c>
      <c r="EG58">
        <f t="shared" si="49"/>
        <v>0.971789923333333</v>
      </c>
      <c r="EH58">
        <v>30.76189153</v>
      </c>
      <c r="EI58">
        <v>1.0280561</v>
      </c>
      <c r="EJ58">
        <v>0.93702677</v>
      </c>
      <c r="EK58">
        <v>0.98575622</v>
      </c>
      <c r="EL58">
        <f t="shared" si="50"/>
        <v>0.98361303</v>
      </c>
      <c r="EM58">
        <v>30.82465444</v>
      </c>
      <c r="EN58">
        <v>1.02992831</v>
      </c>
      <c r="EO58">
        <v>0.93055223</v>
      </c>
      <c r="EP58">
        <v>1.02823824</v>
      </c>
      <c r="EQ58">
        <f t="shared" si="51"/>
        <v>0.996239593333333</v>
      </c>
      <c r="ER58">
        <v>30.99815416</v>
      </c>
      <c r="ES58">
        <v>0.97195893</v>
      </c>
      <c r="ET58">
        <v>0.95725533</v>
      </c>
      <c r="EU58">
        <v>1.00812642</v>
      </c>
      <c r="EV58">
        <f t="shared" si="52"/>
        <v>0.97911356</v>
      </c>
      <c r="EW58">
        <v>31.17590809</v>
      </c>
      <c r="EX58">
        <v>1.0295903</v>
      </c>
      <c r="EY58">
        <v>0.98683154</v>
      </c>
      <c r="EZ58">
        <v>0.99578891</v>
      </c>
      <c r="FA58">
        <f t="shared" si="53"/>
        <v>1.00407025</v>
      </c>
      <c r="FG58">
        <v>26.85512923</v>
      </c>
      <c r="FH58">
        <v>0.95679994</v>
      </c>
      <c r="FI58">
        <v>1.01416895</v>
      </c>
      <c r="FJ58">
        <v>1.0193098</v>
      </c>
      <c r="FK58">
        <f t="shared" si="44"/>
        <v>0.996759563333333</v>
      </c>
      <c r="FM58">
        <v>31.38005362</v>
      </c>
      <c r="FN58">
        <v>1.01302745</v>
      </c>
      <c r="FO58">
        <v>0.91447945</v>
      </c>
      <c r="FP58">
        <v>1.08048697</v>
      </c>
      <c r="FQ58">
        <f t="shared" si="45"/>
        <v>1.00266462333333</v>
      </c>
      <c r="FS58">
        <v>31.55667946</v>
      </c>
      <c r="FT58">
        <v>0.92195008</v>
      </c>
      <c r="FU58">
        <v>0.92243466</v>
      </c>
      <c r="FV58">
        <v>1.00430938</v>
      </c>
      <c r="FW58">
        <f t="shared" si="46"/>
        <v>0.949564706666667</v>
      </c>
      <c r="GM58">
        <v>31.73763617</v>
      </c>
      <c r="GN58">
        <v>1.01031911</v>
      </c>
      <c r="GO58">
        <v>0.91922002</v>
      </c>
      <c r="GP58">
        <v>0.96369108</v>
      </c>
      <c r="GQ58">
        <f t="shared" si="47"/>
        <v>0.96441007</v>
      </c>
    </row>
    <row r="59" spans="15:199">
      <c r="O59">
        <v>270</v>
      </c>
      <c r="P59">
        <v>2.36592274</v>
      </c>
      <c r="Q59">
        <v>3.63019315</v>
      </c>
      <c r="R59">
        <v>1.24954017</v>
      </c>
      <c r="S59">
        <v>2.70974221</v>
      </c>
      <c r="T59">
        <v>2.60863165</v>
      </c>
      <c r="U59">
        <v>6.28091914</v>
      </c>
      <c r="V59">
        <v>5.40477549</v>
      </c>
      <c r="W59">
        <v>8.12864187</v>
      </c>
      <c r="X59">
        <v>7.2456633</v>
      </c>
      <c r="Y59">
        <v>15.58649471</v>
      </c>
      <c r="Z59">
        <v>9.09861088</v>
      </c>
      <c r="AA59">
        <v>16.55869726</v>
      </c>
      <c r="AC59">
        <v>270</v>
      </c>
      <c r="AD59">
        <v>2.82789769</v>
      </c>
      <c r="AE59">
        <v>4.96758956</v>
      </c>
      <c r="AF59">
        <v>1.73493786</v>
      </c>
      <c r="AG59">
        <v>3.17256976</v>
      </c>
      <c r="AH59">
        <v>3.55794897</v>
      </c>
      <c r="AI59">
        <v>8.34833665</v>
      </c>
      <c r="AJ59">
        <v>3.26251409</v>
      </c>
      <c r="AK59">
        <v>7.88571795</v>
      </c>
      <c r="AL59">
        <v>8.83290093</v>
      </c>
      <c r="AM59">
        <v>13.01379693</v>
      </c>
      <c r="AN59">
        <v>12.52593343</v>
      </c>
      <c r="AO59">
        <v>19.23430655</v>
      </c>
      <c r="BJ59">
        <v>2.775</v>
      </c>
      <c r="BK59">
        <v>6.00901756</v>
      </c>
      <c r="BL59">
        <v>5.2853662</v>
      </c>
      <c r="BM59">
        <v>5.14170021</v>
      </c>
      <c r="BN59">
        <v>4.08611579</v>
      </c>
      <c r="BO59">
        <v>4.87989104</v>
      </c>
      <c r="BP59">
        <v>6.00901756</v>
      </c>
      <c r="BQ59">
        <v>0</v>
      </c>
      <c r="CC59">
        <v>2.775</v>
      </c>
      <c r="CD59">
        <v>0.57144652</v>
      </c>
      <c r="CE59">
        <v>0.17596372</v>
      </c>
      <c r="CF59">
        <v>0.70907418</v>
      </c>
      <c r="CG59">
        <v>0.17553062</v>
      </c>
      <c r="CH59">
        <v>0.67465673</v>
      </c>
      <c r="CI59">
        <v>0.17744878</v>
      </c>
      <c r="CJ59">
        <v>0.82750191</v>
      </c>
      <c r="CK59">
        <v>0.18012434</v>
      </c>
      <c r="CL59">
        <v>3.33</v>
      </c>
      <c r="CM59">
        <v>0.29333392</v>
      </c>
      <c r="CN59">
        <v>2.43362392</v>
      </c>
      <c r="CO59">
        <v>3.33</v>
      </c>
      <c r="CP59">
        <v>0</v>
      </c>
      <c r="CQ59">
        <v>1.72680225</v>
      </c>
      <c r="CS59">
        <v>2.775</v>
      </c>
      <c r="CT59">
        <v>0.41801861</v>
      </c>
      <c r="CU59">
        <v>0.37696321</v>
      </c>
      <c r="CV59">
        <v>0.44044718</v>
      </c>
      <c r="CW59">
        <v>0.18535486</v>
      </c>
      <c r="CX59">
        <v>3.33</v>
      </c>
      <c r="CY59">
        <v>0.16386927</v>
      </c>
      <c r="CZ59">
        <v>2.39550999</v>
      </c>
      <c r="DA59">
        <v>2.775</v>
      </c>
      <c r="DB59">
        <v>0.50982729</v>
      </c>
      <c r="DC59">
        <v>0.56793261</v>
      </c>
      <c r="DD59">
        <v>0.44224013</v>
      </c>
      <c r="DE59">
        <v>0.96263476</v>
      </c>
      <c r="DF59">
        <v>0.48092379</v>
      </c>
      <c r="DG59">
        <v>0.58758028</v>
      </c>
      <c r="DX59">
        <v>26.85512923</v>
      </c>
      <c r="DY59">
        <v>0.96398744</v>
      </c>
      <c r="DZ59">
        <v>0.98370491</v>
      </c>
      <c r="EA59">
        <v>1.05311043</v>
      </c>
      <c r="EB59">
        <f t="shared" si="48"/>
        <v>1.00026759333333</v>
      </c>
      <c r="EC59">
        <v>31.15995889</v>
      </c>
      <c r="ED59">
        <v>1.08908074</v>
      </c>
      <c r="EE59">
        <v>0.96029745</v>
      </c>
      <c r="EF59">
        <v>1.00880244</v>
      </c>
      <c r="EG59">
        <f t="shared" si="49"/>
        <v>1.01939354333333</v>
      </c>
      <c r="EH59">
        <v>31.31615985</v>
      </c>
      <c r="EI59">
        <v>1.06764878</v>
      </c>
      <c r="EJ59">
        <v>0.96832868</v>
      </c>
      <c r="EK59">
        <v>1.01384334</v>
      </c>
      <c r="EL59">
        <f t="shared" si="50"/>
        <v>1.01660693333333</v>
      </c>
      <c r="EM59">
        <v>31.38005362</v>
      </c>
      <c r="EN59">
        <v>1.05071617</v>
      </c>
      <c r="EO59">
        <v>0.96317057</v>
      </c>
      <c r="EP59">
        <v>1.06288467</v>
      </c>
      <c r="EQ59">
        <f t="shared" si="51"/>
        <v>1.02559047</v>
      </c>
      <c r="ER59">
        <v>31.55667946</v>
      </c>
      <c r="ES59">
        <v>0.99342281</v>
      </c>
      <c r="ET59">
        <v>0.94829796</v>
      </c>
      <c r="EU59">
        <v>1.02063293</v>
      </c>
      <c r="EV59">
        <f t="shared" si="52"/>
        <v>0.987451233333333</v>
      </c>
      <c r="EW59">
        <v>31.73763617</v>
      </c>
      <c r="EX59">
        <v>1.04868808</v>
      </c>
      <c r="EY59">
        <v>0.95979043</v>
      </c>
      <c r="EZ59">
        <v>0.99984508</v>
      </c>
      <c r="FA59">
        <f t="shared" si="53"/>
        <v>1.00277453</v>
      </c>
      <c r="FG59">
        <v>27.33044126</v>
      </c>
      <c r="FH59">
        <v>0.96365866</v>
      </c>
      <c r="FI59">
        <v>0.99079233</v>
      </c>
      <c r="FJ59">
        <v>1.03629176</v>
      </c>
      <c r="FK59">
        <f t="shared" si="44"/>
        <v>0.99691425</v>
      </c>
      <c r="FM59">
        <v>31.9354528</v>
      </c>
      <c r="FN59">
        <v>1.09571391</v>
      </c>
      <c r="FO59">
        <v>0.96004944</v>
      </c>
      <c r="FP59">
        <v>1.07247474</v>
      </c>
      <c r="FQ59">
        <f t="shared" si="45"/>
        <v>1.04274603</v>
      </c>
      <c r="FS59">
        <v>32.11520476</v>
      </c>
      <c r="FT59">
        <v>0.96167427</v>
      </c>
      <c r="FU59">
        <v>0.9330392</v>
      </c>
      <c r="FV59">
        <v>1.03933435</v>
      </c>
      <c r="FW59">
        <f t="shared" si="46"/>
        <v>0.97801594</v>
      </c>
      <c r="GM59">
        <v>32.29936424</v>
      </c>
      <c r="GN59">
        <v>0.9871653</v>
      </c>
      <c r="GO59">
        <v>0.91410493</v>
      </c>
      <c r="GP59">
        <v>1.00113151</v>
      </c>
      <c r="GQ59">
        <f t="shared" si="47"/>
        <v>0.967467246666667</v>
      </c>
    </row>
    <row r="60" spans="15:199">
      <c r="O60">
        <v>275</v>
      </c>
      <c r="P60">
        <v>2.36010293</v>
      </c>
      <c r="Q60">
        <v>3.65529205</v>
      </c>
      <c r="R60">
        <v>1.26556712</v>
      </c>
      <c r="S60">
        <v>2.71353775</v>
      </c>
      <c r="T60">
        <v>2.69490174</v>
      </c>
      <c r="U60">
        <v>6.39218421</v>
      </c>
      <c r="V60">
        <v>5.33690469</v>
      </c>
      <c r="W60">
        <v>8.24910475</v>
      </c>
      <c r="X60">
        <v>7.31608243</v>
      </c>
      <c r="Y60">
        <v>15.80478737</v>
      </c>
      <c r="Z60">
        <v>9.3339431</v>
      </c>
      <c r="AA60">
        <v>16.90727802</v>
      </c>
      <c r="AC60">
        <v>275</v>
      </c>
      <c r="AD60">
        <v>2.90995345</v>
      </c>
      <c r="AE60">
        <v>5.08324497</v>
      </c>
      <c r="AF60">
        <v>1.77990321</v>
      </c>
      <c r="AG60">
        <v>3.25946608</v>
      </c>
      <c r="AH60">
        <v>3.60471469</v>
      </c>
      <c r="AI60">
        <v>8.39172624</v>
      </c>
      <c r="AJ60">
        <v>3.29930992</v>
      </c>
      <c r="AK60">
        <v>7.9645408</v>
      </c>
      <c r="AL60">
        <v>8.97075959</v>
      </c>
      <c r="AM60">
        <v>13.19262282</v>
      </c>
      <c r="AN60">
        <v>12.70203294</v>
      </c>
      <c r="AO60">
        <v>19.40922277</v>
      </c>
      <c r="BJ60">
        <v>2.825</v>
      </c>
      <c r="BK60">
        <v>4.42967834</v>
      </c>
      <c r="BL60">
        <v>4.10828026</v>
      </c>
      <c r="BM60">
        <v>4.70964794</v>
      </c>
      <c r="BN60">
        <v>3.87041408</v>
      </c>
      <c r="BO60">
        <v>4.59832488</v>
      </c>
      <c r="BP60">
        <v>4.42967834</v>
      </c>
      <c r="BQ60">
        <v>0</v>
      </c>
      <c r="CC60">
        <v>2.825</v>
      </c>
      <c r="CD60">
        <v>0.41691058</v>
      </c>
      <c r="CE60">
        <v>0.1697902</v>
      </c>
      <c r="CF60">
        <v>0.69761261</v>
      </c>
      <c r="CG60">
        <v>0.33874459</v>
      </c>
      <c r="CH60">
        <v>0.44755359</v>
      </c>
      <c r="CI60">
        <v>0.34244631</v>
      </c>
      <c r="CJ60">
        <v>0.68833602</v>
      </c>
      <c r="CK60">
        <v>0.52141454</v>
      </c>
      <c r="CL60">
        <v>3.39</v>
      </c>
      <c r="CM60">
        <v>0.2102602</v>
      </c>
      <c r="CN60">
        <v>4.18599755</v>
      </c>
      <c r="CO60">
        <v>3.39</v>
      </c>
      <c r="CP60">
        <v>0</v>
      </c>
      <c r="CQ60">
        <v>1.97863509</v>
      </c>
      <c r="CS60">
        <v>2.825</v>
      </c>
      <c r="CT60">
        <v>0.41775828</v>
      </c>
      <c r="CU60">
        <v>0.18186891</v>
      </c>
      <c r="CV60">
        <v>0.31166264</v>
      </c>
      <c r="CW60">
        <v>0.53655557</v>
      </c>
      <c r="CX60">
        <v>3.39</v>
      </c>
      <c r="CY60">
        <v>0.17476429</v>
      </c>
      <c r="CZ60">
        <v>2.31146578</v>
      </c>
      <c r="DA60">
        <v>2.825</v>
      </c>
      <c r="DB60">
        <v>0.41959629</v>
      </c>
      <c r="DC60">
        <v>0.18266908</v>
      </c>
      <c r="DD60">
        <v>0.38258063</v>
      </c>
      <c r="DE60">
        <v>0.37154465</v>
      </c>
      <c r="DF60">
        <v>0.47902042</v>
      </c>
      <c r="DG60">
        <v>0.56696558</v>
      </c>
      <c r="DX60">
        <v>27.33044126</v>
      </c>
      <c r="DY60">
        <v>0.96931116</v>
      </c>
      <c r="DZ60">
        <v>0.9760151</v>
      </c>
      <c r="EA60">
        <v>1.09096799</v>
      </c>
      <c r="EB60">
        <f t="shared" si="48"/>
        <v>1.01209808333333</v>
      </c>
      <c r="EC60">
        <v>31.71146259</v>
      </c>
      <c r="ED60">
        <v>1.0831655</v>
      </c>
      <c r="EE60">
        <v>0.97449404</v>
      </c>
      <c r="EF60">
        <v>1.05443432</v>
      </c>
      <c r="EG60">
        <f t="shared" si="49"/>
        <v>1.03736462</v>
      </c>
      <c r="EH60">
        <v>31.87042816</v>
      </c>
      <c r="EI60">
        <v>1.06494158</v>
      </c>
      <c r="EJ60">
        <v>0.94954753</v>
      </c>
      <c r="EK60">
        <v>1.04091526</v>
      </c>
      <c r="EL60">
        <f t="shared" si="50"/>
        <v>1.01846812333333</v>
      </c>
      <c r="EM60">
        <v>31.9354528</v>
      </c>
      <c r="EN60">
        <v>1.10547442</v>
      </c>
      <c r="EO60">
        <v>0.95556526</v>
      </c>
      <c r="EP60">
        <v>1.06440573</v>
      </c>
      <c r="EQ60">
        <f t="shared" si="51"/>
        <v>1.04181513666667</v>
      </c>
      <c r="ER60">
        <v>32.11520476</v>
      </c>
      <c r="ES60">
        <v>0.98514147</v>
      </c>
      <c r="ET60">
        <v>0.94103066</v>
      </c>
      <c r="EU60">
        <v>1.03128037</v>
      </c>
      <c r="EV60">
        <f t="shared" si="52"/>
        <v>0.9858175</v>
      </c>
      <c r="EW60">
        <v>32.29936424</v>
      </c>
      <c r="EX60">
        <v>1.01387265</v>
      </c>
      <c r="EY60">
        <v>0.98176133</v>
      </c>
      <c r="EZ60">
        <v>1.02891427</v>
      </c>
      <c r="FA60">
        <f t="shared" si="53"/>
        <v>1.00818275</v>
      </c>
      <c r="FG60">
        <v>27.80575328</v>
      </c>
      <c r="FH60">
        <v>0.99715944</v>
      </c>
      <c r="FI60">
        <v>1.00385245</v>
      </c>
      <c r="FJ60">
        <v>1.08019905</v>
      </c>
      <c r="FK60">
        <f t="shared" si="44"/>
        <v>1.02707031333333</v>
      </c>
      <c r="FM60">
        <v>32.49085198</v>
      </c>
      <c r="FN60">
        <v>1.09579815</v>
      </c>
      <c r="FO60">
        <v>0.98601133</v>
      </c>
      <c r="FP60">
        <v>1.02785692</v>
      </c>
      <c r="FQ60">
        <f t="shared" si="45"/>
        <v>1.03655546666667</v>
      </c>
      <c r="FS60">
        <v>32.67373006</v>
      </c>
      <c r="FT60">
        <v>0.96101426</v>
      </c>
      <c r="FU60">
        <v>0.94982555</v>
      </c>
      <c r="FV60">
        <v>0.99293236</v>
      </c>
      <c r="FW60">
        <f t="shared" si="46"/>
        <v>0.967924056666667</v>
      </c>
      <c r="GM60">
        <v>32.86109231</v>
      </c>
      <c r="GN60">
        <v>0.96555388</v>
      </c>
      <c r="GO60">
        <v>0.95691922</v>
      </c>
      <c r="GP60">
        <v>0.99408722</v>
      </c>
      <c r="GQ60">
        <f t="shared" si="47"/>
        <v>0.972186773333333</v>
      </c>
    </row>
    <row r="61" spans="15:199">
      <c r="O61">
        <v>280</v>
      </c>
      <c r="P61">
        <v>2.40451359</v>
      </c>
      <c r="Q61">
        <v>3.76391439</v>
      </c>
      <c r="R61">
        <v>1.26957177</v>
      </c>
      <c r="S61">
        <v>2.74778905</v>
      </c>
      <c r="T61">
        <v>2.71369653</v>
      </c>
      <c r="U61">
        <v>6.51176191</v>
      </c>
      <c r="V61">
        <v>5.40037611</v>
      </c>
      <c r="W61">
        <v>8.30634504</v>
      </c>
      <c r="X61">
        <v>7.43973003</v>
      </c>
      <c r="Y61">
        <v>16.00053847</v>
      </c>
      <c r="Z61">
        <v>9.44294064</v>
      </c>
      <c r="AA61">
        <v>17.16385294</v>
      </c>
      <c r="AC61">
        <v>280</v>
      </c>
      <c r="AD61">
        <v>2.94621437</v>
      </c>
      <c r="AE61">
        <v>5.15527643</v>
      </c>
      <c r="AF61">
        <v>1.81488113</v>
      </c>
      <c r="AG61">
        <v>3.31321021</v>
      </c>
      <c r="AH61">
        <v>3.63239761</v>
      </c>
      <c r="AI61">
        <v>8.44574403</v>
      </c>
      <c r="AJ61">
        <v>3.39245376</v>
      </c>
      <c r="AK61">
        <v>8.08925437</v>
      </c>
      <c r="AL61">
        <v>9.17741626</v>
      </c>
      <c r="AM61">
        <v>13.35775722</v>
      </c>
      <c r="AN61">
        <v>12.92046649</v>
      </c>
      <c r="AO61">
        <v>19.71432899</v>
      </c>
      <c r="BJ61">
        <v>2.875</v>
      </c>
      <c r="BK61">
        <v>3.16424476</v>
      </c>
      <c r="BL61">
        <v>2.87238703</v>
      </c>
      <c r="BM61">
        <v>3.9918718</v>
      </c>
      <c r="BN61">
        <v>3.73696498</v>
      </c>
      <c r="BO61">
        <v>3.26767656</v>
      </c>
      <c r="BP61">
        <v>3.16424476</v>
      </c>
      <c r="BQ61">
        <v>0</v>
      </c>
      <c r="CC61">
        <v>2.875</v>
      </c>
      <c r="CD61">
        <v>0.36358072</v>
      </c>
      <c r="CE61">
        <v>0.3278719</v>
      </c>
      <c r="CF61">
        <v>0.50516957</v>
      </c>
      <c r="CG61">
        <v>0</v>
      </c>
      <c r="CH61">
        <v>0.41902765</v>
      </c>
      <c r="CI61">
        <v>0</v>
      </c>
      <c r="CJ61">
        <v>0.49180599</v>
      </c>
      <c r="CK61">
        <v>0</v>
      </c>
      <c r="CL61">
        <v>3.45</v>
      </c>
      <c r="CM61">
        <v>0.21081868</v>
      </c>
      <c r="CN61">
        <v>3.25304934</v>
      </c>
      <c r="CO61">
        <v>3.45</v>
      </c>
      <c r="CP61">
        <v>0</v>
      </c>
      <c r="CQ61">
        <v>2.81534573</v>
      </c>
      <c r="CS61">
        <v>2.875</v>
      </c>
      <c r="CT61">
        <v>0.2642666</v>
      </c>
      <c r="CU61">
        <v>0.52679459</v>
      </c>
      <c r="CV61">
        <v>0.38298494</v>
      </c>
      <c r="CW61">
        <v>0.17268517</v>
      </c>
      <c r="CX61">
        <v>3.45</v>
      </c>
      <c r="CY61">
        <v>0.13659787</v>
      </c>
      <c r="CZ61">
        <v>2.53610011</v>
      </c>
      <c r="DA61">
        <v>2.875</v>
      </c>
      <c r="DB61">
        <v>0.36321903</v>
      </c>
      <c r="DC61">
        <v>0.17637078</v>
      </c>
      <c r="DD61">
        <v>0.38359681</v>
      </c>
      <c r="DE61">
        <v>0.89683514</v>
      </c>
      <c r="DF61">
        <v>0.39023787</v>
      </c>
      <c r="DG61">
        <v>0.72988935</v>
      </c>
      <c r="DX61">
        <v>27.80575328</v>
      </c>
      <c r="DY61">
        <v>0.9712829</v>
      </c>
      <c r="DZ61">
        <v>0.97916989</v>
      </c>
      <c r="EA61">
        <v>1.1018126</v>
      </c>
      <c r="EB61">
        <f t="shared" si="48"/>
        <v>1.01742179666667</v>
      </c>
      <c r="EC61">
        <v>32.26296629</v>
      </c>
      <c r="ED61">
        <v>1.06457474</v>
      </c>
      <c r="EE61">
        <v>0.9785502</v>
      </c>
      <c r="EF61">
        <v>1.0101545</v>
      </c>
      <c r="EG61">
        <f t="shared" si="49"/>
        <v>1.01775981333333</v>
      </c>
      <c r="EH61">
        <v>32.42469648</v>
      </c>
      <c r="EI61">
        <v>1.03194768</v>
      </c>
      <c r="EJ61">
        <v>0.95157793</v>
      </c>
      <c r="EK61">
        <v>1.02111892</v>
      </c>
      <c r="EL61">
        <f t="shared" si="50"/>
        <v>1.00154817666667</v>
      </c>
      <c r="EM61">
        <v>32.49085198</v>
      </c>
      <c r="EN61">
        <v>1.08384153</v>
      </c>
      <c r="EO61">
        <v>0.9883526</v>
      </c>
      <c r="EP61">
        <v>1.0028872</v>
      </c>
      <c r="EQ61">
        <f t="shared" si="51"/>
        <v>1.02502711</v>
      </c>
      <c r="ER61">
        <v>32.67373006</v>
      </c>
      <c r="ES61">
        <v>0.99443685</v>
      </c>
      <c r="ET61">
        <v>0.97567708</v>
      </c>
      <c r="EU61">
        <v>0.99714097</v>
      </c>
      <c r="EV61">
        <f t="shared" si="52"/>
        <v>0.989084966666667</v>
      </c>
      <c r="EW61">
        <v>32.86109231</v>
      </c>
      <c r="EX61">
        <v>1.01691478</v>
      </c>
      <c r="EY61">
        <v>0.98429644</v>
      </c>
      <c r="EZ61">
        <v>1.01218258</v>
      </c>
      <c r="FA61">
        <f t="shared" si="53"/>
        <v>1.0044646</v>
      </c>
      <c r="FG61">
        <v>28.2810653</v>
      </c>
      <c r="FH61">
        <v>0.96056119</v>
      </c>
      <c r="FI61">
        <v>0.920265</v>
      </c>
      <c r="FJ61">
        <v>1.12561864</v>
      </c>
      <c r="FK61">
        <f t="shared" si="44"/>
        <v>1.00214827666667</v>
      </c>
      <c r="FM61">
        <v>33.04625116</v>
      </c>
      <c r="FN61">
        <v>1.02620854</v>
      </c>
      <c r="FO61">
        <v>1.04917002</v>
      </c>
      <c r="FP61">
        <v>0.99723325</v>
      </c>
      <c r="FQ61">
        <f t="shared" si="45"/>
        <v>1.02420393666667</v>
      </c>
      <c r="FS61">
        <v>33.23225536</v>
      </c>
      <c r="FT61">
        <v>1.00205926</v>
      </c>
      <c r="FU61">
        <v>0.98315038</v>
      </c>
      <c r="FV61">
        <v>0.97682382</v>
      </c>
      <c r="FW61">
        <f t="shared" si="46"/>
        <v>0.987344486666667</v>
      </c>
      <c r="GM61">
        <v>33.42282039</v>
      </c>
      <c r="GN61">
        <v>0.94434082</v>
      </c>
      <c r="GO61">
        <v>0.94572635</v>
      </c>
      <c r="GP61">
        <v>0.97574452</v>
      </c>
      <c r="GQ61">
        <f t="shared" si="47"/>
        <v>0.955270563333333</v>
      </c>
    </row>
    <row r="62" spans="15:199">
      <c r="O62">
        <v>285</v>
      </c>
      <c r="P62">
        <v>2.39027911</v>
      </c>
      <c r="Q62">
        <v>3.80719521</v>
      </c>
      <c r="R62">
        <v>1.28507146</v>
      </c>
      <c r="S62">
        <v>2.73892965</v>
      </c>
      <c r="T62">
        <v>2.72882286</v>
      </c>
      <c r="U62">
        <v>6.56495379</v>
      </c>
      <c r="V62">
        <v>5.34774214</v>
      </c>
      <c r="W62">
        <v>8.34446711</v>
      </c>
      <c r="X62">
        <v>7.53369927</v>
      </c>
      <c r="Y62">
        <v>16.24697611</v>
      </c>
      <c r="Z62">
        <v>9.56717343</v>
      </c>
      <c r="AA62">
        <v>17.58189128</v>
      </c>
      <c r="AC62">
        <v>285</v>
      </c>
      <c r="AD62">
        <v>3.03135125</v>
      </c>
      <c r="AE62">
        <v>5.28190593</v>
      </c>
      <c r="AF62">
        <v>1.84333718</v>
      </c>
      <c r="AG62">
        <v>3.39231078</v>
      </c>
      <c r="AH62">
        <v>3.62525213</v>
      </c>
      <c r="AI62">
        <v>8.53200567</v>
      </c>
      <c r="AJ62">
        <v>3.44312682</v>
      </c>
      <c r="AK62">
        <v>8.22431525</v>
      </c>
      <c r="AL62">
        <v>9.34189847</v>
      </c>
      <c r="AM62">
        <v>13.50306172</v>
      </c>
      <c r="AN62">
        <v>13.28703977</v>
      </c>
      <c r="AO62">
        <v>20.08185249</v>
      </c>
      <c r="BJ62">
        <v>2.925</v>
      </c>
      <c r="BK62">
        <v>2.55309278</v>
      </c>
      <c r="BL62">
        <v>2.97324371</v>
      </c>
      <c r="BM62">
        <v>2.31394037</v>
      </c>
      <c r="BN62">
        <v>2.26065548</v>
      </c>
      <c r="BO62">
        <v>2.77946099</v>
      </c>
      <c r="BP62">
        <v>2.55309278</v>
      </c>
      <c r="BQ62">
        <v>0</v>
      </c>
      <c r="CC62">
        <v>2.925</v>
      </c>
      <c r="CD62">
        <v>0.35125715</v>
      </c>
      <c r="CE62">
        <v>1.10865539</v>
      </c>
      <c r="CF62">
        <v>0.41296272</v>
      </c>
      <c r="CG62">
        <v>0.47396857</v>
      </c>
      <c r="CH62">
        <v>0.50603088</v>
      </c>
      <c r="CI62">
        <v>0.31943199</v>
      </c>
      <c r="CJ62">
        <v>0.70628358</v>
      </c>
      <c r="CK62">
        <v>0.32424837</v>
      </c>
      <c r="CL62">
        <v>3.51</v>
      </c>
      <c r="CM62">
        <v>0.24893364</v>
      </c>
      <c r="CN62">
        <v>4.47609089</v>
      </c>
      <c r="CO62">
        <v>3.51</v>
      </c>
      <c r="CP62">
        <v>0</v>
      </c>
      <c r="CQ62">
        <v>3.98273938</v>
      </c>
      <c r="CS62">
        <v>2.925</v>
      </c>
      <c r="CT62">
        <v>0.22843462</v>
      </c>
      <c r="CU62">
        <v>0</v>
      </c>
      <c r="CV62">
        <v>0.35678924</v>
      </c>
      <c r="CW62">
        <v>0</v>
      </c>
      <c r="CX62">
        <v>3.51</v>
      </c>
      <c r="CY62">
        <v>0.16301915</v>
      </c>
      <c r="CZ62">
        <v>3.92022238</v>
      </c>
      <c r="DA62">
        <v>2.925</v>
      </c>
      <c r="DB62">
        <v>0.28342546</v>
      </c>
      <c r="DC62">
        <v>0.34078538</v>
      </c>
      <c r="DD62">
        <v>0.4529492</v>
      </c>
      <c r="DE62">
        <v>0.17328738</v>
      </c>
      <c r="DF62">
        <v>0.37701076</v>
      </c>
      <c r="DG62">
        <v>0.70514975</v>
      </c>
      <c r="DX62">
        <v>28.2810653</v>
      </c>
      <c r="DY62">
        <v>0.99435235</v>
      </c>
      <c r="DZ62">
        <v>0.93342535</v>
      </c>
      <c r="EA62">
        <v>1.10595327</v>
      </c>
      <c r="EB62">
        <f t="shared" si="48"/>
        <v>1.01124365666667</v>
      </c>
      <c r="EC62">
        <v>32.81446998</v>
      </c>
      <c r="ED62">
        <v>1.00914046</v>
      </c>
      <c r="EE62">
        <v>0.96587468</v>
      </c>
      <c r="EF62">
        <v>0.96418461</v>
      </c>
      <c r="EG62">
        <f t="shared" si="49"/>
        <v>0.97973325</v>
      </c>
      <c r="EH62">
        <v>32.9789648</v>
      </c>
      <c r="EI62">
        <v>1.03973086</v>
      </c>
      <c r="EJ62">
        <v>0.96663668</v>
      </c>
      <c r="EK62">
        <v>1.00470657</v>
      </c>
      <c r="EL62">
        <f t="shared" si="50"/>
        <v>1.00369137</v>
      </c>
      <c r="EM62">
        <v>33.04625116</v>
      </c>
      <c r="EN62">
        <v>1.01184457</v>
      </c>
      <c r="EO62">
        <v>1.00660535</v>
      </c>
      <c r="EP62">
        <v>0.98463445</v>
      </c>
      <c r="EQ62">
        <f t="shared" si="51"/>
        <v>1.00102812333333</v>
      </c>
      <c r="ER62">
        <v>33.23225536</v>
      </c>
      <c r="ES62">
        <v>1.02519612</v>
      </c>
      <c r="ET62">
        <v>0.99426785</v>
      </c>
      <c r="EU62">
        <v>1.00609833</v>
      </c>
      <c r="EV62">
        <f t="shared" si="52"/>
        <v>1.00852076666667</v>
      </c>
      <c r="EW62">
        <v>33.42282039</v>
      </c>
      <c r="EX62">
        <v>0.98885963</v>
      </c>
      <c r="EY62">
        <v>0.99900004</v>
      </c>
      <c r="EZ62">
        <v>1.00542231</v>
      </c>
      <c r="FA62">
        <f t="shared" si="53"/>
        <v>0.99776066</v>
      </c>
      <c r="FG62">
        <v>28.75637732</v>
      </c>
      <c r="FH62">
        <v>1.00002496</v>
      </c>
      <c r="FI62">
        <v>0.81354677</v>
      </c>
      <c r="FJ62">
        <v>1.09148629</v>
      </c>
      <c r="FK62">
        <f t="shared" si="44"/>
        <v>0.968352673333333</v>
      </c>
    </row>
    <row r="63" spans="15:199">
      <c r="O63">
        <v>290</v>
      </c>
      <c r="P63">
        <v>2.40943937</v>
      </c>
      <c r="Q63">
        <v>3.84251749</v>
      </c>
      <c r="R63">
        <v>1.28607773</v>
      </c>
      <c r="S63">
        <v>2.76576894</v>
      </c>
      <c r="T63">
        <v>2.73929265</v>
      </c>
      <c r="U63">
        <v>6.56677065</v>
      </c>
      <c r="V63">
        <v>5.32446282</v>
      </c>
      <c r="W63">
        <v>8.47538683</v>
      </c>
      <c r="X63">
        <v>7.63221361</v>
      </c>
      <c r="Y63">
        <v>16.53656383</v>
      </c>
      <c r="Z63">
        <v>9.61931646</v>
      </c>
      <c r="AA63">
        <v>17.99933534</v>
      </c>
      <c r="AC63">
        <v>290</v>
      </c>
      <c r="AD63">
        <v>3.05226994</v>
      </c>
      <c r="AE63">
        <v>5.36028358</v>
      </c>
      <c r="AF63">
        <v>1.89730028</v>
      </c>
      <c r="AG63">
        <v>3.45977141</v>
      </c>
      <c r="AH63">
        <v>3.63227495</v>
      </c>
      <c r="AI63">
        <v>8.55586441</v>
      </c>
      <c r="AJ63">
        <v>3.44413652</v>
      </c>
      <c r="AK63">
        <v>8.32343794</v>
      </c>
      <c r="AL63">
        <v>9.51320137</v>
      </c>
      <c r="AM63">
        <v>13.64212434</v>
      </c>
      <c r="AN63">
        <v>13.52570416</v>
      </c>
      <c r="AO63">
        <v>20.29841311</v>
      </c>
      <c r="BJ63">
        <v>2.975</v>
      </c>
      <c r="BK63">
        <v>1.91594558</v>
      </c>
      <c r="BL63">
        <v>1.91609661</v>
      </c>
      <c r="BM63">
        <v>1.653299</v>
      </c>
      <c r="BN63">
        <v>1.63082641</v>
      </c>
      <c r="BO63">
        <v>2.15609093</v>
      </c>
      <c r="BP63">
        <v>1.91594558</v>
      </c>
      <c r="BQ63">
        <v>0</v>
      </c>
      <c r="CC63">
        <v>2.975</v>
      </c>
      <c r="CD63">
        <v>0.31529613</v>
      </c>
      <c r="CE63">
        <v>0.61240211</v>
      </c>
      <c r="CF63">
        <v>0.37500474</v>
      </c>
      <c r="CG63">
        <v>0.30544741</v>
      </c>
      <c r="CH63">
        <v>0.4402483</v>
      </c>
      <c r="CI63">
        <v>0.30878526</v>
      </c>
      <c r="CJ63">
        <v>0.49654037</v>
      </c>
      <c r="CK63">
        <v>0.15672055</v>
      </c>
      <c r="CL63">
        <v>3.57</v>
      </c>
      <c r="CM63">
        <v>0.21146856</v>
      </c>
      <c r="CN63">
        <v>5.52370456</v>
      </c>
      <c r="CO63">
        <v>3.57</v>
      </c>
      <c r="CP63">
        <v>0</v>
      </c>
      <c r="CQ63">
        <v>3.94389619</v>
      </c>
      <c r="CS63">
        <v>2.975</v>
      </c>
      <c r="CT63">
        <v>0.27277869</v>
      </c>
      <c r="CU63">
        <v>0.65596781</v>
      </c>
      <c r="CV63">
        <v>0.30657546</v>
      </c>
      <c r="CW63">
        <v>0.80635732</v>
      </c>
      <c r="CX63">
        <v>3.57</v>
      </c>
      <c r="CY63">
        <v>0.21011425</v>
      </c>
      <c r="CZ63">
        <v>5.49486288</v>
      </c>
      <c r="DA63">
        <v>2.975</v>
      </c>
      <c r="DB63">
        <v>0.49577123</v>
      </c>
      <c r="DC63">
        <v>0.65885387</v>
      </c>
      <c r="DD63">
        <v>0.31843805</v>
      </c>
      <c r="DE63">
        <v>0.50253504</v>
      </c>
      <c r="DF63">
        <v>0.43193471</v>
      </c>
      <c r="DG63">
        <v>1.02247045</v>
      </c>
      <c r="DX63">
        <v>28.75637732</v>
      </c>
      <c r="DY63">
        <v>0.98863428</v>
      </c>
      <c r="DZ63">
        <v>0.87230117</v>
      </c>
      <c r="EA63">
        <v>1.08820754</v>
      </c>
      <c r="EB63">
        <f t="shared" si="48"/>
        <v>0.983047663333333</v>
      </c>
      <c r="FG63">
        <v>29.23168934</v>
      </c>
      <c r="FH63">
        <v>1.0272839</v>
      </c>
      <c r="FI63">
        <v>0.75964678</v>
      </c>
      <c r="FJ63">
        <v>1.04128975</v>
      </c>
      <c r="FK63">
        <f t="shared" si="44"/>
        <v>0.942740143333333</v>
      </c>
    </row>
    <row r="64" spans="15:199">
      <c r="O64">
        <v>295</v>
      </c>
      <c r="P64">
        <v>2.44900488</v>
      </c>
      <c r="Q64">
        <v>3.9051738</v>
      </c>
      <c r="R64">
        <v>1.29771041</v>
      </c>
      <c r="S64">
        <v>2.73369553</v>
      </c>
      <c r="T64">
        <v>2.75363752</v>
      </c>
      <c r="U64">
        <v>6.65779402</v>
      </c>
      <c r="V64">
        <v>5.30097948</v>
      </c>
      <c r="W64">
        <v>8.52998544</v>
      </c>
      <c r="X64">
        <v>7.64747236</v>
      </c>
      <c r="Y64">
        <v>16.73568966</v>
      </c>
      <c r="Z64">
        <v>9.81617475</v>
      </c>
      <c r="AA64">
        <v>18.32700715</v>
      </c>
      <c r="AC64">
        <v>295</v>
      </c>
      <c r="AD64">
        <v>3.10170661</v>
      </c>
      <c r="AE64">
        <v>5.43867801</v>
      </c>
      <c r="AF64">
        <v>1.89556546</v>
      </c>
      <c r="AG64">
        <v>3.52554108</v>
      </c>
      <c r="AH64">
        <v>3.71273885</v>
      </c>
      <c r="AI64">
        <v>8.70030761</v>
      </c>
      <c r="AJ64">
        <v>3.45971449</v>
      </c>
      <c r="AK64">
        <v>8.43640312</v>
      </c>
      <c r="AL64">
        <v>9.66800926</v>
      </c>
      <c r="AM64">
        <v>13.75523015</v>
      </c>
      <c r="AN64">
        <v>13.72051336</v>
      </c>
      <c r="AO64">
        <v>20.51176193</v>
      </c>
      <c r="BJ64">
        <v>3.025</v>
      </c>
      <c r="BK64">
        <v>1.16213452</v>
      </c>
      <c r="BL64">
        <v>1.69883953</v>
      </c>
      <c r="BM64">
        <v>1.12877464</v>
      </c>
      <c r="BN64">
        <v>1.89283388</v>
      </c>
      <c r="BO64">
        <v>1.28332669</v>
      </c>
      <c r="BP64">
        <v>1.16213452</v>
      </c>
      <c r="BQ64">
        <v>0</v>
      </c>
      <c r="CC64">
        <v>3.025</v>
      </c>
      <c r="CD64">
        <v>0.34014713</v>
      </c>
      <c r="CE64">
        <v>0.59232518</v>
      </c>
      <c r="CF64">
        <v>0.37441096</v>
      </c>
      <c r="CG64">
        <v>0.44315047</v>
      </c>
      <c r="CH64">
        <v>0.23656402</v>
      </c>
      <c r="CI64">
        <v>0.29866208</v>
      </c>
      <c r="CJ64">
        <v>0.43223566</v>
      </c>
      <c r="CK64">
        <v>0.75791322</v>
      </c>
      <c r="CL64">
        <v>3.63</v>
      </c>
      <c r="CM64">
        <v>0.20453579</v>
      </c>
      <c r="CN64">
        <v>5.60974678</v>
      </c>
      <c r="CO64">
        <v>3.63</v>
      </c>
      <c r="CP64">
        <v>0</v>
      </c>
      <c r="CQ64">
        <v>4.81366177</v>
      </c>
      <c r="CS64">
        <v>3.025</v>
      </c>
      <c r="CT64">
        <v>0.16332701</v>
      </c>
      <c r="CU64">
        <v>0.79307828</v>
      </c>
      <c r="CV64">
        <v>0.23474874</v>
      </c>
      <c r="CW64">
        <v>1.0918905</v>
      </c>
      <c r="CX64">
        <v>3.63</v>
      </c>
      <c r="CY64">
        <v>0.15241942</v>
      </c>
      <c r="CZ64">
        <v>6.41431706</v>
      </c>
      <c r="DA64">
        <v>3.025</v>
      </c>
      <c r="DB64">
        <v>0.40380456</v>
      </c>
      <c r="DC64">
        <v>0.31862704</v>
      </c>
      <c r="DD64">
        <v>0.35933147</v>
      </c>
      <c r="DE64">
        <v>0.64807998</v>
      </c>
      <c r="DF64">
        <v>0.37860788</v>
      </c>
      <c r="DG64">
        <v>0.8241249</v>
      </c>
      <c r="DX64">
        <v>29.23168934</v>
      </c>
      <c r="DY64">
        <v>0.98607101</v>
      </c>
      <c r="DZ64">
        <v>0.8470628</v>
      </c>
      <c r="EA64">
        <v>1.04660366</v>
      </c>
      <c r="EB64">
        <f t="shared" si="48"/>
        <v>0.95991249</v>
      </c>
      <c r="FG64">
        <v>29.70700136</v>
      </c>
      <c r="FH64">
        <v>1.02188173</v>
      </c>
      <c r="FI64">
        <v>0.79309547</v>
      </c>
      <c r="FJ64">
        <v>1.04097988</v>
      </c>
      <c r="FK64">
        <f t="shared" si="44"/>
        <v>0.951985693333333</v>
      </c>
    </row>
    <row r="65" spans="15:167">
      <c r="O65">
        <v>300</v>
      </c>
      <c r="P65">
        <v>2.46764784</v>
      </c>
      <c r="Q65">
        <v>3.94669907</v>
      </c>
      <c r="R65">
        <v>1.2910738</v>
      </c>
      <c r="S65">
        <v>2.72662081</v>
      </c>
      <c r="T65">
        <v>2.7811553</v>
      </c>
      <c r="U65">
        <v>6.73621534</v>
      </c>
      <c r="V65">
        <v>5.25503451</v>
      </c>
      <c r="W65">
        <v>8.59658929</v>
      </c>
      <c r="X65">
        <v>7.66611632</v>
      </c>
      <c r="Y65">
        <v>17.04683252</v>
      </c>
      <c r="Z65">
        <v>9.87359106</v>
      </c>
      <c r="AA65">
        <v>18.63457835</v>
      </c>
      <c r="AC65">
        <v>300</v>
      </c>
      <c r="AD65">
        <v>3.10547924</v>
      </c>
      <c r="AE65">
        <v>5.49250726</v>
      </c>
      <c r="AF65">
        <v>1.93545402</v>
      </c>
      <c r="AG65">
        <v>3.58123431</v>
      </c>
      <c r="AH65">
        <v>3.73257805</v>
      </c>
      <c r="AI65">
        <v>8.74955027</v>
      </c>
      <c r="AJ65">
        <v>3.45933963</v>
      </c>
      <c r="AK65">
        <v>8.52141854</v>
      </c>
      <c r="AL65">
        <v>9.86139118</v>
      </c>
      <c r="AM65">
        <v>13.86546824</v>
      </c>
      <c r="AN65">
        <v>13.99748008</v>
      </c>
      <c r="AO65">
        <v>20.68456932</v>
      </c>
      <c r="BJ65">
        <v>3.075</v>
      </c>
      <c r="BK65">
        <v>1.24623335</v>
      </c>
      <c r="BL65">
        <v>1.04620924</v>
      </c>
      <c r="BM65">
        <v>0.72824384</v>
      </c>
      <c r="BN65">
        <v>1.12959773</v>
      </c>
      <c r="BO65">
        <v>0.96249784</v>
      </c>
      <c r="BP65">
        <v>1.24623335</v>
      </c>
      <c r="BQ65">
        <v>0</v>
      </c>
      <c r="CC65">
        <v>3.075</v>
      </c>
      <c r="CD65">
        <v>0.28377208</v>
      </c>
      <c r="CE65">
        <v>0.2866098</v>
      </c>
      <c r="CF65">
        <v>0.21513596</v>
      </c>
      <c r="CG65">
        <v>0.28590437</v>
      </c>
      <c r="CH65">
        <v>0.25182696</v>
      </c>
      <c r="CI65">
        <v>0.72257167</v>
      </c>
      <c r="CJ65">
        <v>0.38343598</v>
      </c>
      <c r="CK65">
        <v>0.58677325</v>
      </c>
      <c r="CL65">
        <v>3.69</v>
      </c>
      <c r="CM65">
        <v>0.25936762</v>
      </c>
      <c r="CN65">
        <v>7.41074717</v>
      </c>
      <c r="CO65">
        <v>3.69</v>
      </c>
      <c r="CP65">
        <v>0</v>
      </c>
      <c r="CQ65">
        <v>6.06470428</v>
      </c>
      <c r="CS65">
        <v>3.075</v>
      </c>
      <c r="CT65">
        <v>0.12158374</v>
      </c>
      <c r="CU65">
        <v>0.61399789</v>
      </c>
      <c r="CV65">
        <v>0.14348012</v>
      </c>
      <c r="CW65">
        <v>0.90571828</v>
      </c>
      <c r="CX65">
        <v>3.69</v>
      </c>
      <c r="CY65">
        <v>0.15452705</v>
      </c>
      <c r="CZ65">
        <v>6.82816403</v>
      </c>
      <c r="DA65">
        <v>3.075</v>
      </c>
      <c r="DB65">
        <v>0.30529668</v>
      </c>
      <c r="DC65">
        <v>0.46252448</v>
      </c>
      <c r="DD65">
        <v>0.22354789</v>
      </c>
      <c r="DE65">
        <v>1.41114603</v>
      </c>
      <c r="DF65">
        <v>0.3663958</v>
      </c>
      <c r="DG65">
        <v>0.63803406</v>
      </c>
      <c r="DX65">
        <v>29.70700136</v>
      </c>
      <c r="DY65">
        <v>0.99652127</v>
      </c>
      <c r="DZ65">
        <v>0.87249835</v>
      </c>
      <c r="EA65">
        <v>1.05291326</v>
      </c>
      <c r="EB65">
        <f t="shared" si="48"/>
        <v>0.973977626666667</v>
      </c>
      <c r="FG65">
        <v>30.18231339</v>
      </c>
      <c r="FH65">
        <v>1.04342053</v>
      </c>
      <c r="FI65">
        <v>0.9076736</v>
      </c>
      <c r="FJ65">
        <v>1.14239576</v>
      </c>
      <c r="FK65">
        <f t="shared" si="44"/>
        <v>1.03116329666667</v>
      </c>
    </row>
    <row r="66" spans="15:167">
      <c r="O66">
        <v>305</v>
      </c>
      <c r="P66">
        <v>2.45232612</v>
      </c>
      <c r="Q66">
        <v>3.92062543</v>
      </c>
      <c r="R66">
        <v>1.25939491</v>
      </c>
      <c r="S66">
        <v>2.75112177</v>
      </c>
      <c r="T66">
        <v>2.82252811</v>
      </c>
      <c r="U66">
        <v>6.78292154</v>
      </c>
      <c r="V66">
        <v>5.23432398</v>
      </c>
      <c r="W66">
        <v>8.60224503</v>
      </c>
      <c r="X66">
        <v>7.69085355</v>
      </c>
      <c r="Y66">
        <v>17.37845759</v>
      </c>
      <c r="Z66">
        <v>9.99907069</v>
      </c>
      <c r="AA66">
        <v>18.99390753</v>
      </c>
      <c r="AC66">
        <v>305</v>
      </c>
      <c r="AD66">
        <v>3.17451786</v>
      </c>
      <c r="AE66">
        <v>5.62930777</v>
      </c>
      <c r="AF66">
        <v>1.94084254</v>
      </c>
      <c r="AG66">
        <v>3.59978435</v>
      </c>
      <c r="AH66">
        <v>3.80157914</v>
      </c>
      <c r="AI66">
        <v>8.79425426</v>
      </c>
      <c r="AJ66">
        <v>3.44746671</v>
      </c>
      <c r="AK66">
        <v>8.67371653</v>
      </c>
      <c r="AL66">
        <v>10.06731139</v>
      </c>
      <c r="AM66">
        <v>13.97163312</v>
      </c>
      <c r="AN66">
        <v>14.0787888</v>
      </c>
      <c r="AO66">
        <v>20.8800194</v>
      </c>
      <c r="BJ66">
        <v>3.125</v>
      </c>
      <c r="BK66">
        <v>0.79463882</v>
      </c>
      <c r="BL66">
        <v>0.81039926</v>
      </c>
      <c r="BM66">
        <v>0.79326783</v>
      </c>
      <c r="BN66">
        <v>1.47802776</v>
      </c>
      <c r="BO66">
        <v>1.17244689</v>
      </c>
      <c r="BP66">
        <v>0.79463882</v>
      </c>
      <c r="BQ66">
        <v>0</v>
      </c>
      <c r="CC66">
        <v>3.125</v>
      </c>
      <c r="CD66">
        <v>0.15386796</v>
      </c>
      <c r="CE66">
        <v>0.83253556</v>
      </c>
      <c r="CF66">
        <v>0.32890552</v>
      </c>
      <c r="CG66">
        <v>0.41524322</v>
      </c>
      <c r="CH66">
        <v>0.25491646</v>
      </c>
      <c r="CI66">
        <v>1.39926968</v>
      </c>
      <c r="CJ66">
        <v>0.27001051</v>
      </c>
      <c r="CK66">
        <v>1.70444134</v>
      </c>
      <c r="CL66">
        <v>3.75</v>
      </c>
      <c r="CM66">
        <v>0.24452563</v>
      </c>
      <c r="CN66">
        <v>8.00986652</v>
      </c>
      <c r="CO66">
        <v>3.75</v>
      </c>
      <c r="CP66">
        <v>0</v>
      </c>
      <c r="CQ66">
        <v>6.97854513</v>
      </c>
      <c r="CS66">
        <v>3.125</v>
      </c>
      <c r="CT66">
        <v>0.08240699</v>
      </c>
      <c r="CU66">
        <v>0.14862689</v>
      </c>
      <c r="CV66">
        <v>0.18523412</v>
      </c>
      <c r="CW66">
        <v>0.58464518</v>
      </c>
      <c r="CX66">
        <v>3.75</v>
      </c>
      <c r="CY66">
        <v>0.16322383</v>
      </c>
      <c r="CZ66">
        <v>8.24280363</v>
      </c>
      <c r="DA66">
        <v>3.125</v>
      </c>
      <c r="DB66">
        <v>0.28378133</v>
      </c>
      <c r="DC66">
        <v>0.1492808</v>
      </c>
      <c r="DD66">
        <v>0.28860231</v>
      </c>
      <c r="DE66">
        <v>1.06271789</v>
      </c>
      <c r="DF66">
        <v>0.30583205</v>
      </c>
      <c r="DG66">
        <v>0.77222592</v>
      </c>
      <c r="DX66">
        <v>30.18231339</v>
      </c>
      <c r="DY66">
        <v>1.01249243</v>
      </c>
      <c r="DZ66">
        <v>0.91075025</v>
      </c>
      <c r="EA66">
        <v>1.0783488</v>
      </c>
      <c r="EB66">
        <f t="shared" si="48"/>
        <v>1.00053049333333</v>
      </c>
      <c r="FG66">
        <v>30.65762541</v>
      </c>
      <c r="FH66">
        <v>1.03448619</v>
      </c>
      <c r="FI66">
        <v>1.01175404</v>
      </c>
      <c r="FJ66">
        <v>1.13261251</v>
      </c>
      <c r="FK66">
        <f t="shared" si="44"/>
        <v>1.05961758</v>
      </c>
    </row>
    <row r="67" spans="15:167">
      <c r="O67">
        <v>310</v>
      </c>
      <c r="P67">
        <v>2.4394086</v>
      </c>
      <c r="Q67">
        <v>3.99473853</v>
      </c>
      <c r="R67">
        <v>1.26153291</v>
      </c>
      <c r="S67">
        <v>2.71666511</v>
      </c>
      <c r="T67">
        <v>2.82959493</v>
      </c>
      <c r="U67">
        <v>6.84256097</v>
      </c>
      <c r="V67">
        <v>5.20867103</v>
      </c>
      <c r="W67">
        <v>8.75890046</v>
      </c>
      <c r="X67">
        <v>7.75605969</v>
      </c>
      <c r="Y67">
        <v>17.65960033</v>
      </c>
      <c r="Z67">
        <v>10.07159038</v>
      </c>
      <c r="AA67">
        <v>19.34778775</v>
      </c>
      <c r="AC67">
        <v>310</v>
      </c>
      <c r="AD67">
        <v>3.22453184</v>
      </c>
      <c r="AE67">
        <v>5.6711578</v>
      </c>
      <c r="AF67">
        <v>1.93705258</v>
      </c>
      <c r="AG67">
        <v>3.63104969</v>
      </c>
      <c r="AH67">
        <v>3.76733557</v>
      </c>
      <c r="AI67">
        <v>8.82858373</v>
      </c>
      <c r="AJ67">
        <v>3.47112237</v>
      </c>
      <c r="AK67">
        <v>8.75247693</v>
      </c>
      <c r="AL67">
        <v>10.25424586</v>
      </c>
      <c r="AM67">
        <v>14.1057146</v>
      </c>
      <c r="AN67">
        <v>14.29511171</v>
      </c>
      <c r="AO67">
        <v>21.12326837</v>
      </c>
      <c r="BJ67">
        <v>3.175</v>
      </c>
      <c r="BK67">
        <v>0.34213707</v>
      </c>
      <c r="BL67">
        <v>0.81311482</v>
      </c>
      <c r="BM67">
        <v>0.48385794</v>
      </c>
      <c r="BN67">
        <v>0.8018322</v>
      </c>
      <c r="BO67">
        <v>0.78633066</v>
      </c>
      <c r="BP67">
        <v>0.34213707</v>
      </c>
      <c r="BQ67">
        <v>0</v>
      </c>
      <c r="CC67">
        <v>3.175</v>
      </c>
      <c r="CD67">
        <v>0.20229569</v>
      </c>
      <c r="CE67">
        <v>0.94094113</v>
      </c>
      <c r="CF67">
        <v>0.19117685</v>
      </c>
      <c r="CG67">
        <v>0.53635726</v>
      </c>
      <c r="CH67">
        <v>0.25768797</v>
      </c>
      <c r="CI67">
        <v>1.35554612</v>
      </c>
      <c r="CJ67">
        <v>0.31606783</v>
      </c>
      <c r="CK67">
        <v>0.96318947</v>
      </c>
      <c r="CL67">
        <v>3.81</v>
      </c>
      <c r="CM67">
        <v>0.23048254</v>
      </c>
      <c r="CN67">
        <v>8.32538151</v>
      </c>
      <c r="CO67">
        <v>3.81</v>
      </c>
      <c r="CP67">
        <v>0</v>
      </c>
      <c r="CQ67">
        <v>6.84292855</v>
      </c>
      <c r="CS67">
        <v>3.175</v>
      </c>
      <c r="CT67">
        <v>0.11404569</v>
      </c>
      <c r="CU67">
        <v>0.71991342</v>
      </c>
      <c r="CV67">
        <v>0.13458452</v>
      </c>
      <c r="CW67">
        <v>0.8495648</v>
      </c>
      <c r="CX67">
        <v>3.81</v>
      </c>
      <c r="CY67">
        <v>0.19765439</v>
      </c>
      <c r="CZ67">
        <v>8.23477598</v>
      </c>
      <c r="DA67">
        <v>3.175</v>
      </c>
      <c r="DB67">
        <v>0.24054966</v>
      </c>
      <c r="DC67">
        <v>1.15692931</v>
      </c>
      <c r="DD67">
        <v>0.25628555</v>
      </c>
      <c r="DE67">
        <v>0.88243774</v>
      </c>
      <c r="DF67">
        <v>0.23702047</v>
      </c>
      <c r="DG67">
        <v>1.49619171</v>
      </c>
      <c r="DX67">
        <v>30.65762541</v>
      </c>
      <c r="DY67">
        <v>1.01564723</v>
      </c>
      <c r="DZ67">
        <v>0.96241004</v>
      </c>
      <c r="EA67">
        <v>1.07223638</v>
      </c>
      <c r="EB67">
        <f t="shared" si="48"/>
        <v>1.01676455</v>
      </c>
      <c r="FG67">
        <v>31.13293743</v>
      </c>
      <c r="FH67">
        <v>0.94637787</v>
      </c>
      <c r="FI67">
        <v>1.03571953</v>
      </c>
      <c r="FJ67">
        <v>1.08133573</v>
      </c>
      <c r="FK67">
        <f t="shared" si="44"/>
        <v>1.02114437666667</v>
      </c>
    </row>
    <row r="68" spans="15:167">
      <c r="O68">
        <v>315</v>
      </c>
      <c r="P68">
        <v>2.47593026</v>
      </c>
      <c r="Q68">
        <v>3.99683427</v>
      </c>
      <c r="R68">
        <v>1.26914582</v>
      </c>
      <c r="S68">
        <v>2.74762311</v>
      </c>
      <c r="T68">
        <v>2.84707866</v>
      </c>
      <c r="U68">
        <v>6.90107835</v>
      </c>
      <c r="V68">
        <v>5.27158956</v>
      </c>
      <c r="W68">
        <v>8.87303523</v>
      </c>
      <c r="X68">
        <v>7.79461076</v>
      </c>
      <c r="Y68">
        <v>17.86738941</v>
      </c>
      <c r="Z68">
        <v>9.98026695</v>
      </c>
      <c r="AA68">
        <v>19.43142416</v>
      </c>
      <c r="AC68">
        <v>315</v>
      </c>
      <c r="AD68">
        <v>3.3329789</v>
      </c>
      <c r="AE68">
        <v>5.79050638</v>
      </c>
      <c r="AF68">
        <v>1.96655323</v>
      </c>
      <c r="AG68">
        <v>3.69418405</v>
      </c>
      <c r="AH68">
        <v>3.85702006</v>
      </c>
      <c r="AI68">
        <v>8.98841</v>
      </c>
      <c r="AJ68">
        <v>3.43563324</v>
      </c>
      <c r="AK68">
        <v>8.87648889</v>
      </c>
      <c r="AL68">
        <v>10.44598547</v>
      </c>
      <c r="AM68">
        <v>14.21875963</v>
      </c>
      <c r="AN68">
        <v>14.32102367</v>
      </c>
      <c r="AO68">
        <v>21.20474164</v>
      </c>
      <c r="BJ68">
        <v>3.225</v>
      </c>
      <c r="BK68">
        <v>0.27634218</v>
      </c>
      <c r="BL68">
        <v>0.51634001</v>
      </c>
      <c r="BM68">
        <v>0.63449045</v>
      </c>
      <c r="BN68">
        <v>1.30452263</v>
      </c>
      <c r="BO68">
        <v>0.73391048</v>
      </c>
      <c r="BP68">
        <v>0.27634218</v>
      </c>
      <c r="BQ68">
        <v>0</v>
      </c>
      <c r="CC68">
        <v>3.225</v>
      </c>
      <c r="CD68">
        <v>0.19607171</v>
      </c>
      <c r="CE68">
        <v>0.91199142</v>
      </c>
      <c r="CF68">
        <v>0.21617744</v>
      </c>
      <c r="CG68">
        <v>0.90974675</v>
      </c>
      <c r="CH68">
        <v>0.23935309</v>
      </c>
      <c r="CI68">
        <v>1.57660842</v>
      </c>
      <c r="CJ68">
        <v>0.35916128</v>
      </c>
      <c r="CK68">
        <v>1.20028532</v>
      </c>
      <c r="CL68">
        <v>3.87</v>
      </c>
      <c r="CM68">
        <v>0.31026575</v>
      </c>
      <c r="CN68">
        <v>8.77431536</v>
      </c>
      <c r="CO68">
        <v>3.87</v>
      </c>
      <c r="CP68">
        <v>0</v>
      </c>
      <c r="CQ68">
        <v>8.86982781</v>
      </c>
      <c r="CS68">
        <v>3.225</v>
      </c>
      <c r="CT68">
        <v>0.15475162</v>
      </c>
      <c r="CU68">
        <v>1.11642242</v>
      </c>
      <c r="CV68">
        <v>0.18479537</v>
      </c>
      <c r="CW68">
        <v>0.82342644</v>
      </c>
      <c r="CX68">
        <v>3.87</v>
      </c>
      <c r="CY68">
        <v>0.2171163</v>
      </c>
      <c r="CZ68">
        <v>10.40003024</v>
      </c>
      <c r="DA68">
        <v>3.225</v>
      </c>
      <c r="DB68">
        <v>0.28866033</v>
      </c>
      <c r="DC68">
        <v>0.56066717</v>
      </c>
      <c r="DD68">
        <v>0.19194582</v>
      </c>
      <c r="DE68">
        <v>1.85312397</v>
      </c>
      <c r="DF68">
        <v>0.22972812</v>
      </c>
      <c r="DG68">
        <v>1.16012699</v>
      </c>
      <c r="DX68">
        <v>31.13293743</v>
      </c>
      <c r="DY68">
        <v>0.98350774</v>
      </c>
      <c r="DZ68">
        <v>0.97936707</v>
      </c>
      <c r="EA68">
        <v>1.06651832</v>
      </c>
      <c r="EB68">
        <f t="shared" si="48"/>
        <v>1.00979771</v>
      </c>
      <c r="FG68">
        <v>31.60824945</v>
      </c>
      <c r="FH68">
        <v>0.92071686</v>
      </c>
      <c r="FI68">
        <v>0.98331715</v>
      </c>
      <c r="FJ68">
        <v>1.00553332</v>
      </c>
      <c r="FK68">
        <f t="shared" si="44"/>
        <v>0.969855776666667</v>
      </c>
    </row>
    <row r="69" spans="15:167">
      <c r="O69">
        <v>320</v>
      </c>
      <c r="P69">
        <v>2.44985669</v>
      </c>
      <c r="Q69">
        <v>4.02146405</v>
      </c>
      <c r="R69">
        <v>1.28309439</v>
      </c>
      <c r="S69">
        <v>2.77129964</v>
      </c>
      <c r="T69">
        <v>2.91055637</v>
      </c>
      <c r="U69">
        <v>6.92667939</v>
      </c>
      <c r="V69">
        <v>5.2501031</v>
      </c>
      <c r="W69">
        <v>9.00185203</v>
      </c>
      <c r="X69">
        <v>7.84781715</v>
      </c>
      <c r="Y69">
        <v>18.1127093</v>
      </c>
      <c r="Z69">
        <v>9.99609567</v>
      </c>
      <c r="AA69">
        <v>19.51038902</v>
      </c>
      <c r="AC69">
        <v>320</v>
      </c>
      <c r="AD69">
        <v>3.3607384</v>
      </c>
      <c r="AE69">
        <v>5.85998034</v>
      </c>
      <c r="AF69">
        <v>1.95995602</v>
      </c>
      <c r="AG69">
        <v>3.70144874</v>
      </c>
      <c r="AH69">
        <v>3.9588891</v>
      </c>
      <c r="AI69">
        <v>9.10341495</v>
      </c>
      <c r="AJ69">
        <v>3.49867038</v>
      </c>
      <c r="AK69">
        <v>8.99509805</v>
      </c>
      <c r="AL69">
        <v>10.60866516</v>
      </c>
      <c r="AM69">
        <v>14.3132519</v>
      </c>
      <c r="AN69">
        <v>14.28446201</v>
      </c>
      <c r="AO69">
        <v>21.36635456</v>
      </c>
      <c r="BJ69">
        <v>3.275</v>
      </c>
      <c r="BK69">
        <v>0.29476571</v>
      </c>
      <c r="BL69">
        <v>0.63245628</v>
      </c>
      <c r="BM69">
        <v>0.40125976</v>
      </c>
      <c r="BN69">
        <v>0.78052865</v>
      </c>
      <c r="BO69">
        <v>0.35583625</v>
      </c>
      <c r="BP69">
        <v>0.29476571</v>
      </c>
      <c r="BQ69">
        <v>0</v>
      </c>
      <c r="CC69">
        <v>3.275</v>
      </c>
      <c r="CD69">
        <v>0.18012373</v>
      </c>
      <c r="CE69">
        <v>0.88435746</v>
      </c>
      <c r="CF69">
        <v>0.12976917</v>
      </c>
      <c r="CG69">
        <v>1.13423246</v>
      </c>
      <c r="CH69">
        <v>0.27246584</v>
      </c>
      <c r="CI69">
        <v>0.63701505</v>
      </c>
      <c r="CJ69">
        <v>0.35852194</v>
      </c>
      <c r="CK69">
        <v>1.29323984</v>
      </c>
      <c r="CL69">
        <v>3.93</v>
      </c>
      <c r="CM69">
        <v>0.36103738</v>
      </c>
      <c r="CN69">
        <v>8.81232081</v>
      </c>
      <c r="CO69">
        <v>3.93</v>
      </c>
      <c r="CP69">
        <v>0</v>
      </c>
      <c r="CQ69">
        <v>7.98116939</v>
      </c>
      <c r="CS69">
        <v>3.275</v>
      </c>
      <c r="CT69">
        <v>0.06431252</v>
      </c>
      <c r="CU69">
        <v>1.08259407</v>
      </c>
      <c r="CV69">
        <v>0.18973689</v>
      </c>
      <c r="CW69">
        <v>1.8631108</v>
      </c>
      <c r="CX69">
        <v>3.93</v>
      </c>
      <c r="CY69">
        <v>0.154807</v>
      </c>
      <c r="CZ69">
        <v>8.75588416</v>
      </c>
      <c r="DA69">
        <v>3.275</v>
      </c>
      <c r="DB69">
        <v>0.24761599</v>
      </c>
      <c r="DC69">
        <v>1.08735715</v>
      </c>
      <c r="DD69">
        <v>0.15328331</v>
      </c>
      <c r="DE69">
        <v>1.52051566</v>
      </c>
      <c r="DF69">
        <v>0.20049048</v>
      </c>
      <c r="DG69">
        <v>1.68746153</v>
      </c>
      <c r="DX69">
        <v>31.60824945</v>
      </c>
      <c r="DY69">
        <v>0.97029703</v>
      </c>
      <c r="DZ69">
        <v>0.99178908</v>
      </c>
      <c r="EA69">
        <v>1.05587088</v>
      </c>
      <c r="EB69">
        <f t="shared" si="48"/>
        <v>1.00598566333333</v>
      </c>
      <c r="FG69">
        <v>32.08356147</v>
      </c>
      <c r="FH69">
        <v>0.95273104</v>
      </c>
      <c r="FI69">
        <v>0.93796964</v>
      </c>
      <c r="FJ69">
        <v>0.95806856</v>
      </c>
      <c r="FK69">
        <f t="shared" si="44"/>
        <v>0.949589746666667</v>
      </c>
    </row>
    <row r="70" spans="15:167">
      <c r="O70">
        <v>325</v>
      </c>
      <c r="P70">
        <v>2.44230846</v>
      </c>
      <c r="Q70">
        <v>4.10838859</v>
      </c>
      <c r="R70">
        <v>1.2820978</v>
      </c>
      <c r="S70">
        <v>2.80118664</v>
      </c>
      <c r="T70">
        <v>2.93163471</v>
      </c>
      <c r="U70">
        <v>6.94421451</v>
      </c>
      <c r="V70">
        <v>5.27887072</v>
      </c>
      <c r="W70">
        <v>9.09204883</v>
      </c>
      <c r="X70">
        <v>7.90518542</v>
      </c>
      <c r="Y70">
        <v>18.29636444</v>
      </c>
      <c r="Z70">
        <v>10.1175701</v>
      </c>
      <c r="AA70">
        <v>19.63482329</v>
      </c>
      <c r="AC70">
        <v>325</v>
      </c>
      <c r="AD70">
        <v>3.42370007</v>
      </c>
      <c r="AE70">
        <v>5.91944054</v>
      </c>
      <c r="AF70">
        <v>1.98131349</v>
      </c>
      <c r="AG70">
        <v>3.80055088</v>
      </c>
      <c r="AH70">
        <v>3.96857332</v>
      </c>
      <c r="AI70">
        <v>9.14908616</v>
      </c>
      <c r="AJ70">
        <v>3.48436109</v>
      </c>
      <c r="AK70">
        <v>9.17376842</v>
      </c>
      <c r="AL70">
        <v>10.79225257</v>
      </c>
      <c r="AM70">
        <v>14.24266878</v>
      </c>
      <c r="AN70">
        <v>14.34904321</v>
      </c>
      <c r="AO70">
        <v>21.42625329</v>
      </c>
      <c r="BJ70">
        <v>3.325</v>
      </c>
      <c r="BK70">
        <v>0.38995554</v>
      </c>
      <c r="BL70">
        <v>0.33235497</v>
      </c>
      <c r="BM70">
        <v>0.33737839</v>
      </c>
      <c r="BN70">
        <v>0.60056255</v>
      </c>
      <c r="BO70">
        <v>0.61076513</v>
      </c>
      <c r="BP70">
        <v>0.38995554</v>
      </c>
      <c r="BQ70">
        <v>0</v>
      </c>
      <c r="CC70">
        <v>3.325</v>
      </c>
      <c r="CD70">
        <v>0.20387185</v>
      </c>
      <c r="CE70">
        <v>1.96105308</v>
      </c>
      <c r="CF70">
        <v>0.16463291</v>
      </c>
      <c r="CG70">
        <v>1.58943392</v>
      </c>
      <c r="CH70">
        <v>0.26433315</v>
      </c>
      <c r="CI70">
        <v>1.35960244</v>
      </c>
      <c r="CJ70">
        <v>0.35775833</v>
      </c>
      <c r="CK70">
        <v>1.12917472</v>
      </c>
      <c r="CL70">
        <v>3.99</v>
      </c>
      <c r="CM70">
        <v>0.35026096</v>
      </c>
      <c r="CN70">
        <v>9.06519149</v>
      </c>
      <c r="CO70">
        <v>3.99</v>
      </c>
      <c r="CP70">
        <v>0</v>
      </c>
      <c r="CQ70">
        <v>9.32160186</v>
      </c>
      <c r="CS70">
        <v>3.325</v>
      </c>
      <c r="CT70">
        <v>0.11438696</v>
      </c>
      <c r="CU70">
        <v>1.18156529</v>
      </c>
      <c r="CV70">
        <v>0.1431683</v>
      </c>
      <c r="CW70">
        <v>2.5821425</v>
      </c>
      <c r="CX70">
        <v>3.99</v>
      </c>
      <c r="CY70">
        <v>0.24630545</v>
      </c>
      <c r="CZ70">
        <v>11.14907612</v>
      </c>
      <c r="DA70">
        <v>3.325</v>
      </c>
      <c r="DB70">
        <v>0.21933589</v>
      </c>
      <c r="DC70">
        <v>1.45048912</v>
      </c>
      <c r="DD70">
        <v>0.15933003</v>
      </c>
      <c r="DE70">
        <v>2.14564445</v>
      </c>
      <c r="DF70">
        <v>0.23772973</v>
      </c>
      <c r="DG70">
        <v>2.45564001</v>
      </c>
      <c r="DX70">
        <v>32.08356147</v>
      </c>
      <c r="DY70">
        <v>1.00519696</v>
      </c>
      <c r="DZ70">
        <v>0.95294565</v>
      </c>
      <c r="EA70">
        <v>1.01288678</v>
      </c>
      <c r="EB70">
        <f t="shared" si="48"/>
        <v>0.99034313</v>
      </c>
      <c r="FG70">
        <v>32.5588735</v>
      </c>
      <c r="FH70">
        <v>1.03871137</v>
      </c>
      <c r="FI70">
        <v>0.95785781</v>
      </c>
      <c r="FJ70">
        <v>0.87248306</v>
      </c>
      <c r="FK70">
        <f t="shared" si="44"/>
        <v>0.956350746666667</v>
      </c>
    </row>
    <row r="71" spans="15:167">
      <c r="O71">
        <v>330</v>
      </c>
      <c r="P71">
        <v>2.47317944</v>
      </c>
      <c r="Q71">
        <v>4.1514594</v>
      </c>
      <c r="R71">
        <v>1.28189894</v>
      </c>
      <c r="S71">
        <v>2.8085143</v>
      </c>
      <c r="T71">
        <v>2.99134114</v>
      </c>
      <c r="U71">
        <v>7.00178014</v>
      </c>
      <c r="V71">
        <v>5.22580287</v>
      </c>
      <c r="W71">
        <v>9.15544541</v>
      </c>
      <c r="X71">
        <v>7.8948916</v>
      </c>
      <c r="Y71">
        <v>18.61270491</v>
      </c>
      <c r="Z71">
        <v>10.09904143</v>
      </c>
      <c r="AA71">
        <v>19.70543496</v>
      </c>
      <c r="AC71">
        <v>330</v>
      </c>
      <c r="AD71">
        <v>3.41333404</v>
      </c>
      <c r="AE71">
        <v>5.99618912</v>
      </c>
      <c r="AF71">
        <v>2.03103446</v>
      </c>
      <c r="AG71">
        <v>3.81473667</v>
      </c>
      <c r="AH71">
        <v>4.0028173</v>
      </c>
      <c r="AI71">
        <v>9.16174904</v>
      </c>
      <c r="AJ71">
        <v>3.51194659</v>
      </c>
      <c r="AK71">
        <v>9.31945988</v>
      </c>
      <c r="AL71">
        <v>11.01239058</v>
      </c>
      <c r="AM71">
        <v>14.29806722</v>
      </c>
      <c r="AN71">
        <v>14.48387385</v>
      </c>
      <c r="AO71">
        <v>21.6433434</v>
      </c>
      <c r="BJ71">
        <v>3.375</v>
      </c>
      <c r="BK71">
        <v>0.22709226</v>
      </c>
      <c r="BL71">
        <v>0.22332499</v>
      </c>
      <c r="BM71">
        <v>0.30226728</v>
      </c>
      <c r="BN71">
        <v>0.70961768</v>
      </c>
      <c r="BO71">
        <v>0.4639326</v>
      </c>
      <c r="BP71">
        <v>0.22709226</v>
      </c>
      <c r="BQ71">
        <v>0</v>
      </c>
      <c r="CC71">
        <v>3.375</v>
      </c>
      <c r="CD71">
        <v>0.18845339</v>
      </c>
      <c r="CE71">
        <v>2.73610769</v>
      </c>
      <c r="CF71">
        <v>0.20678851</v>
      </c>
      <c r="CG71">
        <v>2.01736291</v>
      </c>
      <c r="CH71">
        <v>0.23755483</v>
      </c>
      <c r="CI71">
        <v>1.67951262</v>
      </c>
      <c r="CJ71">
        <v>0.42440053</v>
      </c>
      <c r="CK71">
        <v>1.94838423</v>
      </c>
      <c r="CL71">
        <v>4.05</v>
      </c>
      <c r="CM71">
        <v>0.33429392</v>
      </c>
      <c r="CN71">
        <v>9.29932035</v>
      </c>
      <c r="CO71">
        <v>4.05</v>
      </c>
      <c r="CP71">
        <v>0</v>
      </c>
      <c r="CQ71">
        <v>9.33931061</v>
      </c>
      <c r="CS71">
        <v>3.375</v>
      </c>
      <c r="CT71">
        <v>0.06055794</v>
      </c>
      <c r="CU71">
        <v>2.93075178</v>
      </c>
      <c r="CV71">
        <v>0.1985111</v>
      </c>
      <c r="CW71">
        <v>2.50620269</v>
      </c>
      <c r="CX71">
        <v>4.05</v>
      </c>
      <c r="CY71">
        <v>0.22156938</v>
      </c>
      <c r="CZ71">
        <v>9.64336993</v>
      </c>
      <c r="DA71">
        <v>3.375</v>
      </c>
      <c r="DB71">
        <v>0.2128853</v>
      </c>
      <c r="DC71">
        <v>1.53581541</v>
      </c>
      <c r="DD71">
        <v>0.20619226</v>
      </c>
      <c r="DE71">
        <v>2.60317735</v>
      </c>
      <c r="DF71">
        <v>0.25171439</v>
      </c>
      <c r="DG71">
        <v>2.6482451</v>
      </c>
      <c r="DX71">
        <v>32.5588735</v>
      </c>
      <c r="DY71">
        <v>1.00421109</v>
      </c>
      <c r="DZ71">
        <v>0.90976438</v>
      </c>
      <c r="EA71">
        <v>0.95531175</v>
      </c>
      <c r="EB71">
        <f t="shared" si="48"/>
        <v>0.956429073333333</v>
      </c>
      <c r="FG71">
        <v>33.03418552</v>
      </c>
      <c r="FH71">
        <v>1.10127547</v>
      </c>
      <c r="FI71">
        <v>1.03452571</v>
      </c>
      <c r="FJ71">
        <v>0.95182973</v>
      </c>
      <c r="FK71">
        <f t="shared" si="44"/>
        <v>1.02921030333333</v>
      </c>
    </row>
    <row r="72" spans="15:167">
      <c r="O72">
        <v>335</v>
      </c>
      <c r="P72">
        <v>2.4841649</v>
      </c>
      <c r="Q72">
        <v>4.2046482</v>
      </c>
      <c r="R72">
        <v>1.3189335</v>
      </c>
      <c r="S72">
        <v>2.82450699</v>
      </c>
      <c r="T72">
        <v>2.95288584</v>
      </c>
      <c r="U72">
        <v>6.96512109</v>
      </c>
      <c r="V72">
        <v>5.24226245</v>
      </c>
      <c r="W72">
        <v>9.28422723</v>
      </c>
      <c r="X72">
        <v>7.9250079</v>
      </c>
      <c r="Y72">
        <v>18.85388659</v>
      </c>
      <c r="Z72">
        <v>10.24052267</v>
      </c>
      <c r="AA72">
        <v>19.91392206</v>
      </c>
      <c r="AC72">
        <v>335</v>
      </c>
      <c r="AD72">
        <v>3.52372753</v>
      </c>
      <c r="AE72">
        <v>6.18328168</v>
      </c>
      <c r="AF72">
        <v>2.08540645</v>
      </c>
      <c r="AG72">
        <v>3.78913267</v>
      </c>
      <c r="AH72">
        <v>4.04991518</v>
      </c>
      <c r="AI72">
        <v>9.35097968</v>
      </c>
      <c r="AJ72">
        <v>3.58510328</v>
      </c>
      <c r="AK72">
        <v>9.48510664</v>
      </c>
      <c r="AL72">
        <v>11.25099351</v>
      </c>
      <c r="AM72">
        <v>14.32969182</v>
      </c>
      <c r="AN72">
        <v>14.62219891</v>
      </c>
      <c r="AO72">
        <v>21.78263071</v>
      </c>
      <c r="BJ72">
        <v>3.425</v>
      </c>
      <c r="BK72">
        <v>0.12250575</v>
      </c>
      <c r="BL72">
        <v>0.43370453</v>
      </c>
      <c r="BM72">
        <v>0.24458878</v>
      </c>
      <c r="BN72">
        <v>0.4183521</v>
      </c>
      <c r="BO72">
        <v>0.30032415</v>
      </c>
      <c r="BP72">
        <v>0.12250575</v>
      </c>
      <c r="BQ72">
        <v>0</v>
      </c>
      <c r="CC72">
        <v>3.425</v>
      </c>
      <c r="CD72">
        <v>0.11894439</v>
      </c>
      <c r="CE72">
        <v>3.11885905</v>
      </c>
      <c r="CF72">
        <v>0.18254097</v>
      </c>
      <c r="CG72">
        <v>2.30457974</v>
      </c>
      <c r="CH72">
        <v>0.28603039</v>
      </c>
      <c r="CI72">
        <v>2.21327546</v>
      </c>
      <c r="CJ72">
        <v>0.30907495</v>
      </c>
      <c r="CK72">
        <v>2.12840251</v>
      </c>
      <c r="CL72">
        <v>4.11</v>
      </c>
      <c r="CM72">
        <v>0.41263339</v>
      </c>
      <c r="CN72">
        <v>8.26573449</v>
      </c>
      <c r="CO72">
        <v>4.11</v>
      </c>
      <c r="CP72">
        <v>0</v>
      </c>
      <c r="CQ72">
        <v>9.98965743</v>
      </c>
      <c r="CS72">
        <v>3.425</v>
      </c>
      <c r="CT72">
        <v>0.05880276</v>
      </c>
      <c r="CU72">
        <v>3.71192412</v>
      </c>
      <c r="CV72">
        <v>0.15420605</v>
      </c>
      <c r="CW72">
        <v>1.58181679</v>
      </c>
      <c r="CX72">
        <v>4.11</v>
      </c>
      <c r="CY72">
        <v>0.30573597</v>
      </c>
      <c r="CZ72">
        <v>8.72055238</v>
      </c>
      <c r="DA72">
        <v>3.425</v>
      </c>
      <c r="DB72">
        <v>0.08859221</v>
      </c>
      <c r="DC72">
        <v>2.23695328</v>
      </c>
      <c r="DD72">
        <v>0.17018369</v>
      </c>
      <c r="DE72">
        <v>2.52772829</v>
      </c>
      <c r="DF72">
        <v>0.20368236</v>
      </c>
      <c r="DG72">
        <v>3.21436228</v>
      </c>
      <c r="DX72">
        <v>33.03418552</v>
      </c>
      <c r="DY72">
        <v>1.00835176</v>
      </c>
      <c r="DZ72">
        <v>0.98212752</v>
      </c>
      <c r="EA72">
        <v>0.97719815</v>
      </c>
      <c r="EB72">
        <f t="shared" si="48"/>
        <v>0.98922581</v>
      </c>
    </row>
    <row r="73" spans="15:167">
      <c r="O73">
        <v>340</v>
      </c>
      <c r="P73">
        <v>2.49590729</v>
      </c>
      <c r="Q73">
        <v>4.23963947</v>
      </c>
      <c r="R73">
        <v>1.32303479</v>
      </c>
      <c r="S73">
        <v>2.80708968</v>
      </c>
      <c r="T73">
        <v>2.94853725</v>
      </c>
      <c r="U73">
        <v>7.02145347</v>
      </c>
      <c r="V73">
        <v>5.25018408</v>
      </c>
      <c r="W73">
        <v>9.31429044</v>
      </c>
      <c r="X73">
        <v>7.96757977</v>
      </c>
      <c r="Y73">
        <v>18.96064881</v>
      </c>
      <c r="Z73">
        <v>10.26873054</v>
      </c>
      <c r="AA73">
        <v>20.01403062</v>
      </c>
      <c r="AC73">
        <v>340</v>
      </c>
      <c r="AD73">
        <v>3.54576777</v>
      </c>
      <c r="AE73">
        <v>6.19566714</v>
      </c>
      <c r="AF73">
        <v>2.06332109</v>
      </c>
      <c r="AG73">
        <v>3.83541571</v>
      </c>
      <c r="AH73">
        <v>4.12672686</v>
      </c>
      <c r="AI73">
        <v>9.44563858</v>
      </c>
      <c r="AJ73">
        <v>3.57325868</v>
      </c>
      <c r="AK73">
        <v>9.62879274</v>
      </c>
      <c r="AL73">
        <v>11.45287096</v>
      </c>
      <c r="AM73">
        <v>14.36103843</v>
      </c>
      <c r="AN73">
        <v>14.75235963</v>
      </c>
      <c r="AO73">
        <v>22.14488524</v>
      </c>
      <c r="BJ73">
        <v>3.475</v>
      </c>
      <c r="BK73">
        <v>0.14280699</v>
      </c>
      <c r="BL73">
        <v>0.30428221</v>
      </c>
      <c r="BM73">
        <v>0.21384091</v>
      </c>
      <c r="BN73">
        <v>0.43030589</v>
      </c>
      <c r="BO73">
        <v>0.26743205</v>
      </c>
      <c r="BP73">
        <v>0.14280699</v>
      </c>
      <c r="BQ73">
        <v>0</v>
      </c>
      <c r="CC73">
        <v>3.475</v>
      </c>
      <c r="CD73">
        <v>0.15998706</v>
      </c>
      <c r="CE73">
        <v>2.91754179</v>
      </c>
      <c r="CF73">
        <v>0.12412811</v>
      </c>
      <c r="CG73">
        <v>2.79842393</v>
      </c>
      <c r="CH73">
        <v>0.23304274</v>
      </c>
      <c r="CI73">
        <v>2.71584427</v>
      </c>
      <c r="CJ73">
        <v>0.26385153</v>
      </c>
      <c r="CK73">
        <v>2.5270608</v>
      </c>
      <c r="CL73">
        <v>4.17</v>
      </c>
      <c r="CM73">
        <v>0.38481089</v>
      </c>
      <c r="CN73">
        <v>8.09706247</v>
      </c>
      <c r="CO73">
        <v>4.17</v>
      </c>
      <c r="CP73">
        <v>0</v>
      </c>
      <c r="CQ73">
        <v>8.12129422</v>
      </c>
      <c r="CS73">
        <v>3.475</v>
      </c>
      <c r="CT73">
        <v>0.06664326</v>
      </c>
      <c r="CU73">
        <v>2.64430941</v>
      </c>
      <c r="CV73">
        <v>0.11235035</v>
      </c>
      <c r="CW73">
        <v>3.66425995</v>
      </c>
      <c r="CX73">
        <v>4.17</v>
      </c>
      <c r="CY73">
        <v>0.35200149</v>
      </c>
      <c r="CZ73">
        <v>10.2073558</v>
      </c>
      <c r="DA73">
        <v>3.475</v>
      </c>
      <c r="DB73">
        <v>0.1434353</v>
      </c>
      <c r="DC73">
        <v>2.05232003</v>
      </c>
      <c r="DD73">
        <v>0.09724802</v>
      </c>
      <c r="DE73">
        <v>4.05159557</v>
      </c>
      <c r="DF73">
        <v>0.17807694</v>
      </c>
      <c r="DG73">
        <v>2.99762851</v>
      </c>
    </row>
    <row r="74" spans="15:167">
      <c r="O74">
        <v>345</v>
      </c>
      <c r="P74">
        <v>2.48805057</v>
      </c>
      <c r="Q74">
        <v>4.28304432</v>
      </c>
      <c r="R74">
        <v>1.32581846</v>
      </c>
      <c r="S74">
        <v>2.86621804</v>
      </c>
      <c r="T74">
        <v>2.89814379</v>
      </c>
      <c r="U74">
        <v>7.08699394</v>
      </c>
      <c r="V74">
        <v>5.21515062</v>
      </c>
      <c r="W74">
        <v>9.4845304</v>
      </c>
      <c r="X74">
        <v>8.00235117</v>
      </c>
      <c r="Y74">
        <v>19.00750215</v>
      </c>
      <c r="Z74">
        <v>10.31813241</v>
      </c>
      <c r="AA74">
        <v>20.08661765</v>
      </c>
      <c r="AC74">
        <v>345</v>
      </c>
      <c r="AD74">
        <v>3.6637804</v>
      </c>
      <c r="AE74">
        <v>6.33332667</v>
      </c>
      <c r="AF74">
        <v>2.06321715</v>
      </c>
      <c r="AG74">
        <v>3.86447273</v>
      </c>
      <c r="AH74">
        <v>4.21449132</v>
      </c>
      <c r="AI74">
        <v>9.59972213</v>
      </c>
      <c r="AJ74">
        <v>3.61682863</v>
      </c>
      <c r="AK74">
        <v>9.71131195</v>
      </c>
      <c r="AL74">
        <v>11.64462698</v>
      </c>
      <c r="AM74">
        <v>14.38408071</v>
      </c>
      <c r="AN74">
        <v>14.94702453</v>
      </c>
      <c r="AO74">
        <v>22.38648162</v>
      </c>
      <c r="BJ74">
        <v>3.525</v>
      </c>
      <c r="BK74">
        <v>0.30069981</v>
      </c>
      <c r="BL74">
        <v>0.11373517</v>
      </c>
      <c r="BM74">
        <v>0.20781762</v>
      </c>
      <c r="BN74">
        <v>0.32525532</v>
      </c>
      <c r="BO74">
        <v>0.30715367</v>
      </c>
      <c r="BP74">
        <v>0.30069981</v>
      </c>
      <c r="BQ74">
        <v>0</v>
      </c>
      <c r="CC74">
        <v>3.525</v>
      </c>
      <c r="CD74">
        <v>0.20730758</v>
      </c>
      <c r="CE74">
        <v>3.81683485</v>
      </c>
      <c r="CF74">
        <v>0.18956422</v>
      </c>
      <c r="CG74">
        <v>3.37230447</v>
      </c>
      <c r="CH74">
        <v>0.27003218</v>
      </c>
      <c r="CI74">
        <v>4.28893846</v>
      </c>
      <c r="CJ74">
        <v>0.30947192</v>
      </c>
      <c r="CK74">
        <v>4.13034492</v>
      </c>
      <c r="CL74">
        <v>4.23</v>
      </c>
      <c r="CM74">
        <v>0.43630052</v>
      </c>
      <c r="CN74">
        <v>8.91819036</v>
      </c>
      <c r="CO74">
        <v>4.23</v>
      </c>
      <c r="CP74">
        <v>0</v>
      </c>
      <c r="CQ74">
        <v>8.42762822</v>
      </c>
      <c r="CS74">
        <v>3.525</v>
      </c>
      <c r="CT74">
        <v>0.08327072</v>
      </c>
      <c r="CU74">
        <v>4.90603301</v>
      </c>
      <c r="CV74">
        <v>0.14558102</v>
      </c>
      <c r="CW74">
        <v>3.44617576</v>
      </c>
      <c r="CX74">
        <v>4.23</v>
      </c>
      <c r="CY74">
        <v>0.32070621</v>
      </c>
      <c r="CZ74">
        <v>9.11006075</v>
      </c>
      <c r="DA74">
        <v>3.525</v>
      </c>
      <c r="DB74">
        <v>0.19515319</v>
      </c>
      <c r="DC74">
        <v>2.46380904</v>
      </c>
      <c r="DD74">
        <v>0.14176323</v>
      </c>
      <c r="DE74">
        <v>4.29542593</v>
      </c>
      <c r="DF74">
        <v>0.20190453</v>
      </c>
      <c r="DG74">
        <v>4.12702474</v>
      </c>
    </row>
    <row r="75" spans="15:167">
      <c r="O75">
        <v>350</v>
      </c>
      <c r="P75">
        <v>2.45876501</v>
      </c>
      <c r="Q75">
        <v>4.36494038</v>
      </c>
      <c r="R75">
        <v>1.3125838</v>
      </c>
      <c r="S75">
        <v>2.90425247</v>
      </c>
      <c r="T75">
        <v>2.9262149</v>
      </c>
      <c r="U75">
        <v>7.13874716</v>
      </c>
      <c r="V75">
        <v>5.24773911</v>
      </c>
      <c r="W75">
        <v>9.53004356</v>
      </c>
      <c r="X75">
        <v>8.01698178</v>
      </c>
      <c r="Y75">
        <v>19.02322055</v>
      </c>
      <c r="Z75">
        <v>10.31530912</v>
      </c>
      <c r="AA75">
        <v>20.21530156</v>
      </c>
      <c r="AC75">
        <v>350</v>
      </c>
      <c r="AD75">
        <v>3.71607862</v>
      </c>
      <c r="AE75">
        <v>6.46504568</v>
      </c>
      <c r="AF75">
        <v>2.13516444</v>
      </c>
      <c r="AG75">
        <v>3.92598697</v>
      </c>
      <c r="AH75">
        <v>4.2331786</v>
      </c>
      <c r="AI75">
        <v>9.67864079</v>
      </c>
      <c r="AJ75">
        <v>3.63664829</v>
      </c>
      <c r="AK75">
        <v>9.79899269</v>
      </c>
      <c r="AL75">
        <v>11.80757543</v>
      </c>
      <c r="AM75">
        <v>14.35074768</v>
      </c>
      <c r="AN75">
        <v>15.17589782</v>
      </c>
      <c r="AO75">
        <v>22.74140266</v>
      </c>
      <c r="BJ75">
        <v>3.575</v>
      </c>
      <c r="BK75">
        <v>0.20239448</v>
      </c>
      <c r="BL75">
        <v>0.55288035</v>
      </c>
      <c r="BM75">
        <v>0.26939372</v>
      </c>
      <c r="BN75">
        <v>0.2710466</v>
      </c>
      <c r="BO75">
        <v>0.29862218</v>
      </c>
      <c r="BP75">
        <v>0.20239448</v>
      </c>
      <c r="BQ75">
        <v>0</v>
      </c>
      <c r="CC75">
        <v>3.575</v>
      </c>
      <c r="CD75">
        <v>0.29392622</v>
      </c>
      <c r="CE75">
        <v>5.40719278</v>
      </c>
      <c r="CF75">
        <v>0.14241278</v>
      </c>
      <c r="CG75">
        <v>4.23049736</v>
      </c>
      <c r="CH75">
        <v>0.19478164</v>
      </c>
      <c r="CI75">
        <v>4.16980905</v>
      </c>
      <c r="CJ75">
        <v>0.24929729</v>
      </c>
      <c r="CK75">
        <v>3.58149945</v>
      </c>
      <c r="CL75">
        <v>4.29</v>
      </c>
      <c r="CM75">
        <v>0.41408228</v>
      </c>
      <c r="CN75">
        <v>7.39540856</v>
      </c>
      <c r="CO75">
        <v>4.29</v>
      </c>
      <c r="CP75">
        <v>0</v>
      </c>
      <c r="CQ75">
        <v>5.72247426</v>
      </c>
      <c r="CS75">
        <v>3.575</v>
      </c>
      <c r="CT75">
        <v>0.0899531</v>
      </c>
      <c r="CU75">
        <v>4.88332899</v>
      </c>
      <c r="CV75">
        <v>0.22999822</v>
      </c>
      <c r="CW75">
        <v>4.35559137</v>
      </c>
      <c r="CX75">
        <v>4.29</v>
      </c>
      <c r="CY75">
        <v>0.39494449</v>
      </c>
      <c r="CZ75">
        <v>6.3639329</v>
      </c>
      <c r="DA75">
        <v>3.575</v>
      </c>
      <c r="DB75">
        <v>0.17166285</v>
      </c>
      <c r="DC75">
        <v>5.47514139</v>
      </c>
      <c r="DD75">
        <v>0.15620237</v>
      </c>
      <c r="DE75">
        <v>5.68415833</v>
      </c>
      <c r="DF75">
        <v>0.23368623</v>
      </c>
      <c r="DG75">
        <v>4.60245038</v>
      </c>
    </row>
    <row r="76" spans="15:167">
      <c r="O76">
        <v>355</v>
      </c>
      <c r="P76">
        <v>2.4463611</v>
      </c>
      <c r="Q76">
        <v>4.39413755</v>
      </c>
      <c r="R76">
        <v>1.33106728</v>
      </c>
      <c r="S76">
        <v>2.92605458</v>
      </c>
      <c r="T76">
        <v>2.95826599</v>
      </c>
      <c r="U76">
        <v>7.20885808</v>
      </c>
      <c r="V76">
        <v>5.25763582</v>
      </c>
      <c r="W76">
        <v>9.60406487</v>
      </c>
      <c r="X76">
        <v>8.03977928</v>
      </c>
      <c r="Y76">
        <v>19.05967782</v>
      </c>
      <c r="Z76">
        <v>10.4470491</v>
      </c>
      <c r="AA76">
        <v>20.18880733</v>
      </c>
      <c r="AC76">
        <v>355</v>
      </c>
      <c r="AD76">
        <v>3.7854296</v>
      </c>
      <c r="AE76">
        <v>6.59326386</v>
      </c>
      <c r="AF76">
        <v>2.22533654</v>
      </c>
      <c r="AG76">
        <v>4.02294188</v>
      </c>
      <c r="AH76">
        <v>4.30287932</v>
      </c>
      <c r="AI76">
        <v>9.83682609</v>
      </c>
      <c r="AJ76">
        <v>3.61614737</v>
      </c>
      <c r="AK76">
        <v>9.9140243</v>
      </c>
      <c r="AL76">
        <v>11.99629118</v>
      </c>
      <c r="AM76">
        <v>14.46244803</v>
      </c>
      <c r="AN76">
        <v>15.35763817</v>
      </c>
      <c r="AO76">
        <v>23.06042375</v>
      </c>
      <c r="BJ76">
        <v>3.625</v>
      </c>
      <c r="BK76">
        <v>0.13123318</v>
      </c>
      <c r="BL76">
        <v>0.32264034</v>
      </c>
      <c r="BM76">
        <v>0.21834461</v>
      </c>
      <c r="BN76">
        <v>0.307558</v>
      </c>
      <c r="BO76">
        <v>0.44683272</v>
      </c>
      <c r="BP76">
        <v>0.13123318</v>
      </c>
      <c r="BQ76">
        <v>0</v>
      </c>
      <c r="CC76">
        <v>3.625</v>
      </c>
      <c r="CD76">
        <v>0.236867</v>
      </c>
      <c r="CE76">
        <v>4.94970344</v>
      </c>
      <c r="CF76">
        <v>0.21184083</v>
      </c>
      <c r="CG76">
        <v>5.34898087</v>
      </c>
      <c r="CH76">
        <v>0.24710282</v>
      </c>
      <c r="CI76">
        <v>3.84759675</v>
      </c>
      <c r="CJ76">
        <v>0.30935529</v>
      </c>
      <c r="CK76">
        <v>3.27226832</v>
      </c>
      <c r="CL76">
        <v>4.35</v>
      </c>
      <c r="CM76">
        <v>0.38309251</v>
      </c>
      <c r="CN76">
        <v>4.21647335</v>
      </c>
      <c r="CO76">
        <v>4.35</v>
      </c>
      <c r="CP76">
        <v>0</v>
      </c>
      <c r="CQ76">
        <v>5.81869064</v>
      </c>
      <c r="CS76">
        <v>3.625</v>
      </c>
      <c r="CT76">
        <v>0.06999103</v>
      </c>
      <c r="CU76">
        <v>5.743639</v>
      </c>
      <c r="CV76">
        <v>0.15486736</v>
      </c>
      <c r="CW76">
        <v>4.67075666</v>
      </c>
      <c r="CX76">
        <v>4.35</v>
      </c>
      <c r="CY76">
        <v>0.35379914</v>
      </c>
      <c r="CZ76">
        <v>5.93434882</v>
      </c>
      <c r="DA76">
        <v>3.625</v>
      </c>
      <c r="DB76">
        <v>0.10544846</v>
      </c>
      <c r="DC76">
        <v>4.32668196</v>
      </c>
      <c r="DD76">
        <v>0.13404982</v>
      </c>
      <c r="DE76">
        <v>4.85148627</v>
      </c>
      <c r="DF76">
        <v>0.20910154</v>
      </c>
      <c r="DG76">
        <v>4.82069952</v>
      </c>
    </row>
    <row r="77" spans="15:167">
      <c r="O77">
        <v>360</v>
      </c>
      <c r="P77">
        <v>2.44770474</v>
      </c>
      <c r="Q77">
        <v>4.49606129</v>
      </c>
      <c r="R77">
        <v>1.29110944</v>
      </c>
      <c r="S77">
        <v>2.93118516</v>
      </c>
      <c r="T77">
        <v>2.99859174</v>
      </c>
      <c r="U77">
        <v>7.25338426</v>
      </c>
      <c r="V77">
        <v>5.3371934</v>
      </c>
      <c r="W77">
        <v>9.63681744</v>
      </c>
      <c r="X77">
        <v>8.08280688</v>
      </c>
      <c r="Y77">
        <v>19.1878621</v>
      </c>
      <c r="Z77">
        <v>10.47680521</v>
      </c>
      <c r="AA77">
        <v>20.36870902</v>
      </c>
      <c r="AC77">
        <v>360</v>
      </c>
      <c r="AD77">
        <v>3.82617707</v>
      </c>
      <c r="AE77">
        <v>6.71976774</v>
      </c>
      <c r="AF77">
        <v>2.23122282</v>
      </c>
      <c r="AG77">
        <v>4.06105479</v>
      </c>
      <c r="AH77">
        <v>4.31217471</v>
      </c>
      <c r="AI77">
        <v>9.87285525</v>
      </c>
      <c r="AJ77">
        <v>3.65004227</v>
      </c>
      <c r="AK77">
        <v>9.98325753</v>
      </c>
      <c r="AL77">
        <v>12.23583967</v>
      </c>
      <c r="AM77">
        <v>14.58740009</v>
      </c>
      <c r="AN77">
        <v>15.60518465</v>
      </c>
      <c r="AO77">
        <v>23.43485351</v>
      </c>
      <c r="BJ77">
        <v>3.675</v>
      </c>
      <c r="BK77">
        <v>0.14896765</v>
      </c>
      <c r="BL77">
        <v>0.27206475</v>
      </c>
      <c r="BM77">
        <v>0.19119939</v>
      </c>
      <c r="BN77">
        <v>0.32062086</v>
      </c>
      <c r="BO77">
        <v>0.15216492</v>
      </c>
      <c r="BP77">
        <v>0.14896765</v>
      </c>
      <c r="BQ77">
        <v>0</v>
      </c>
      <c r="CC77">
        <v>3.675</v>
      </c>
      <c r="CD77">
        <v>0.23841267</v>
      </c>
      <c r="CE77">
        <v>3.71228394</v>
      </c>
      <c r="CF77">
        <v>0.18233317</v>
      </c>
      <c r="CG77">
        <v>5.20442274</v>
      </c>
      <c r="CH77">
        <v>0.25645309</v>
      </c>
      <c r="CI77">
        <v>3.84479282</v>
      </c>
      <c r="CJ77">
        <v>0.29285986</v>
      </c>
      <c r="CK77">
        <v>4.416286</v>
      </c>
      <c r="CL77">
        <v>4.41</v>
      </c>
      <c r="CM77">
        <v>0.43008381</v>
      </c>
      <c r="CN77">
        <v>3.86119684</v>
      </c>
      <c r="CO77">
        <v>4.41</v>
      </c>
      <c r="CP77">
        <v>0</v>
      </c>
      <c r="CQ77">
        <v>4.36915357</v>
      </c>
      <c r="CS77">
        <v>3.675</v>
      </c>
      <c r="CT77">
        <v>0.07661194</v>
      </c>
      <c r="CU77">
        <v>6.44817126</v>
      </c>
      <c r="CV77">
        <v>0.11719712</v>
      </c>
      <c r="CW77">
        <v>6.44688825</v>
      </c>
      <c r="CX77">
        <v>4.41</v>
      </c>
      <c r="CY77">
        <v>0.46717959</v>
      </c>
      <c r="CZ77">
        <v>4.09765677</v>
      </c>
      <c r="DA77">
        <v>3.675</v>
      </c>
      <c r="DB77">
        <v>0.11114856</v>
      </c>
      <c r="DC77">
        <v>5.50506008</v>
      </c>
      <c r="DD77">
        <v>0.15651249</v>
      </c>
      <c r="DE77">
        <v>5.04970146</v>
      </c>
      <c r="DF77">
        <v>0.17691347</v>
      </c>
      <c r="DG77">
        <v>6.81227432</v>
      </c>
    </row>
    <row r="78" spans="15:167">
      <c r="O78">
        <v>365</v>
      </c>
      <c r="P78">
        <v>2.42822614</v>
      </c>
      <c r="Q78">
        <v>4.55178768</v>
      </c>
      <c r="R78">
        <v>1.3134396</v>
      </c>
      <c r="S78">
        <v>2.93397525</v>
      </c>
      <c r="T78">
        <v>2.98890796</v>
      </c>
      <c r="U78">
        <v>7.33440242</v>
      </c>
      <c r="V78">
        <v>5.47306377</v>
      </c>
      <c r="W78">
        <v>9.75482176</v>
      </c>
      <c r="X78">
        <v>8.21138714</v>
      </c>
      <c r="Y78">
        <v>19.39622441</v>
      </c>
      <c r="Z78">
        <v>10.49058196</v>
      </c>
      <c r="AA78">
        <v>20.30894442</v>
      </c>
      <c r="AC78">
        <v>365</v>
      </c>
      <c r="AD78">
        <v>3.86014442</v>
      </c>
      <c r="AE78">
        <v>6.79068554</v>
      </c>
      <c r="AF78">
        <v>2.27609556</v>
      </c>
      <c r="AG78">
        <v>4.07557115</v>
      </c>
      <c r="AH78">
        <v>4.42247285</v>
      </c>
      <c r="AI78">
        <v>9.85249704</v>
      </c>
      <c r="AJ78">
        <v>3.67411921</v>
      </c>
      <c r="AK78">
        <v>10.13119987</v>
      </c>
      <c r="AL78">
        <v>12.37274088</v>
      </c>
      <c r="AM78">
        <v>14.59568301</v>
      </c>
      <c r="AN78">
        <v>15.71997773</v>
      </c>
      <c r="AO78">
        <v>23.77407395</v>
      </c>
      <c r="BJ78">
        <v>3.725</v>
      </c>
      <c r="BK78">
        <v>0.18642268</v>
      </c>
      <c r="BL78">
        <v>0.26481013</v>
      </c>
      <c r="BM78">
        <v>0.18610105</v>
      </c>
      <c r="BN78">
        <v>0.16643812</v>
      </c>
      <c r="BO78">
        <v>0.38084768</v>
      </c>
      <c r="BP78">
        <v>0.18642268</v>
      </c>
      <c r="BQ78">
        <v>0</v>
      </c>
      <c r="CC78">
        <v>3.725</v>
      </c>
      <c r="CD78">
        <v>0.30940717</v>
      </c>
      <c r="CE78">
        <v>4.58986204</v>
      </c>
      <c r="CF78">
        <v>0.19290352</v>
      </c>
      <c r="CG78">
        <v>5.06564647</v>
      </c>
      <c r="CH78">
        <v>0.20281199</v>
      </c>
      <c r="CI78">
        <v>6.59821496</v>
      </c>
      <c r="CJ78">
        <v>0.31672304</v>
      </c>
      <c r="CK78">
        <v>6.2978396</v>
      </c>
      <c r="CL78">
        <v>4.47</v>
      </c>
      <c r="CM78">
        <v>0.49768743</v>
      </c>
      <c r="CN78">
        <v>2.99484573</v>
      </c>
      <c r="CO78">
        <v>4.47</v>
      </c>
      <c r="CP78">
        <v>0</v>
      </c>
      <c r="CQ78">
        <v>3.23440971</v>
      </c>
      <c r="CS78">
        <v>3.725</v>
      </c>
      <c r="CT78">
        <v>0.11599634</v>
      </c>
      <c r="CU78">
        <v>8.57751482</v>
      </c>
      <c r="CV78">
        <v>0.10592405</v>
      </c>
      <c r="CW78">
        <v>6.7893243</v>
      </c>
      <c r="CX78">
        <v>4.47</v>
      </c>
      <c r="CY78">
        <v>0.42121637</v>
      </c>
      <c r="CZ78">
        <v>3.68624154</v>
      </c>
      <c r="DA78">
        <v>3.725</v>
      </c>
      <c r="DB78">
        <v>0.17476003</v>
      </c>
      <c r="DC78">
        <v>7.56461265</v>
      </c>
      <c r="DD78">
        <v>0.19465548</v>
      </c>
      <c r="DE78">
        <v>8.33421665</v>
      </c>
      <c r="DF78">
        <v>0.2927333</v>
      </c>
      <c r="DG78">
        <v>6.73932335</v>
      </c>
    </row>
    <row r="79" spans="15:167">
      <c r="O79">
        <v>370</v>
      </c>
      <c r="P79">
        <v>2.40123728</v>
      </c>
      <c r="Q79">
        <v>4.57445864</v>
      </c>
      <c r="R79">
        <v>1.2934176</v>
      </c>
      <c r="S79">
        <v>2.9677692</v>
      </c>
      <c r="T79">
        <v>3.02525909</v>
      </c>
      <c r="U79">
        <v>7.37895646</v>
      </c>
      <c r="V79">
        <v>5.65032133</v>
      </c>
      <c r="W79">
        <v>9.85515669</v>
      </c>
      <c r="X79">
        <v>8.29875817</v>
      </c>
      <c r="Y79">
        <v>19.54733134</v>
      </c>
      <c r="Z79">
        <v>10.56715806</v>
      </c>
      <c r="AA79">
        <v>20.46217201</v>
      </c>
      <c r="AC79">
        <v>370</v>
      </c>
      <c r="AD79">
        <v>3.9623365</v>
      </c>
      <c r="AE79">
        <v>7.04577684</v>
      </c>
      <c r="AF79">
        <v>2.30156664</v>
      </c>
      <c r="AG79">
        <v>4.07225943</v>
      </c>
      <c r="AH79">
        <v>4.47848245</v>
      </c>
      <c r="AI79">
        <v>9.89055057</v>
      </c>
      <c r="AJ79">
        <v>3.66564646</v>
      </c>
      <c r="AK79">
        <v>10.32465366</v>
      </c>
      <c r="AL79">
        <v>12.5122078</v>
      </c>
      <c r="AM79">
        <v>14.53180276</v>
      </c>
      <c r="AN79">
        <v>15.99543625</v>
      </c>
      <c r="AO79">
        <v>24.15130982</v>
      </c>
      <c r="BJ79">
        <v>3.775</v>
      </c>
      <c r="BK79">
        <v>0.18151711</v>
      </c>
      <c r="BL79">
        <v>0.23800786</v>
      </c>
      <c r="BM79">
        <v>0.22147148</v>
      </c>
      <c r="BN79">
        <v>0.24308764</v>
      </c>
      <c r="BO79">
        <v>0.22661586</v>
      </c>
      <c r="BP79">
        <v>0.18151711</v>
      </c>
      <c r="BQ79">
        <v>0</v>
      </c>
      <c r="CC79">
        <v>3.775</v>
      </c>
      <c r="CD79">
        <v>0.31632862</v>
      </c>
      <c r="CE79">
        <v>6.65608145</v>
      </c>
      <c r="CF79">
        <v>0.26295837</v>
      </c>
      <c r="CG79">
        <v>5.97572904</v>
      </c>
      <c r="CH79">
        <v>0.29621271</v>
      </c>
      <c r="CI79">
        <v>5.94514102</v>
      </c>
      <c r="CJ79">
        <v>0.22358181</v>
      </c>
      <c r="CK79">
        <v>5.54810556</v>
      </c>
      <c r="CL79">
        <v>4.53</v>
      </c>
      <c r="CM79">
        <v>0.52535116</v>
      </c>
      <c r="CN79">
        <v>2.40144356</v>
      </c>
      <c r="CO79">
        <v>4.53</v>
      </c>
      <c r="CP79">
        <v>0</v>
      </c>
      <c r="CQ79">
        <v>1.86625105</v>
      </c>
      <c r="CS79">
        <v>3.775</v>
      </c>
      <c r="CT79">
        <v>0.0887417</v>
      </c>
      <c r="CU79">
        <v>8.04625014</v>
      </c>
      <c r="CV79">
        <v>0.1745391</v>
      </c>
      <c r="CW79">
        <v>8.71406278</v>
      </c>
      <c r="CX79">
        <v>4.53</v>
      </c>
      <c r="CY79">
        <v>0.4847019</v>
      </c>
      <c r="CZ79">
        <v>2.35360056</v>
      </c>
      <c r="DA79">
        <v>3.775</v>
      </c>
      <c r="DB79">
        <v>0.17826427</v>
      </c>
      <c r="DC79">
        <v>6.64945986</v>
      </c>
      <c r="DD79">
        <v>0.18129269</v>
      </c>
      <c r="DE79">
        <v>7.59472157</v>
      </c>
      <c r="DF79">
        <v>0.17604809</v>
      </c>
      <c r="DG79">
        <v>6.66782154</v>
      </c>
    </row>
    <row r="80" spans="15:167">
      <c r="O80">
        <v>375</v>
      </c>
      <c r="P80">
        <v>2.44058285</v>
      </c>
      <c r="Q80">
        <v>4.66455648</v>
      </c>
      <c r="R80">
        <v>1.27312658</v>
      </c>
      <c r="S80">
        <v>2.99717262</v>
      </c>
      <c r="T80">
        <v>3.12494777</v>
      </c>
      <c r="U80">
        <v>7.35561066</v>
      </c>
      <c r="V80">
        <v>5.73863042</v>
      </c>
      <c r="W80">
        <v>9.96263807</v>
      </c>
      <c r="X80">
        <v>8.18871872</v>
      </c>
      <c r="Y80">
        <v>19.58984274</v>
      </c>
      <c r="Z80">
        <v>10.64271438</v>
      </c>
      <c r="AA80">
        <v>20.29986341</v>
      </c>
      <c r="AC80">
        <v>375</v>
      </c>
      <c r="AD80">
        <v>4.07940877</v>
      </c>
      <c r="AE80">
        <v>7.15219271</v>
      </c>
      <c r="AF80">
        <v>2.30176285</v>
      </c>
      <c r="AG80">
        <v>4.06820187</v>
      </c>
      <c r="AH80">
        <v>4.5334233</v>
      </c>
      <c r="AI80">
        <v>9.90684088</v>
      </c>
      <c r="AJ80">
        <v>3.62398088</v>
      </c>
      <c r="AK80">
        <v>10.33027199</v>
      </c>
      <c r="AL80">
        <v>12.76532353</v>
      </c>
      <c r="AM80">
        <v>14.69172146</v>
      </c>
      <c r="AN80">
        <v>16.39867768</v>
      </c>
      <c r="AO80">
        <v>24.62403581</v>
      </c>
      <c r="BJ80">
        <v>3.825</v>
      </c>
      <c r="BK80">
        <v>0.23573687</v>
      </c>
      <c r="BL80">
        <v>0.13523194</v>
      </c>
      <c r="BM80">
        <v>0.11766508</v>
      </c>
      <c r="BN80">
        <v>0.41435456</v>
      </c>
      <c r="BO80">
        <v>0.12039822</v>
      </c>
      <c r="BP80">
        <v>0.23573687</v>
      </c>
      <c r="BQ80">
        <v>0</v>
      </c>
      <c r="CC80">
        <v>3.825</v>
      </c>
      <c r="CD80">
        <v>0.31544878</v>
      </c>
      <c r="CE80">
        <v>7.31676113</v>
      </c>
      <c r="CF80">
        <v>0.21953886</v>
      </c>
      <c r="CG80">
        <v>7.39114176</v>
      </c>
      <c r="CH80">
        <v>0.24413173</v>
      </c>
      <c r="CI80">
        <v>8.21910145</v>
      </c>
      <c r="CJ80">
        <v>0.20275587</v>
      </c>
      <c r="CK80">
        <v>7.01572856</v>
      </c>
      <c r="CL80">
        <v>4.59</v>
      </c>
      <c r="CM80">
        <v>0.4940614</v>
      </c>
      <c r="CN80">
        <v>1.22522817</v>
      </c>
      <c r="CO80">
        <v>4.59</v>
      </c>
      <c r="CP80">
        <v>0</v>
      </c>
      <c r="CQ80">
        <v>1.76097414</v>
      </c>
      <c r="CS80">
        <v>3.825</v>
      </c>
      <c r="CT80">
        <v>0.11786843</v>
      </c>
      <c r="CU80">
        <v>10.41662274</v>
      </c>
      <c r="CV80">
        <v>0.30137405</v>
      </c>
      <c r="CW80">
        <v>9.46333827</v>
      </c>
      <c r="CX80">
        <v>4.59</v>
      </c>
      <c r="CY80">
        <v>0.51750843</v>
      </c>
      <c r="CZ80">
        <v>2.00591262</v>
      </c>
      <c r="DA80">
        <v>3.825</v>
      </c>
      <c r="DB80">
        <v>0.18941923</v>
      </c>
      <c r="DC80">
        <v>8.66888941</v>
      </c>
      <c r="DD80">
        <v>0.16855751</v>
      </c>
      <c r="DE80">
        <v>10.43752237</v>
      </c>
      <c r="DF80">
        <v>0.22863423</v>
      </c>
      <c r="DG80">
        <v>9.07187982</v>
      </c>
    </row>
    <row r="81" spans="15:111">
      <c r="O81">
        <v>380</v>
      </c>
      <c r="P81">
        <v>2.43246236</v>
      </c>
      <c r="Q81">
        <v>4.71527558</v>
      </c>
      <c r="R81">
        <v>1.27286002</v>
      </c>
      <c r="S81">
        <v>3.02854468</v>
      </c>
      <c r="T81">
        <v>3.09206777</v>
      </c>
      <c r="U81">
        <v>7.27695725</v>
      </c>
      <c r="V81">
        <v>5.84394274</v>
      </c>
      <c r="W81">
        <v>9.96711845</v>
      </c>
      <c r="X81">
        <v>8.33696526</v>
      </c>
      <c r="Y81">
        <v>19.92003406</v>
      </c>
      <c r="Z81">
        <v>10.64753315</v>
      </c>
      <c r="AA81">
        <v>20.09276627</v>
      </c>
      <c r="AC81">
        <v>380</v>
      </c>
      <c r="AD81">
        <v>4.14282339</v>
      </c>
      <c r="AE81">
        <v>7.25607379</v>
      </c>
      <c r="AF81">
        <v>2.30086237</v>
      </c>
      <c r="AG81">
        <v>4.14529023</v>
      </c>
      <c r="AH81">
        <v>4.61578374</v>
      </c>
      <c r="AI81">
        <v>10.01877497</v>
      </c>
      <c r="AJ81">
        <v>3.73082082</v>
      </c>
      <c r="AK81">
        <v>10.38540605</v>
      </c>
      <c r="AL81">
        <v>12.96242776</v>
      </c>
      <c r="AM81">
        <v>14.78901168</v>
      </c>
      <c r="AN81">
        <v>16.30568384</v>
      </c>
      <c r="AO81">
        <v>24.90093047</v>
      </c>
      <c r="BJ81">
        <v>3.875</v>
      </c>
      <c r="BK81">
        <v>0.30625689</v>
      </c>
      <c r="BL81">
        <v>0.28235282</v>
      </c>
      <c r="BM81">
        <v>0.19108032</v>
      </c>
      <c r="BN81">
        <v>0.26915378</v>
      </c>
      <c r="BO81">
        <v>0.19551876</v>
      </c>
      <c r="BP81">
        <v>0.30625689</v>
      </c>
      <c r="BQ81">
        <v>0</v>
      </c>
      <c r="CC81">
        <v>3.875</v>
      </c>
      <c r="CD81">
        <v>0.37169213</v>
      </c>
      <c r="CE81">
        <v>7.7608602</v>
      </c>
      <c r="CF81">
        <v>0.34225596</v>
      </c>
      <c r="CG81">
        <v>7.20163582</v>
      </c>
      <c r="CH81">
        <v>0.36762081</v>
      </c>
      <c r="CI81">
        <v>8.09937113</v>
      </c>
      <c r="CJ81">
        <v>0.25609278</v>
      </c>
      <c r="CK81">
        <v>8.68337457</v>
      </c>
      <c r="CL81">
        <v>4.65</v>
      </c>
      <c r="CM81">
        <v>0.46420123</v>
      </c>
      <c r="CN81">
        <v>1.57366365</v>
      </c>
      <c r="CO81">
        <v>4.65</v>
      </c>
      <c r="CP81">
        <v>0</v>
      </c>
      <c r="CQ81">
        <v>1.66047432</v>
      </c>
      <c r="CS81">
        <v>3.875</v>
      </c>
      <c r="CT81">
        <v>0.09953349</v>
      </c>
      <c r="CU81">
        <v>8.02297341</v>
      </c>
      <c r="CV81">
        <v>0.14305876</v>
      </c>
      <c r="CW81">
        <v>10.45646622</v>
      </c>
      <c r="CX81">
        <v>4.65</v>
      </c>
      <c r="CY81">
        <v>0.47327763</v>
      </c>
      <c r="CZ81">
        <v>2.12200883</v>
      </c>
      <c r="DA81">
        <v>3.875</v>
      </c>
      <c r="DB81">
        <v>0.21532303</v>
      </c>
      <c r="DC81">
        <v>9.41749868</v>
      </c>
      <c r="DD81">
        <v>0.16423576</v>
      </c>
      <c r="DE81">
        <v>8.39264289</v>
      </c>
      <c r="DF81">
        <v>0.29437748</v>
      </c>
      <c r="DG81">
        <v>10.24552959</v>
      </c>
    </row>
    <row r="82" spans="15:111">
      <c r="O82">
        <v>385</v>
      </c>
      <c r="P82">
        <v>2.44425929</v>
      </c>
      <c r="Q82">
        <v>4.77129077</v>
      </c>
      <c r="R82">
        <v>1.26661357</v>
      </c>
      <c r="S82">
        <v>3.11042336</v>
      </c>
      <c r="T82">
        <v>3.13257562</v>
      </c>
      <c r="U82">
        <v>7.19339959</v>
      </c>
      <c r="V82">
        <v>5.75133821</v>
      </c>
      <c r="W82">
        <v>9.98366649</v>
      </c>
      <c r="X82">
        <v>8.41596147</v>
      </c>
      <c r="Y82">
        <v>20.10376405</v>
      </c>
      <c r="Z82">
        <v>10.62463763</v>
      </c>
      <c r="AA82">
        <v>19.9064185</v>
      </c>
      <c r="AC82">
        <v>385</v>
      </c>
      <c r="AD82">
        <v>4.26842292</v>
      </c>
      <c r="AE82">
        <v>7.44127651</v>
      </c>
      <c r="AF82">
        <v>2.34071344</v>
      </c>
      <c r="AG82">
        <v>4.16087794</v>
      </c>
      <c r="AH82">
        <v>4.67436261</v>
      </c>
      <c r="AI82">
        <v>10.07997523</v>
      </c>
      <c r="AJ82">
        <v>3.76712368</v>
      </c>
      <c r="AK82">
        <v>10.54961316</v>
      </c>
      <c r="AL82">
        <v>13.39387932</v>
      </c>
      <c r="AM82">
        <v>15.01424648</v>
      </c>
      <c r="AN82">
        <v>16.37592802</v>
      </c>
      <c r="AO82">
        <v>25.18535037</v>
      </c>
      <c r="BJ82">
        <v>3.925</v>
      </c>
      <c r="BK82">
        <v>0.13059549</v>
      </c>
      <c r="BL82">
        <v>0.11008201</v>
      </c>
      <c r="BM82">
        <v>0.13037017</v>
      </c>
      <c r="BN82">
        <v>0.2998173</v>
      </c>
      <c r="BO82">
        <v>0.22868303</v>
      </c>
      <c r="BP82">
        <v>0.13059549</v>
      </c>
      <c r="BQ82">
        <v>0</v>
      </c>
      <c r="CC82">
        <v>3.925</v>
      </c>
      <c r="CD82">
        <v>0.36228271</v>
      </c>
      <c r="CE82">
        <v>8.44397398</v>
      </c>
      <c r="CF82">
        <v>0.36139103</v>
      </c>
      <c r="CG82">
        <v>7.45803365</v>
      </c>
      <c r="CH82">
        <v>0.32318559</v>
      </c>
      <c r="CI82">
        <v>7.53953328</v>
      </c>
      <c r="CJ82">
        <v>0.29240002</v>
      </c>
      <c r="CK82">
        <v>7.6532139</v>
      </c>
      <c r="CL82">
        <v>4.71</v>
      </c>
      <c r="CM82">
        <v>0.56137306</v>
      </c>
      <c r="CN82">
        <v>1.6924979</v>
      </c>
      <c r="CO82">
        <v>4.71</v>
      </c>
      <c r="CP82">
        <v>0</v>
      </c>
      <c r="CQ82">
        <v>1.29475141</v>
      </c>
      <c r="CS82">
        <v>3.925</v>
      </c>
      <c r="CT82">
        <v>0.20149018</v>
      </c>
      <c r="CU82">
        <v>11.02319185</v>
      </c>
      <c r="CV82">
        <v>0.16145362</v>
      </c>
      <c r="CW82">
        <v>10.56236933</v>
      </c>
      <c r="CX82">
        <v>4.71</v>
      </c>
      <c r="CY82">
        <v>0.52165313</v>
      </c>
      <c r="CZ82">
        <v>2.28600473</v>
      </c>
      <c r="DA82">
        <v>3.925</v>
      </c>
      <c r="DB82">
        <v>0.22486297</v>
      </c>
      <c r="DC82">
        <v>9.27372373</v>
      </c>
      <c r="DD82">
        <v>0.22106026</v>
      </c>
      <c r="DE82">
        <v>9.71998146</v>
      </c>
      <c r="DF82">
        <v>0.20162317</v>
      </c>
      <c r="DG82">
        <v>10.96519872</v>
      </c>
    </row>
    <row r="83" spans="15:111">
      <c r="O83">
        <v>390</v>
      </c>
      <c r="P83">
        <v>2.39114378</v>
      </c>
      <c r="Q83">
        <v>4.72597718</v>
      </c>
      <c r="R83">
        <v>1.28635486</v>
      </c>
      <c r="S83">
        <v>3.10798922</v>
      </c>
      <c r="T83">
        <v>3.14305286</v>
      </c>
      <c r="U83">
        <v>7.16211774</v>
      </c>
      <c r="V83">
        <v>5.73571707</v>
      </c>
      <c r="W83">
        <v>9.99119445</v>
      </c>
      <c r="X83">
        <v>8.51895674</v>
      </c>
      <c r="Y83">
        <v>20.45419807</v>
      </c>
      <c r="Z83">
        <v>10.65943572</v>
      </c>
      <c r="AA83">
        <v>20.00548654</v>
      </c>
      <c r="AC83">
        <v>390</v>
      </c>
      <c r="AD83">
        <v>4.34808101</v>
      </c>
      <c r="AE83">
        <v>7.54888545</v>
      </c>
      <c r="AF83">
        <v>2.37875832</v>
      </c>
      <c r="AG83">
        <v>4.19770522</v>
      </c>
      <c r="AH83">
        <v>4.86024338</v>
      </c>
      <c r="AI83">
        <v>10.21117658</v>
      </c>
      <c r="AJ83">
        <v>3.84359916</v>
      </c>
      <c r="AK83">
        <v>10.75141181</v>
      </c>
      <c r="AL83">
        <v>13.77607947</v>
      </c>
      <c r="AM83">
        <v>15.30021808</v>
      </c>
      <c r="AN83">
        <v>16.55089048</v>
      </c>
      <c r="AO83">
        <v>25.66688048</v>
      </c>
      <c r="BJ83">
        <v>3.975</v>
      </c>
      <c r="BK83">
        <v>0.10914066</v>
      </c>
      <c r="BL83">
        <v>0.10733011</v>
      </c>
      <c r="BM83">
        <v>0.18158727</v>
      </c>
      <c r="BN83">
        <v>0.23751184</v>
      </c>
      <c r="BO83">
        <v>0.20438573</v>
      </c>
      <c r="BP83">
        <v>0.10914066</v>
      </c>
      <c r="BQ83">
        <v>0</v>
      </c>
      <c r="CC83">
        <v>3.975</v>
      </c>
      <c r="CD83">
        <v>0.34643331</v>
      </c>
      <c r="CE83">
        <v>7.03225659</v>
      </c>
      <c r="CF83">
        <v>0.35235673</v>
      </c>
      <c r="CG83">
        <v>6.6727556</v>
      </c>
      <c r="CH83">
        <v>0.32195651</v>
      </c>
      <c r="CI83">
        <v>8.64829987</v>
      </c>
      <c r="CJ83">
        <v>0.42415889</v>
      </c>
      <c r="CK83">
        <v>8.95427237</v>
      </c>
      <c r="CL83">
        <v>4.77</v>
      </c>
      <c r="CM83">
        <v>0.57184722</v>
      </c>
      <c r="CN83">
        <v>1.49548258</v>
      </c>
      <c r="CO83">
        <v>4.77</v>
      </c>
      <c r="CP83">
        <v>0</v>
      </c>
      <c r="CQ83">
        <v>1.57798042</v>
      </c>
      <c r="CS83">
        <v>3.975</v>
      </c>
      <c r="CT83">
        <v>0.1819011</v>
      </c>
      <c r="CU83">
        <v>10.19646625</v>
      </c>
      <c r="CV83">
        <v>0.25043692</v>
      </c>
      <c r="CW83">
        <v>10.20798785</v>
      </c>
      <c r="CX83">
        <v>4.77</v>
      </c>
      <c r="CY83">
        <v>0.49179885</v>
      </c>
      <c r="CZ83">
        <v>1.80431331</v>
      </c>
      <c r="DA83">
        <v>3.975</v>
      </c>
      <c r="DB83">
        <v>0.19731752</v>
      </c>
      <c r="DC83">
        <v>10.42585605</v>
      </c>
      <c r="DD83">
        <v>0.26012729</v>
      </c>
      <c r="DE83">
        <v>10.13381615</v>
      </c>
      <c r="DF83">
        <v>0.21170462</v>
      </c>
      <c r="DG83">
        <v>9.25924171</v>
      </c>
    </row>
    <row r="84" spans="15:111">
      <c r="O84">
        <v>395</v>
      </c>
      <c r="P84">
        <v>2.39136572</v>
      </c>
      <c r="Q84">
        <v>4.84344265</v>
      </c>
      <c r="R84">
        <v>1.30675292</v>
      </c>
      <c r="S84">
        <v>3.19020178</v>
      </c>
      <c r="T84">
        <v>3.11914003</v>
      </c>
      <c r="U84">
        <v>7.19335372</v>
      </c>
      <c r="V84">
        <v>5.74670938</v>
      </c>
      <c r="W84">
        <v>10.10188654</v>
      </c>
      <c r="X84">
        <v>8.5801039</v>
      </c>
      <c r="Y84">
        <v>20.60034672</v>
      </c>
      <c r="Z84">
        <v>10.67615901</v>
      </c>
      <c r="AA84">
        <v>19.91114658</v>
      </c>
      <c r="AC84">
        <v>395</v>
      </c>
      <c r="AD84">
        <v>4.45722082</v>
      </c>
      <c r="AE84">
        <v>7.70777848</v>
      </c>
      <c r="AF84">
        <v>2.35229907</v>
      </c>
      <c r="AG84">
        <v>4.33472447</v>
      </c>
      <c r="AH84">
        <v>4.85463653</v>
      </c>
      <c r="AI84">
        <v>10.23768004</v>
      </c>
      <c r="AJ84">
        <v>3.74010711</v>
      </c>
      <c r="AK84">
        <v>10.77799909</v>
      </c>
      <c r="AL84">
        <v>14.15168835</v>
      </c>
      <c r="AM84">
        <v>15.40698271</v>
      </c>
      <c r="AN84">
        <v>16.53388178</v>
      </c>
      <c r="AO84">
        <v>26.01560462</v>
      </c>
      <c r="BJ84">
        <v>4.025</v>
      </c>
      <c r="BK84">
        <v>0.21289194</v>
      </c>
      <c r="BL84">
        <v>0.13957349</v>
      </c>
      <c r="BM84">
        <v>0.15939348</v>
      </c>
      <c r="BN84">
        <v>0.2494667</v>
      </c>
      <c r="BO84">
        <v>0.2174612</v>
      </c>
      <c r="BP84">
        <v>0.21289194</v>
      </c>
      <c r="BQ84">
        <v>0</v>
      </c>
      <c r="CC84">
        <v>4.025</v>
      </c>
      <c r="CD84">
        <v>0.3908806</v>
      </c>
      <c r="CE84">
        <v>8.19689874</v>
      </c>
      <c r="CF84">
        <v>0.47583279</v>
      </c>
      <c r="CG84">
        <v>8.17672383</v>
      </c>
      <c r="CH84">
        <v>0.38081746</v>
      </c>
      <c r="CI84">
        <v>10.29042256</v>
      </c>
      <c r="CJ84">
        <v>0.37977765</v>
      </c>
      <c r="CK84">
        <v>9.07566866</v>
      </c>
      <c r="CL84">
        <v>4.83</v>
      </c>
      <c r="CM84">
        <v>0.5218743</v>
      </c>
      <c r="CN84">
        <v>1.00590275</v>
      </c>
      <c r="CO84">
        <v>4.83</v>
      </c>
      <c r="CP84">
        <v>0.41040532</v>
      </c>
      <c r="CQ84">
        <v>1.53901994</v>
      </c>
      <c r="CS84">
        <v>4.025</v>
      </c>
      <c r="CT84">
        <v>0.10644597</v>
      </c>
      <c r="CU84">
        <v>10.39267472</v>
      </c>
      <c r="CV84">
        <v>0.20936024</v>
      </c>
      <c r="CW84">
        <v>11.01322094</v>
      </c>
      <c r="CX84">
        <v>4.83</v>
      </c>
      <c r="CY84">
        <v>0.66823911</v>
      </c>
      <c r="CZ84">
        <v>2.5878892</v>
      </c>
      <c r="DA84">
        <v>4.025</v>
      </c>
      <c r="DB84">
        <v>0.27797718</v>
      </c>
      <c r="DC84">
        <v>9.17859254</v>
      </c>
      <c r="DD84">
        <v>0.26820214</v>
      </c>
      <c r="DE84">
        <v>10.34118594</v>
      </c>
      <c r="DF84">
        <v>0.16960661</v>
      </c>
      <c r="DG84">
        <v>8.56513382</v>
      </c>
    </row>
    <row r="85" spans="15:111">
      <c r="O85">
        <v>400</v>
      </c>
      <c r="P85">
        <v>2.40171694</v>
      </c>
      <c r="Q85">
        <v>4.89638289</v>
      </c>
      <c r="R85">
        <v>1.2523557</v>
      </c>
      <c r="S85">
        <v>3.11251016</v>
      </c>
      <c r="T85">
        <v>3.15506411</v>
      </c>
      <c r="U85">
        <v>7.10014928</v>
      </c>
      <c r="V85">
        <v>5.92476283</v>
      </c>
      <c r="W85">
        <v>10.3035416</v>
      </c>
      <c r="X85">
        <v>8.60810293</v>
      </c>
      <c r="Y85">
        <v>20.83653651</v>
      </c>
      <c r="Z85">
        <v>10.48659254</v>
      </c>
      <c r="AA85">
        <v>19.7241244</v>
      </c>
      <c r="AC85">
        <v>400</v>
      </c>
      <c r="AD85">
        <v>4.51938052</v>
      </c>
      <c r="AE85">
        <v>7.81567366</v>
      </c>
      <c r="AF85">
        <v>2.4624981</v>
      </c>
      <c r="AG85">
        <v>4.32940861</v>
      </c>
      <c r="AH85">
        <v>4.85035528</v>
      </c>
      <c r="AI85">
        <v>10.28593355</v>
      </c>
      <c r="AJ85">
        <v>3.74384809</v>
      </c>
      <c r="AK85">
        <v>10.9985181</v>
      </c>
      <c r="AL85">
        <v>14.36199579</v>
      </c>
      <c r="AM85">
        <v>15.53556315</v>
      </c>
      <c r="AN85">
        <v>16.62459699</v>
      </c>
      <c r="AO85">
        <v>26.42438642</v>
      </c>
      <c r="BJ85">
        <v>4.075</v>
      </c>
      <c r="BK85">
        <v>0.12115816</v>
      </c>
      <c r="BL85">
        <v>0.10212707</v>
      </c>
      <c r="BM85">
        <v>0.13822758</v>
      </c>
      <c r="BN85">
        <v>0.22599799</v>
      </c>
      <c r="BO85">
        <v>0.17679794</v>
      </c>
      <c r="BP85">
        <v>0.12115816</v>
      </c>
      <c r="BQ85">
        <v>0</v>
      </c>
      <c r="CC85">
        <v>4.075</v>
      </c>
      <c r="CD85">
        <v>0.36195686</v>
      </c>
      <c r="CE85">
        <v>8.24179006</v>
      </c>
      <c r="CF85">
        <v>0.35461838</v>
      </c>
      <c r="CG85">
        <v>8.14010362</v>
      </c>
      <c r="CH85">
        <v>0.39760195</v>
      </c>
      <c r="CI85">
        <v>8.72280016</v>
      </c>
      <c r="CJ85">
        <v>0.29773547</v>
      </c>
      <c r="CK85">
        <v>10.52494879</v>
      </c>
      <c r="CL85">
        <v>4.89</v>
      </c>
      <c r="CM85">
        <v>0.47805339</v>
      </c>
      <c r="CN85">
        <v>1.47205465</v>
      </c>
      <c r="CO85">
        <v>4.89</v>
      </c>
      <c r="CP85">
        <v>0</v>
      </c>
      <c r="CQ85">
        <v>2.70267256</v>
      </c>
      <c r="CS85">
        <v>4.075</v>
      </c>
      <c r="CT85">
        <v>0.29770292</v>
      </c>
      <c r="CU85">
        <v>10.7510563</v>
      </c>
      <c r="CV85">
        <v>0.19063721</v>
      </c>
      <c r="CW85">
        <v>7.90803978</v>
      </c>
      <c r="CX85">
        <v>4.89</v>
      </c>
      <c r="CY85">
        <v>0.59194681</v>
      </c>
      <c r="CZ85">
        <v>2.22180035</v>
      </c>
      <c r="DA85">
        <v>4.075</v>
      </c>
      <c r="DB85">
        <v>0.2225211</v>
      </c>
      <c r="DC85">
        <v>8.25240345</v>
      </c>
      <c r="DD85">
        <v>0.28994862</v>
      </c>
      <c r="DE85">
        <v>10.53538935</v>
      </c>
      <c r="DF85">
        <v>0.28057969</v>
      </c>
      <c r="DG85">
        <v>9.08286804</v>
      </c>
    </row>
    <row r="86" spans="15:111">
      <c r="O86">
        <v>405</v>
      </c>
      <c r="P86">
        <v>2.40413675</v>
      </c>
      <c r="Q86">
        <v>4.89897898</v>
      </c>
      <c r="R86">
        <v>1.24367846</v>
      </c>
      <c r="S86">
        <v>3.09601849</v>
      </c>
      <c r="T86">
        <v>3.15705001</v>
      </c>
      <c r="U86">
        <v>7.07221486</v>
      </c>
      <c r="V86">
        <v>6.0243271</v>
      </c>
      <c r="W86">
        <v>10.46898719</v>
      </c>
      <c r="X86">
        <v>8.60320515</v>
      </c>
      <c r="Y86">
        <v>21.05398091</v>
      </c>
      <c r="Z86">
        <v>10.47044763</v>
      </c>
      <c r="AA86">
        <v>19.87733281</v>
      </c>
      <c r="AC86">
        <v>405</v>
      </c>
      <c r="AD86">
        <v>4.61457195</v>
      </c>
      <c r="AE86">
        <v>7.95570494</v>
      </c>
      <c r="AF86">
        <v>2.40566957</v>
      </c>
      <c r="AG86">
        <v>4.37589876</v>
      </c>
      <c r="AH86">
        <v>4.94584846</v>
      </c>
      <c r="AI86">
        <v>10.46523881</v>
      </c>
      <c r="AJ86">
        <v>3.78194208</v>
      </c>
      <c r="AK86">
        <v>11.0725878</v>
      </c>
      <c r="AL86">
        <v>14.537649</v>
      </c>
      <c r="AM86">
        <v>15.61888437</v>
      </c>
      <c r="AN86">
        <v>16.53964208</v>
      </c>
      <c r="AO86">
        <v>26.76899507</v>
      </c>
      <c r="BJ86">
        <v>4.125</v>
      </c>
      <c r="BK86">
        <v>0.15202136</v>
      </c>
      <c r="BL86">
        <v>0.0996663</v>
      </c>
      <c r="BM86">
        <v>0.1686212</v>
      </c>
      <c r="BN86">
        <v>0.22055252</v>
      </c>
      <c r="BO86">
        <v>0.22429935</v>
      </c>
      <c r="BP86">
        <v>0.15202136</v>
      </c>
      <c r="BQ86">
        <v>0</v>
      </c>
      <c r="CC86">
        <v>4.125</v>
      </c>
      <c r="CD86">
        <v>0.41631319</v>
      </c>
      <c r="CE86">
        <v>7.96356677</v>
      </c>
      <c r="CF86">
        <v>0.35236602</v>
      </c>
      <c r="CG86">
        <v>7.46732818</v>
      </c>
      <c r="CH86">
        <v>0.40074367</v>
      </c>
      <c r="CI86">
        <v>8.03077594</v>
      </c>
      <c r="CJ86">
        <v>0.32284608</v>
      </c>
      <c r="CK86">
        <v>9.61919891</v>
      </c>
      <c r="CL86">
        <v>4.95</v>
      </c>
      <c r="CM86">
        <v>0.49687831</v>
      </c>
      <c r="CN86">
        <v>1.34081285</v>
      </c>
      <c r="CO86">
        <v>4.95</v>
      </c>
      <c r="CP86">
        <v>0</v>
      </c>
      <c r="CQ86">
        <v>1.66068033</v>
      </c>
      <c r="CS86">
        <v>4.125</v>
      </c>
      <c r="CT86">
        <v>0.29728621</v>
      </c>
      <c r="CU86">
        <v>10.49200739</v>
      </c>
      <c r="CV86">
        <v>0.32557658</v>
      </c>
      <c r="CW86">
        <v>9.81463903</v>
      </c>
      <c r="CX86">
        <v>4.95</v>
      </c>
      <c r="CY86">
        <v>0.63232949</v>
      </c>
      <c r="CZ86">
        <v>2.80888954</v>
      </c>
      <c r="DA86">
        <v>4.125</v>
      </c>
      <c r="DB86">
        <v>0.29859418</v>
      </c>
      <c r="DC86">
        <v>9.510055</v>
      </c>
      <c r="DD86">
        <v>0.2622577</v>
      </c>
      <c r="DE86">
        <v>11.84990703</v>
      </c>
      <c r="DF86">
        <v>0.42126009</v>
      </c>
      <c r="DG86">
        <v>8.86401447</v>
      </c>
    </row>
    <row r="87" spans="15:111">
      <c r="O87">
        <v>410</v>
      </c>
      <c r="P87">
        <v>2.44760623</v>
      </c>
      <c r="Q87">
        <v>4.94401278</v>
      </c>
      <c r="R87">
        <v>1.25889811</v>
      </c>
      <c r="S87">
        <v>3.14710561</v>
      </c>
      <c r="T87">
        <v>3.21999083</v>
      </c>
      <c r="U87">
        <v>7.04100105</v>
      </c>
      <c r="V87">
        <v>6.22845474</v>
      </c>
      <c r="W87">
        <v>10.52067419</v>
      </c>
      <c r="X87">
        <v>8.54257334</v>
      </c>
      <c r="Y87">
        <v>21.09044944</v>
      </c>
      <c r="Z87">
        <v>10.71295106</v>
      </c>
      <c r="AA87">
        <v>20.15867286</v>
      </c>
      <c r="AC87">
        <v>410</v>
      </c>
      <c r="AD87">
        <v>4.70278802</v>
      </c>
      <c r="AE87">
        <v>8.07652573</v>
      </c>
      <c r="AF87">
        <v>2.50745899</v>
      </c>
      <c r="AG87">
        <v>4.38124441</v>
      </c>
      <c r="AH87">
        <v>5.05805107</v>
      </c>
      <c r="AI87">
        <v>10.51645202</v>
      </c>
      <c r="AJ87">
        <v>3.69657715</v>
      </c>
      <c r="AK87">
        <v>11.04770704</v>
      </c>
      <c r="AL87">
        <v>14.73915502</v>
      </c>
      <c r="AM87">
        <v>15.89918448</v>
      </c>
      <c r="AN87">
        <v>16.6493032</v>
      </c>
      <c r="AO87">
        <v>27.30550626</v>
      </c>
      <c r="BJ87">
        <v>4.175</v>
      </c>
      <c r="BK87">
        <v>0.11542376</v>
      </c>
      <c r="BL87">
        <v>0.08107784</v>
      </c>
      <c r="BM87">
        <v>0.06584264</v>
      </c>
      <c r="BN87">
        <v>0.21530152</v>
      </c>
      <c r="BO87">
        <v>0.10105807</v>
      </c>
      <c r="BP87">
        <v>0.11542376</v>
      </c>
      <c r="BQ87">
        <v>0</v>
      </c>
      <c r="CC87">
        <v>4.175</v>
      </c>
      <c r="CD87">
        <v>0.40640145</v>
      </c>
      <c r="CE87">
        <v>7.85170677</v>
      </c>
      <c r="CF87">
        <v>0.40540118</v>
      </c>
      <c r="CG87">
        <v>8.76296145</v>
      </c>
      <c r="CH87">
        <v>0.42225044</v>
      </c>
      <c r="CI87">
        <v>8.38834646</v>
      </c>
      <c r="CJ87">
        <v>0.40340433</v>
      </c>
      <c r="CK87">
        <v>9.3106035</v>
      </c>
      <c r="CL87">
        <v>5.01</v>
      </c>
      <c r="CM87">
        <v>0.51837238</v>
      </c>
      <c r="CN87">
        <v>1.58936674</v>
      </c>
      <c r="CO87">
        <v>5.01</v>
      </c>
      <c r="CP87">
        <v>0</v>
      </c>
      <c r="CQ87">
        <v>1.95490678</v>
      </c>
      <c r="CS87">
        <v>4.175</v>
      </c>
      <c r="CT87">
        <v>0.40892989</v>
      </c>
      <c r="CU87">
        <v>9.15969967</v>
      </c>
      <c r="CV87">
        <v>0.22701795</v>
      </c>
      <c r="CW87">
        <v>8.76208214</v>
      </c>
      <c r="CX87">
        <v>5.01</v>
      </c>
      <c r="CY87">
        <v>0.60584373</v>
      </c>
      <c r="CZ87">
        <v>2.54959235</v>
      </c>
      <c r="DA87">
        <v>4.175</v>
      </c>
      <c r="DB87">
        <v>0.3511071</v>
      </c>
      <c r="DC87">
        <v>10.87272679</v>
      </c>
      <c r="DD87">
        <v>0.33686022</v>
      </c>
      <c r="DE87">
        <v>11.56777988</v>
      </c>
      <c r="DF87">
        <v>0.32898446</v>
      </c>
      <c r="DG87">
        <v>7.09544081</v>
      </c>
    </row>
    <row r="88" spans="15:111">
      <c r="O88">
        <v>415</v>
      </c>
      <c r="P88">
        <v>2.50175122</v>
      </c>
      <c r="Q88">
        <v>5.1134537</v>
      </c>
      <c r="R88">
        <v>1.29736332</v>
      </c>
      <c r="S88">
        <v>3.15432795</v>
      </c>
      <c r="T88">
        <v>3.25438554</v>
      </c>
      <c r="U88">
        <v>7.07041325</v>
      </c>
      <c r="V88">
        <v>6.46127747</v>
      </c>
      <c r="W88">
        <v>10.76548143</v>
      </c>
      <c r="X88">
        <v>8.5865541</v>
      </c>
      <c r="Y88">
        <v>21.00625634</v>
      </c>
      <c r="Z88">
        <v>10.73161902</v>
      </c>
      <c r="AA88">
        <v>20.20956514</v>
      </c>
      <c r="AC88">
        <v>415</v>
      </c>
      <c r="AD88">
        <v>4.94012694</v>
      </c>
      <c r="AE88">
        <v>8.24917858</v>
      </c>
      <c r="AF88">
        <v>2.500637</v>
      </c>
      <c r="AG88">
        <v>4.42493702</v>
      </c>
      <c r="AH88">
        <v>5.04026191</v>
      </c>
      <c r="AI88">
        <v>10.57723489</v>
      </c>
      <c r="AJ88">
        <v>3.76988239</v>
      </c>
      <c r="AK88">
        <v>11.13126828</v>
      </c>
      <c r="AL88">
        <v>15.02673601</v>
      </c>
      <c r="AM88">
        <v>16.24948526</v>
      </c>
      <c r="AN88">
        <v>16.60675287</v>
      </c>
      <c r="AO88">
        <v>27.68445392</v>
      </c>
      <c r="BJ88">
        <v>4.225</v>
      </c>
      <c r="BK88">
        <v>0.12880918</v>
      </c>
      <c r="BL88">
        <v>0.07917021</v>
      </c>
      <c r="BM88">
        <v>0.17680705</v>
      </c>
      <c r="BN88">
        <v>0.17789186</v>
      </c>
      <c r="BO88">
        <v>0.18091396</v>
      </c>
      <c r="BP88">
        <v>0.12880918</v>
      </c>
      <c r="BQ88">
        <v>0</v>
      </c>
      <c r="CC88">
        <v>4.225</v>
      </c>
      <c r="CD88">
        <v>0.40886495</v>
      </c>
      <c r="CE88">
        <v>8.04652229</v>
      </c>
      <c r="CF88">
        <v>0.47983366</v>
      </c>
      <c r="CG88">
        <v>8.0267175</v>
      </c>
      <c r="CH88">
        <v>0.32136363</v>
      </c>
      <c r="CI88">
        <v>7.19581668</v>
      </c>
      <c r="CJ88">
        <v>0.35082868</v>
      </c>
      <c r="CK88">
        <v>7.1489038</v>
      </c>
      <c r="CL88">
        <v>5.07</v>
      </c>
      <c r="CM88">
        <v>0.46640498</v>
      </c>
      <c r="CN88">
        <v>1.78020274</v>
      </c>
      <c r="CO88">
        <v>5.07</v>
      </c>
      <c r="CP88">
        <v>0</v>
      </c>
      <c r="CQ88">
        <v>2.42105801</v>
      </c>
      <c r="CS88">
        <v>4.225</v>
      </c>
      <c r="CT88">
        <v>0.48947488</v>
      </c>
      <c r="CU88">
        <v>9.43205216</v>
      </c>
      <c r="CV88">
        <v>0.38001703</v>
      </c>
      <c r="CW88">
        <v>10.3150873</v>
      </c>
      <c r="CX88">
        <v>5.07</v>
      </c>
      <c r="CY88">
        <v>0.53577894</v>
      </c>
      <c r="CZ88">
        <v>3.71092028</v>
      </c>
      <c r="DA88">
        <v>4.225</v>
      </c>
      <c r="DB88">
        <v>0.36872132</v>
      </c>
      <c r="DC88">
        <v>8.82020204</v>
      </c>
      <c r="DD88">
        <v>0.33551315</v>
      </c>
      <c r="DE88">
        <v>9.71754643</v>
      </c>
      <c r="DF88">
        <v>0.40155501</v>
      </c>
      <c r="DG88">
        <v>5.66108906</v>
      </c>
    </row>
    <row r="89" spans="15:111">
      <c r="O89">
        <v>420</v>
      </c>
      <c r="P89">
        <v>2.5214036</v>
      </c>
      <c r="Q89">
        <v>5.13398823</v>
      </c>
      <c r="R89">
        <v>1.33463023</v>
      </c>
      <c r="S89">
        <v>3.14320447</v>
      </c>
      <c r="T89">
        <v>3.32197392</v>
      </c>
      <c r="U89">
        <v>7.11490464</v>
      </c>
      <c r="V89">
        <v>6.5646549</v>
      </c>
      <c r="W89">
        <v>10.60831248</v>
      </c>
      <c r="X89">
        <v>8.66598853</v>
      </c>
      <c r="Y89">
        <v>21.16236912</v>
      </c>
      <c r="Z89">
        <v>10.71797544</v>
      </c>
      <c r="AA89">
        <v>20.16281539</v>
      </c>
      <c r="AC89">
        <v>420</v>
      </c>
      <c r="AD89">
        <v>5.09323597</v>
      </c>
      <c r="AE89">
        <v>8.27643878</v>
      </c>
      <c r="AF89">
        <v>2.52153756</v>
      </c>
      <c r="AG89">
        <v>4.42776291</v>
      </c>
      <c r="AH89">
        <v>5.03445643</v>
      </c>
      <c r="AI89">
        <v>10.66127631</v>
      </c>
      <c r="AJ89">
        <v>3.68961811</v>
      </c>
      <c r="AK89">
        <v>11.2450515</v>
      </c>
      <c r="AL89">
        <v>15.07662357</v>
      </c>
      <c r="AM89">
        <v>16.24640081</v>
      </c>
      <c r="AN89">
        <v>16.38416447</v>
      </c>
      <c r="AO89">
        <v>27.62954242</v>
      </c>
      <c r="BJ89">
        <v>4.275</v>
      </c>
      <c r="BK89">
        <v>0.17299391</v>
      </c>
      <c r="BL89">
        <v>0.07732913</v>
      </c>
      <c r="BM89">
        <v>0.09419752</v>
      </c>
      <c r="BN89">
        <v>0.14216321</v>
      </c>
      <c r="BO89">
        <v>0.19277111</v>
      </c>
      <c r="BP89">
        <v>0.17299391</v>
      </c>
      <c r="BQ89">
        <v>0</v>
      </c>
      <c r="CC89">
        <v>4.275</v>
      </c>
      <c r="CD89">
        <v>0.5168148</v>
      </c>
      <c r="CE89">
        <v>5.70918853</v>
      </c>
      <c r="CF89">
        <v>0.5624103</v>
      </c>
      <c r="CG89">
        <v>6.50872753</v>
      </c>
      <c r="CH89">
        <v>0.50933158</v>
      </c>
      <c r="CI89">
        <v>6.20599806</v>
      </c>
      <c r="CJ89">
        <v>0.40278784</v>
      </c>
      <c r="CK89">
        <v>6.98265781</v>
      </c>
      <c r="CL89">
        <v>5.13</v>
      </c>
      <c r="CM89">
        <v>0.50499935</v>
      </c>
      <c r="CN89">
        <v>1.47129617</v>
      </c>
      <c r="CO89">
        <v>5.13</v>
      </c>
      <c r="CP89">
        <v>0.36380875</v>
      </c>
      <c r="CQ89">
        <v>2.95594613</v>
      </c>
      <c r="CS89">
        <v>4.275</v>
      </c>
      <c r="CT89">
        <v>0.38373195</v>
      </c>
      <c r="CU89">
        <v>7.86257327</v>
      </c>
      <c r="CV89">
        <v>0.33406185</v>
      </c>
      <c r="CW89">
        <v>8.66936889</v>
      </c>
      <c r="CX89">
        <v>5.13</v>
      </c>
      <c r="CY89">
        <v>0.49061206</v>
      </c>
      <c r="CZ89">
        <v>2.20230304</v>
      </c>
      <c r="DA89">
        <v>4.275</v>
      </c>
      <c r="DB89">
        <v>0.42964881</v>
      </c>
      <c r="DC89">
        <v>9.01393719</v>
      </c>
      <c r="DD89">
        <v>0.32128518</v>
      </c>
      <c r="DE89">
        <v>11.19518193</v>
      </c>
      <c r="DF89">
        <v>0.32031051</v>
      </c>
      <c r="DG89">
        <v>6.18967368</v>
      </c>
    </row>
    <row r="90" spans="15:111">
      <c r="O90">
        <v>425</v>
      </c>
      <c r="P90">
        <v>2.69265414</v>
      </c>
      <c r="Q90">
        <v>5.24695494</v>
      </c>
      <c r="R90">
        <v>1.28221172</v>
      </c>
      <c r="S90">
        <v>3.14215156</v>
      </c>
      <c r="T90">
        <v>3.36235578</v>
      </c>
      <c r="U90">
        <v>7.19991941</v>
      </c>
      <c r="V90">
        <v>6.74358348</v>
      </c>
      <c r="W90">
        <v>10.69172802</v>
      </c>
      <c r="X90">
        <v>8.58684072</v>
      </c>
      <c r="Y90">
        <v>21.0473909</v>
      </c>
      <c r="Z90">
        <v>10.66453123</v>
      </c>
      <c r="AA90">
        <v>20.52959967</v>
      </c>
      <c r="AC90">
        <v>425</v>
      </c>
      <c r="AD90">
        <v>5.23569919</v>
      </c>
      <c r="AE90">
        <v>8.42883503</v>
      </c>
      <c r="AF90">
        <v>2.49992174</v>
      </c>
      <c r="AG90">
        <v>4.52950335</v>
      </c>
      <c r="AH90">
        <v>5.16709012</v>
      </c>
      <c r="AI90">
        <v>10.69832116</v>
      </c>
      <c r="AJ90">
        <v>3.82176785</v>
      </c>
      <c r="AK90">
        <v>11.35758825</v>
      </c>
      <c r="AL90">
        <v>14.9745516</v>
      </c>
      <c r="AM90">
        <v>16.11708512</v>
      </c>
      <c r="AN90">
        <v>16.37144218</v>
      </c>
      <c r="AO90">
        <v>28.07248125</v>
      </c>
      <c r="BJ90">
        <v>4.325</v>
      </c>
      <c r="BK90">
        <v>0.15365202</v>
      </c>
      <c r="BL90">
        <v>0.06044122</v>
      </c>
      <c r="BM90">
        <v>0.24541907</v>
      </c>
      <c r="BN90">
        <v>0.15432804</v>
      </c>
      <c r="BO90">
        <v>0.18833978</v>
      </c>
      <c r="BP90">
        <v>0.15365202</v>
      </c>
      <c r="BQ90">
        <v>0</v>
      </c>
      <c r="CC90">
        <v>4.325</v>
      </c>
      <c r="CD90">
        <v>0.51641032</v>
      </c>
      <c r="CE90">
        <v>4.92598064</v>
      </c>
      <c r="CF90">
        <v>0.60099583</v>
      </c>
      <c r="CG90">
        <v>5.70874493</v>
      </c>
      <c r="CH90">
        <v>0.51498229</v>
      </c>
      <c r="CI90">
        <v>5.04060612</v>
      </c>
      <c r="CJ90">
        <v>0.42877014</v>
      </c>
      <c r="CK90">
        <v>6.37722165</v>
      </c>
      <c r="CL90">
        <v>5.19</v>
      </c>
      <c r="CM90">
        <v>0.56239637</v>
      </c>
      <c r="CN90">
        <v>1.82951335</v>
      </c>
      <c r="CO90">
        <v>5.19</v>
      </c>
      <c r="CP90">
        <v>0.35544571</v>
      </c>
      <c r="CQ90">
        <v>2.66584281</v>
      </c>
      <c r="CS90">
        <v>4.325</v>
      </c>
      <c r="CT90">
        <v>0.49168645</v>
      </c>
      <c r="CU90">
        <v>7.75942678</v>
      </c>
      <c r="CV90">
        <v>0.39286795</v>
      </c>
      <c r="CW90">
        <v>8.54638897</v>
      </c>
      <c r="CX90">
        <v>5.19</v>
      </c>
      <c r="CY90">
        <v>0.46158101</v>
      </c>
      <c r="CZ90">
        <v>3.18268983</v>
      </c>
      <c r="DA90">
        <v>4.325</v>
      </c>
      <c r="DB90">
        <v>0.40742602</v>
      </c>
      <c r="DC90">
        <v>8.10530855</v>
      </c>
      <c r="DD90">
        <v>0.35784559</v>
      </c>
      <c r="DE90">
        <v>7.21262893</v>
      </c>
      <c r="DF90">
        <v>0.31933406</v>
      </c>
      <c r="DG90">
        <v>4.35411985</v>
      </c>
    </row>
    <row r="91" spans="15:111">
      <c r="O91">
        <v>430</v>
      </c>
      <c r="P91">
        <v>2.70466102</v>
      </c>
      <c r="Q91">
        <v>5.32479526</v>
      </c>
      <c r="R91">
        <v>1.33997967</v>
      </c>
      <c r="S91">
        <v>3.20960522</v>
      </c>
      <c r="T91">
        <v>3.42712009</v>
      </c>
      <c r="U91">
        <v>7.26780441</v>
      </c>
      <c r="V91">
        <v>6.8405558</v>
      </c>
      <c r="W91">
        <v>10.71674672</v>
      </c>
      <c r="X91">
        <v>8.39114886</v>
      </c>
      <c r="Y91">
        <v>20.96682468</v>
      </c>
      <c r="Z91">
        <v>10.70267353</v>
      </c>
      <c r="AA91">
        <v>20.62641895</v>
      </c>
      <c r="AC91">
        <v>430</v>
      </c>
      <c r="AD91">
        <v>5.49832846</v>
      </c>
      <c r="AE91">
        <v>8.65715891</v>
      </c>
      <c r="AF91">
        <v>2.49441854</v>
      </c>
      <c r="AG91">
        <v>4.5700026</v>
      </c>
      <c r="AH91">
        <v>5.24243457</v>
      </c>
      <c r="AI91">
        <v>10.74891423</v>
      </c>
      <c r="AJ91">
        <v>3.91488322</v>
      </c>
      <c r="AK91">
        <v>11.51544827</v>
      </c>
      <c r="AL91">
        <v>14.88033743</v>
      </c>
      <c r="AM91">
        <v>16.05889173</v>
      </c>
      <c r="AN91">
        <v>16.54208199</v>
      </c>
      <c r="AO91">
        <v>28.25429321</v>
      </c>
      <c r="BJ91">
        <v>4.375</v>
      </c>
      <c r="BK91">
        <v>0.15016008</v>
      </c>
      <c r="BL91">
        <v>0.07383452</v>
      </c>
      <c r="BM91">
        <v>0.0899406</v>
      </c>
      <c r="BN91">
        <v>0.13573866</v>
      </c>
      <c r="BO91">
        <v>0.15338293</v>
      </c>
      <c r="BP91">
        <v>0.15016008</v>
      </c>
      <c r="BQ91">
        <v>0</v>
      </c>
      <c r="CC91">
        <v>4.375</v>
      </c>
      <c r="CD91">
        <v>0.5271042</v>
      </c>
      <c r="CE91">
        <v>4.46005851</v>
      </c>
      <c r="CF91">
        <v>0.46427625</v>
      </c>
      <c r="CG91">
        <v>3.38977603</v>
      </c>
      <c r="CH91">
        <v>0.44107567</v>
      </c>
      <c r="CI91">
        <v>4.14073926</v>
      </c>
      <c r="CJ91">
        <v>0.33866468</v>
      </c>
      <c r="CK91">
        <v>4.34811007</v>
      </c>
      <c r="CL91">
        <v>5.25</v>
      </c>
      <c r="CM91">
        <v>0.55635894</v>
      </c>
      <c r="CN91">
        <v>1.95821487</v>
      </c>
      <c r="CO91">
        <v>5.25</v>
      </c>
      <c r="CP91">
        <v>0.6947355</v>
      </c>
      <c r="CQ91">
        <v>2.82236295</v>
      </c>
      <c r="CS91">
        <v>4.375</v>
      </c>
      <c r="CT91">
        <v>0.48051224</v>
      </c>
      <c r="CU91">
        <v>7.43142217</v>
      </c>
      <c r="CV91">
        <v>0.34849895</v>
      </c>
      <c r="CW91">
        <v>4.548945</v>
      </c>
      <c r="CX91">
        <v>5.25</v>
      </c>
      <c r="CY91">
        <v>0.58294836</v>
      </c>
      <c r="CZ91">
        <v>3.76747725</v>
      </c>
      <c r="DA91">
        <v>4.375</v>
      </c>
      <c r="DB91">
        <v>0.4102324</v>
      </c>
      <c r="DC91">
        <v>7.23562477</v>
      </c>
      <c r="DD91">
        <v>0.39266031</v>
      </c>
      <c r="DE91">
        <v>6.35158725</v>
      </c>
      <c r="DF91">
        <v>0.30583524</v>
      </c>
      <c r="DG91">
        <v>5.20075953</v>
      </c>
    </row>
    <row r="92" spans="15:111">
      <c r="O92">
        <v>435</v>
      </c>
      <c r="P92">
        <v>2.71442816</v>
      </c>
      <c r="Q92">
        <v>5.42005095</v>
      </c>
      <c r="R92">
        <v>1.33224329</v>
      </c>
      <c r="S92">
        <v>3.26819825</v>
      </c>
      <c r="T92">
        <v>3.42491659</v>
      </c>
      <c r="U92">
        <v>7.18443876</v>
      </c>
      <c r="V92">
        <v>6.96913586</v>
      </c>
      <c r="W92">
        <v>10.91841994</v>
      </c>
      <c r="X92">
        <v>8.49209585</v>
      </c>
      <c r="Y92">
        <v>21.04632451</v>
      </c>
      <c r="Z92">
        <v>10.93214353</v>
      </c>
      <c r="AA92">
        <v>20.82096436</v>
      </c>
      <c r="AC92">
        <v>435</v>
      </c>
      <c r="AD92">
        <v>5.65454095</v>
      </c>
      <c r="AE92">
        <v>8.70418748</v>
      </c>
      <c r="AF92">
        <v>2.43005144</v>
      </c>
      <c r="AG92">
        <v>4.61340763</v>
      </c>
      <c r="AH92">
        <v>5.18800182</v>
      </c>
      <c r="AI92">
        <v>10.73633171</v>
      </c>
      <c r="AJ92">
        <v>4.00464395</v>
      </c>
      <c r="AK92">
        <v>11.6827442</v>
      </c>
      <c r="AL92">
        <v>14.98317246</v>
      </c>
      <c r="AM92">
        <v>16.12401821</v>
      </c>
      <c r="AN92">
        <v>16.6498823</v>
      </c>
      <c r="AO92">
        <v>28.63689527</v>
      </c>
      <c r="BJ92">
        <v>4.425</v>
      </c>
      <c r="BK92">
        <v>0.11742867</v>
      </c>
      <c r="BL92">
        <v>0.10104555</v>
      </c>
      <c r="BM92">
        <v>0.16118585</v>
      </c>
      <c r="BN92">
        <v>0.17691798</v>
      </c>
      <c r="BO92">
        <v>0.19491715</v>
      </c>
      <c r="BP92">
        <v>0.11742867</v>
      </c>
      <c r="BQ92">
        <v>0</v>
      </c>
      <c r="CC92">
        <v>4.425</v>
      </c>
      <c r="CD92">
        <v>0.44948183</v>
      </c>
      <c r="CE92">
        <v>3.59859541</v>
      </c>
      <c r="CF92">
        <v>0.4757155</v>
      </c>
      <c r="CG92">
        <v>4.07297223</v>
      </c>
      <c r="CH92">
        <v>0.47538626</v>
      </c>
      <c r="CI92">
        <v>3.34981481</v>
      </c>
      <c r="CJ92">
        <v>0.40960988</v>
      </c>
      <c r="CK92">
        <v>4.74628435</v>
      </c>
      <c r="CL92">
        <v>5.31</v>
      </c>
      <c r="CM92">
        <v>0.55374533</v>
      </c>
      <c r="CN92">
        <v>2.24711833</v>
      </c>
      <c r="CO92">
        <v>5.31</v>
      </c>
      <c r="CP92">
        <v>0.33956206</v>
      </c>
      <c r="CQ92">
        <v>3.05605857</v>
      </c>
      <c r="CS92">
        <v>4.425</v>
      </c>
      <c r="CT92">
        <v>0.51668614</v>
      </c>
      <c r="CU92">
        <v>4.44761083</v>
      </c>
      <c r="CV92">
        <v>0.42727832</v>
      </c>
      <c r="CW92">
        <v>4.59252016</v>
      </c>
      <c r="CX92">
        <v>5.31</v>
      </c>
      <c r="CY92">
        <v>0.50540175</v>
      </c>
      <c r="CZ92">
        <v>2.7407021</v>
      </c>
      <c r="DA92">
        <v>4.425</v>
      </c>
      <c r="DB92">
        <v>0.41280862</v>
      </c>
      <c r="DC92">
        <v>5.28616179</v>
      </c>
      <c r="DD92">
        <v>0.42581901</v>
      </c>
      <c r="DE92">
        <v>6.0574254</v>
      </c>
      <c r="DF92">
        <v>0.39048207</v>
      </c>
      <c r="DG92">
        <v>4.46766398</v>
      </c>
    </row>
    <row r="93" spans="15:111">
      <c r="O93">
        <v>440</v>
      </c>
      <c r="P93">
        <v>2.88907576</v>
      </c>
      <c r="Q93">
        <v>5.57316562</v>
      </c>
      <c r="R93">
        <v>1.36713357</v>
      </c>
      <c r="S93">
        <v>3.28532119</v>
      </c>
      <c r="T93">
        <v>3.45066335</v>
      </c>
      <c r="U93">
        <v>7.18941543</v>
      </c>
      <c r="V93">
        <v>7.13350417</v>
      </c>
      <c r="W93">
        <v>10.9423416</v>
      </c>
      <c r="X93">
        <v>8.55101573</v>
      </c>
      <c r="Y93">
        <v>21.15364762</v>
      </c>
      <c r="Z93">
        <v>11.29306841</v>
      </c>
      <c r="AA93">
        <v>21.29765947</v>
      </c>
      <c r="AC93">
        <v>440</v>
      </c>
      <c r="AD93">
        <v>5.87522711</v>
      </c>
      <c r="AE93">
        <v>8.8078119</v>
      </c>
      <c r="AF93">
        <v>2.39264008</v>
      </c>
      <c r="AG93">
        <v>4.62217786</v>
      </c>
      <c r="AH93">
        <v>5.26096442</v>
      </c>
      <c r="AI93">
        <v>10.93580829</v>
      </c>
      <c r="AJ93">
        <v>4.09418876</v>
      </c>
      <c r="AK93">
        <v>11.94914412</v>
      </c>
      <c r="AL93">
        <v>15.31218132</v>
      </c>
      <c r="AM93">
        <v>16.44084767</v>
      </c>
      <c r="AN93">
        <v>16.50258165</v>
      </c>
      <c r="AO93">
        <v>28.63033816</v>
      </c>
      <c r="BJ93">
        <v>4.475</v>
      </c>
      <c r="BK93">
        <v>0.11481925</v>
      </c>
      <c r="BL93">
        <v>0.01411431</v>
      </c>
      <c r="BM93">
        <v>0.15760409</v>
      </c>
      <c r="BN93">
        <v>0.23064884</v>
      </c>
      <c r="BO93">
        <v>0.14660449</v>
      </c>
      <c r="BP93">
        <v>0.11481925</v>
      </c>
      <c r="BQ93">
        <v>0</v>
      </c>
      <c r="CC93">
        <v>4.475</v>
      </c>
      <c r="CD93">
        <v>0.50380992</v>
      </c>
      <c r="CE93">
        <v>2.36830862</v>
      </c>
      <c r="CF93">
        <v>0.49722342</v>
      </c>
      <c r="CG93">
        <v>2.42997895</v>
      </c>
      <c r="CH93">
        <v>0.52427661</v>
      </c>
      <c r="CI93">
        <v>2.79771835</v>
      </c>
      <c r="CJ93">
        <v>0.37307577</v>
      </c>
      <c r="CK93">
        <v>2.63210445</v>
      </c>
      <c r="CL93">
        <v>5.37</v>
      </c>
      <c r="CM93">
        <v>0.54144039</v>
      </c>
      <c r="CN93">
        <v>2.52269326</v>
      </c>
      <c r="CO93">
        <v>5.37</v>
      </c>
      <c r="CP93">
        <v>1.66008277</v>
      </c>
      <c r="CQ93">
        <v>3.19565933</v>
      </c>
      <c r="CS93">
        <v>4.475</v>
      </c>
      <c r="CT93">
        <v>0.48224086</v>
      </c>
      <c r="CU93">
        <v>3.76894193</v>
      </c>
      <c r="CV93">
        <v>0.54198959</v>
      </c>
      <c r="CW93">
        <v>4.27663658</v>
      </c>
      <c r="CX93">
        <v>5.37</v>
      </c>
      <c r="CY93">
        <v>0.45105547</v>
      </c>
      <c r="CZ93">
        <v>3.60098144</v>
      </c>
      <c r="DA93">
        <v>4.475</v>
      </c>
      <c r="DB93">
        <v>0.4094017</v>
      </c>
      <c r="DC93">
        <v>4.22231538</v>
      </c>
      <c r="DD93">
        <v>0.34012243</v>
      </c>
      <c r="DE93">
        <v>4.29404562</v>
      </c>
      <c r="DF93">
        <v>0.46532491</v>
      </c>
      <c r="DG93">
        <v>1.95824231</v>
      </c>
    </row>
    <row r="94" spans="15:111">
      <c r="O94">
        <v>445</v>
      </c>
      <c r="P94">
        <v>2.89197165</v>
      </c>
      <c r="Q94">
        <v>5.70551707</v>
      </c>
      <c r="R94">
        <v>1.30332168</v>
      </c>
      <c r="S94">
        <v>3.34721678</v>
      </c>
      <c r="T94">
        <v>3.45283692</v>
      </c>
      <c r="U94">
        <v>7.17414207</v>
      </c>
      <c r="V94">
        <v>7.40290114</v>
      </c>
      <c r="W94">
        <v>11.1048073</v>
      </c>
      <c r="X94">
        <v>8.59668782</v>
      </c>
      <c r="Y94">
        <v>21.08335456</v>
      </c>
      <c r="Z94">
        <v>11.66657913</v>
      </c>
      <c r="AA94">
        <v>21.57733219</v>
      </c>
      <c r="AC94">
        <v>445</v>
      </c>
      <c r="AD94">
        <v>5.84296612</v>
      </c>
      <c r="AE94">
        <v>8.81644177</v>
      </c>
      <c r="AF94">
        <v>2.28699401</v>
      </c>
      <c r="AG94">
        <v>4.65477595</v>
      </c>
      <c r="AH94">
        <v>5.32846039</v>
      </c>
      <c r="AI94">
        <v>11.16254743</v>
      </c>
      <c r="AJ94">
        <v>4.1175971</v>
      </c>
      <c r="AK94">
        <v>12.19086873</v>
      </c>
      <c r="AL94">
        <v>15.40503493</v>
      </c>
      <c r="AM94">
        <v>16.77545228</v>
      </c>
      <c r="AN94">
        <v>16.66687589</v>
      </c>
      <c r="AO94">
        <v>28.67659941</v>
      </c>
      <c r="BJ94">
        <v>4.525</v>
      </c>
      <c r="BK94">
        <v>0.1544068</v>
      </c>
      <c r="BL94">
        <v>0.09662884</v>
      </c>
      <c r="BM94">
        <v>0.16815317</v>
      </c>
      <c r="BN94">
        <v>0.2114811</v>
      </c>
      <c r="BO94">
        <v>0.12904429</v>
      </c>
      <c r="BP94">
        <v>0.1544068</v>
      </c>
      <c r="BQ94">
        <v>0</v>
      </c>
      <c r="CC94">
        <v>4.525</v>
      </c>
      <c r="CD94">
        <v>0.52418897</v>
      </c>
      <c r="CE94">
        <v>1.12504057</v>
      </c>
      <c r="CF94">
        <v>0.54904373</v>
      </c>
      <c r="CG94">
        <v>1.45235138</v>
      </c>
      <c r="CH94">
        <v>0.5286129</v>
      </c>
      <c r="CI94">
        <v>2.00212137</v>
      </c>
      <c r="CJ94">
        <v>0.46146163</v>
      </c>
      <c r="CK94">
        <v>1.62584739</v>
      </c>
      <c r="CL94">
        <v>5.43</v>
      </c>
      <c r="CM94">
        <v>0.63671012</v>
      </c>
      <c r="CN94">
        <v>2.06930788</v>
      </c>
      <c r="CO94">
        <v>5.43</v>
      </c>
      <c r="CP94">
        <v>0.64943957</v>
      </c>
      <c r="CQ94">
        <v>3.40955773</v>
      </c>
      <c r="CS94">
        <v>4.525</v>
      </c>
      <c r="CT94">
        <v>0.63447158</v>
      </c>
      <c r="CU94">
        <v>2.41014977</v>
      </c>
      <c r="CV94">
        <v>0.50246997</v>
      </c>
      <c r="CW94">
        <v>3.76438355</v>
      </c>
      <c r="CX94">
        <v>5.43</v>
      </c>
      <c r="CY94">
        <v>0.49304169</v>
      </c>
      <c r="CZ94">
        <v>3.68564882</v>
      </c>
      <c r="DA94">
        <v>4.525</v>
      </c>
      <c r="DB94">
        <v>0.38348573</v>
      </c>
      <c r="DC94">
        <v>3.41753464</v>
      </c>
      <c r="DD94">
        <v>0.51617717</v>
      </c>
      <c r="DE94">
        <v>3.54800115</v>
      </c>
      <c r="DF94">
        <v>0.41425624</v>
      </c>
      <c r="DG94">
        <v>2.65182337</v>
      </c>
    </row>
    <row r="95" spans="15:111">
      <c r="O95">
        <v>450</v>
      </c>
      <c r="P95">
        <v>3.0744169</v>
      </c>
      <c r="Q95">
        <v>6.02304493</v>
      </c>
      <c r="R95">
        <v>1.27251363</v>
      </c>
      <c r="S95">
        <v>3.36370292</v>
      </c>
      <c r="T95">
        <v>3.31376037</v>
      </c>
      <c r="U95">
        <v>7.10388219</v>
      </c>
      <c r="V95">
        <v>7.53036117</v>
      </c>
      <c r="W95">
        <v>11.32745909</v>
      </c>
      <c r="X95">
        <v>8.7243307</v>
      </c>
      <c r="Y95">
        <v>21.60496885</v>
      </c>
      <c r="Z95">
        <v>11.84109976</v>
      </c>
      <c r="AA95">
        <v>21.77604783</v>
      </c>
      <c r="AC95">
        <v>450</v>
      </c>
      <c r="AD95">
        <v>6.04915175</v>
      </c>
      <c r="AE95">
        <v>8.98986905</v>
      </c>
      <c r="AF95">
        <v>2.33340955</v>
      </c>
      <c r="AG95">
        <v>4.65301598</v>
      </c>
      <c r="AH95">
        <v>5.27058642</v>
      </c>
      <c r="AI95">
        <v>11.065018</v>
      </c>
      <c r="AJ95">
        <v>4.19836436</v>
      </c>
      <c r="AK95">
        <v>12.52628334</v>
      </c>
      <c r="AL95">
        <v>15.4554785</v>
      </c>
      <c r="AM95">
        <v>16.92995534</v>
      </c>
      <c r="AN95">
        <v>16.89528626</v>
      </c>
      <c r="AO95">
        <v>28.76898835</v>
      </c>
      <c r="BJ95">
        <v>4.575</v>
      </c>
      <c r="BK95">
        <v>0.05492737</v>
      </c>
      <c r="BL95">
        <v>0.14854447</v>
      </c>
      <c r="BM95">
        <v>0.12337336</v>
      </c>
      <c r="BN95">
        <v>0.19309161</v>
      </c>
      <c r="BO95">
        <v>0.16831879</v>
      </c>
      <c r="BP95">
        <v>0.05492737</v>
      </c>
      <c r="BQ95">
        <v>0</v>
      </c>
      <c r="CC95">
        <v>4.575</v>
      </c>
      <c r="CD95">
        <v>0.62560869</v>
      </c>
      <c r="CE95">
        <v>1.4890256</v>
      </c>
      <c r="CF95">
        <v>0.52176251</v>
      </c>
      <c r="CG95">
        <v>2.00200788</v>
      </c>
      <c r="CH95">
        <v>0.48092325</v>
      </c>
      <c r="CI95">
        <v>1.37101911</v>
      </c>
      <c r="CJ95">
        <v>0.41468594</v>
      </c>
      <c r="CK95">
        <v>2.18694339</v>
      </c>
      <c r="CL95">
        <v>5.49</v>
      </c>
      <c r="CM95">
        <v>0.55503191</v>
      </c>
      <c r="CN95">
        <v>2.5304059</v>
      </c>
      <c r="CO95">
        <v>5.49</v>
      </c>
      <c r="CP95">
        <v>0.31766094</v>
      </c>
      <c r="CQ95">
        <v>3.13690177</v>
      </c>
      <c r="CS95">
        <v>4.575</v>
      </c>
      <c r="CT95">
        <v>0.68659211</v>
      </c>
      <c r="CU95">
        <v>2.35775729</v>
      </c>
      <c r="CV95">
        <v>0.58877625</v>
      </c>
      <c r="CW95">
        <v>3.95533404</v>
      </c>
      <c r="CX95">
        <v>5.49</v>
      </c>
      <c r="CY95">
        <v>0.54578748</v>
      </c>
      <c r="CZ95">
        <v>4.04620501</v>
      </c>
      <c r="DA95">
        <v>4.575</v>
      </c>
      <c r="DB95">
        <v>0.5075551</v>
      </c>
      <c r="DC95">
        <v>3.27359246</v>
      </c>
      <c r="DD95">
        <v>0.57228389</v>
      </c>
      <c r="DE95">
        <v>3.47087376</v>
      </c>
      <c r="DF95">
        <v>0.48515968</v>
      </c>
      <c r="DG95">
        <v>3.45890311</v>
      </c>
    </row>
    <row r="96" spans="15:111">
      <c r="O96">
        <v>455</v>
      </c>
      <c r="P96">
        <v>3.22656448</v>
      </c>
      <c r="Q96">
        <v>6.13376448</v>
      </c>
      <c r="R96">
        <v>1.23929317</v>
      </c>
      <c r="S96">
        <v>3.39100761</v>
      </c>
      <c r="T96">
        <v>3.29811565</v>
      </c>
      <c r="U96">
        <v>6.9777573</v>
      </c>
      <c r="V96">
        <v>7.85469682</v>
      </c>
      <c r="W96">
        <v>11.48787671</v>
      </c>
      <c r="X96">
        <v>8.92611627</v>
      </c>
      <c r="Y96">
        <v>21.65871728</v>
      </c>
      <c r="Z96">
        <v>12.29198945</v>
      </c>
      <c r="AA96">
        <v>22.26692897</v>
      </c>
      <c r="AC96">
        <v>455</v>
      </c>
      <c r="AD96">
        <v>6.31863914</v>
      </c>
      <c r="AE96">
        <v>9.19969959</v>
      </c>
      <c r="AF96">
        <v>2.41283411</v>
      </c>
      <c r="AG96">
        <v>4.74797983</v>
      </c>
      <c r="AH96">
        <v>5.23587443</v>
      </c>
      <c r="AI96">
        <v>11.14594191</v>
      </c>
      <c r="AJ96">
        <v>4.37087519</v>
      </c>
      <c r="AK96">
        <v>12.63930083</v>
      </c>
      <c r="AL96">
        <v>15.63136139</v>
      </c>
      <c r="AM96">
        <v>17.11067326</v>
      </c>
      <c r="AN96">
        <v>17.04569584</v>
      </c>
      <c r="AO96">
        <v>28.32856935</v>
      </c>
      <c r="BJ96">
        <v>4.625</v>
      </c>
      <c r="BK96">
        <v>0.10749236</v>
      </c>
      <c r="BL96">
        <v>0.22463195</v>
      </c>
      <c r="BM96">
        <v>0.22802717</v>
      </c>
      <c r="BN96">
        <v>0.36438287</v>
      </c>
      <c r="BO96">
        <v>0.20587397</v>
      </c>
      <c r="BP96">
        <v>0.10749236</v>
      </c>
      <c r="BQ96">
        <v>0</v>
      </c>
      <c r="CC96">
        <v>4.625</v>
      </c>
      <c r="CD96">
        <v>0.49173128</v>
      </c>
      <c r="CE96">
        <v>1.52035283</v>
      </c>
      <c r="CF96">
        <v>0.55058478</v>
      </c>
      <c r="CG96">
        <v>1.39022657</v>
      </c>
      <c r="CH96">
        <v>0.45540118</v>
      </c>
      <c r="CI96">
        <v>1.34153597</v>
      </c>
      <c r="CJ96">
        <v>0.54958492</v>
      </c>
      <c r="CK96">
        <v>1.55630122</v>
      </c>
      <c r="CL96">
        <v>5.55</v>
      </c>
      <c r="CM96">
        <v>0.68188746</v>
      </c>
      <c r="CN96">
        <v>2.70454367</v>
      </c>
      <c r="CO96">
        <v>5.55</v>
      </c>
      <c r="CP96">
        <v>1.24331915</v>
      </c>
      <c r="CQ96">
        <v>3.30256649</v>
      </c>
      <c r="CS96">
        <v>4.625</v>
      </c>
      <c r="CT96">
        <v>0.65570341</v>
      </c>
      <c r="CU96">
        <v>1.42494562</v>
      </c>
      <c r="CV96">
        <v>0.45983482</v>
      </c>
      <c r="CW96">
        <v>2.66915614</v>
      </c>
      <c r="CX96">
        <v>5.55</v>
      </c>
      <c r="CY96">
        <v>0.57130991</v>
      </c>
      <c r="CZ96">
        <v>3.72399364</v>
      </c>
      <c r="DA96">
        <v>4.625</v>
      </c>
      <c r="DB96">
        <v>0.63159698</v>
      </c>
      <c r="DC96">
        <v>3.68026701</v>
      </c>
      <c r="DD96">
        <v>0.56546717</v>
      </c>
      <c r="DE96">
        <v>2.98036881</v>
      </c>
      <c r="DF96">
        <v>0.53616174</v>
      </c>
      <c r="DG96">
        <v>2.96145587</v>
      </c>
    </row>
    <row r="97" spans="15:111">
      <c r="O97">
        <v>460</v>
      </c>
      <c r="P97">
        <v>3.51378011</v>
      </c>
      <c r="Q97">
        <v>6.56279364</v>
      </c>
      <c r="R97">
        <v>1.34744654</v>
      </c>
      <c r="S97">
        <v>3.43553856</v>
      </c>
      <c r="T97">
        <v>3.28102071</v>
      </c>
      <c r="U97">
        <v>6.84357368</v>
      </c>
      <c r="V97">
        <v>7.8262126</v>
      </c>
      <c r="W97">
        <v>11.7396089</v>
      </c>
      <c r="X97">
        <v>9.3054151</v>
      </c>
      <c r="Y97">
        <v>22.191608</v>
      </c>
      <c r="Z97">
        <v>12.21123328</v>
      </c>
      <c r="AA97">
        <v>22.17535722</v>
      </c>
      <c r="AC97">
        <v>460</v>
      </c>
      <c r="AD97">
        <v>6.58298479</v>
      </c>
      <c r="AE97">
        <v>9.43264818</v>
      </c>
      <c r="AF97">
        <v>2.51481051</v>
      </c>
      <c r="AG97">
        <v>4.69315446</v>
      </c>
      <c r="AH97">
        <v>5.30542412</v>
      </c>
      <c r="AI97">
        <v>11.3569521</v>
      </c>
      <c r="AJ97">
        <v>4.35916065</v>
      </c>
      <c r="AK97">
        <v>12.78818965</v>
      </c>
      <c r="AL97">
        <v>15.9007375</v>
      </c>
      <c r="AM97">
        <v>17.0928552</v>
      </c>
      <c r="AN97">
        <v>17.00137067</v>
      </c>
      <c r="AO97">
        <v>28.28243997</v>
      </c>
      <c r="BJ97">
        <v>4.675</v>
      </c>
      <c r="BK97">
        <v>0.11835605</v>
      </c>
      <c r="BL97">
        <v>0.1939877</v>
      </c>
      <c r="BM97">
        <v>0.26255967</v>
      </c>
      <c r="BN97">
        <v>0.25096209</v>
      </c>
      <c r="BO97">
        <v>0.25522553</v>
      </c>
      <c r="BP97">
        <v>0.11835605</v>
      </c>
      <c r="BQ97">
        <v>0</v>
      </c>
      <c r="CC97">
        <v>4.675</v>
      </c>
      <c r="CD97">
        <v>0.52546751</v>
      </c>
      <c r="CE97">
        <v>1.05400434</v>
      </c>
      <c r="CF97">
        <v>0.4261977</v>
      </c>
      <c r="CG97">
        <v>1.85542965</v>
      </c>
      <c r="CH97">
        <v>0.42590273</v>
      </c>
      <c r="CI97">
        <v>1.00037619</v>
      </c>
      <c r="CJ97">
        <v>0.37200012</v>
      </c>
      <c r="CK97">
        <v>1.84052088</v>
      </c>
      <c r="CL97">
        <v>5.61</v>
      </c>
      <c r="CM97">
        <v>0.61717863</v>
      </c>
      <c r="CN97">
        <v>2.23690342</v>
      </c>
      <c r="CO97">
        <v>5.61</v>
      </c>
      <c r="CP97">
        <v>0.30421664</v>
      </c>
      <c r="CQ97">
        <v>4.33508711</v>
      </c>
      <c r="CS97">
        <v>4.675</v>
      </c>
      <c r="CT97">
        <v>0.57336931</v>
      </c>
      <c r="CU97">
        <v>2.12514862</v>
      </c>
      <c r="CV97">
        <v>0.5742036</v>
      </c>
      <c r="CW97">
        <v>2.87360453</v>
      </c>
      <c r="CX97">
        <v>5.61</v>
      </c>
      <c r="CY97">
        <v>0.61993255</v>
      </c>
      <c r="CZ97">
        <v>3.64476275</v>
      </c>
      <c r="DA97">
        <v>4.675</v>
      </c>
      <c r="DB97">
        <v>0.60230902</v>
      </c>
      <c r="DC97">
        <v>3.13504487</v>
      </c>
      <c r="DD97">
        <v>0.46209253</v>
      </c>
      <c r="DE97">
        <v>2.84912286</v>
      </c>
      <c r="DF97">
        <v>0.5083559</v>
      </c>
      <c r="DG97">
        <v>1.79427769</v>
      </c>
    </row>
    <row r="98" spans="15:111">
      <c r="O98">
        <v>465</v>
      </c>
      <c r="P98">
        <v>3.73344039</v>
      </c>
      <c r="Q98">
        <v>6.7814502</v>
      </c>
      <c r="R98">
        <v>1.4802878</v>
      </c>
      <c r="S98">
        <v>3.38809081</v>
      </c>
      <c r="T98">
        <v>3.21402453</v>
      </c>
      <c r="U98">
        <v>6.77018125</v>
      </c>
      <c r="V98">
        <v>8.02430449</v>
      </c>
      <c r="W98">
        <v>11.98120168</v>
      </c>
      <c r="X98">
        <v>9.27369658</v>
      </c>
      <c r="Y98">
        <v>22.31535545</v>
      </c>
      <c r="Z98">
        <v>12.31700043</v>
      </c>
      <c r="AA98">
        <v>22.00179147</v>
      </c>
      <c r="AC98">
        <v>465</v>
      </c>
      <c r="AD98">
        <v>6.88238108</v>
      </c>
      <c r="AE98">
        <v>9.69420674</v>
      </c>
      <c r="AF98">
        <v>2.50089565</v>
      </c>
      <c r="AG98">
        <v>4.68465924</v>
      </c>
      <c r="AH98">
        <v>5.37284712</v>
      </c>
      <c r="AI98">
        <v>11.47832493</v>
      </c>
      <c r="AJ98">
        <v>4.48794375</v>
      </c>
      <c r="AK98">
        <v>12.87233486</v>
      </c>
      <c r="AL98">
        <v>16.08754144</v>
      </c>
      <c r="AM98">
        <v>17.16565696</v>
      </c>
      <c r="AN98">
        <v>16.99880363</v>
      </c>
      <c r="AO98">
        <v>28.3550048</v>
      </c>
      <c r="BJ98">
        <v>4.725</v>
      </c>
      <c r="BK98">
        <v>0.10299061</v>
      </c>
      <c r="BL98">
        <v>0.29118599</v>
      </c>
      <c r="BM98">
        <v>0.26988392</v>
      </c>
      <c r="BN98">
        <v>0.34912261</v>
      </c>
      <c r="BO98">
        <v>0.23670242</v>
      </c>
      <c r="BP98">
        <v>0.10299061</v>
      </c>
      <c r="BQ98">
        <v>0</v>
      </c>
      <c r="CC98">
        <v>4.725</v>
      </c>
      <c r="CD98">
        <v>0.50479039</v>
      </c>
      <c r="CE98">
        <v>1.0318156</v>
      </c>
      <c r="CF98">
        <v>0.49395657</v>
      </c>
      <c r="CG98">
        <v>0.84763907</v>
      </c>
      <c r="CH98">
        <v>0.47026581</v>
      </c>
      <c r="CI98">
        <v>0.67328004</v>
      </c>
      <c r="CJ98">
        <v>0.45767164</v>
      </c>
      <c r="CK98">
        <v>1.24260312</v>
      </c>
      <c r="CL98">
        <v>5.67</v>
      </c>
      <c r="CM98">
        <v>0.69091113</v>
      </c>
      <c r="CN98">
        <v>2.84675622</v>
      </c>
      <c r="CO98">
        <v>5.67</v>
      </c>
      <c r="CP98">
        <v>0.59562464</v>
      </c>
      <c r="CQ98">
        <v>4.05769283</v>
      </c>
      <c r="CS98">
        <v>4.725</v>
      </c>
      <c r="CT98">
        <v>0.59734554</v>
      </c>
      <c r="CU98">
        <v>1.62532056</v>
      </c>
      <c r="CV98">
        <v>0.6178207</v>
      </c>
      <c r="CW98">
        <v>2.10983239</v>
      </c>
      <c r="CX98">
        <v>5.67</v>
      </c>
      <c r="CY98">
        <v>0.61580656</v>
      </c>
      <c r="CZ98">
        <v>3.60559202</v>
      </c>
      <c r="DA98">
        <v>4.725</v>
      </c>
      <c r="DB98">
        <v>0.57411274</v>
      </c>
      <c r="DC98">
        <v>2.35075894</v>
      </c>
      <c r="DD98">
        <v>0.52074533</v>
      </c>
      <c r="DE98">
        <v>2.32428631</v>
      </c>
      <c r="DF98">
        <v>0.54046303</v>
      </c>
      <c r="DG98">
        <v>2.29696786</v>
      </c>
    </row>
    <row r="99" spans="15:111">
      <c r="O99">
        <v>470</v>
      </c>
      <c r="P99">
        <v>4.01121347</v>
      </c>
      <c r="Q99">
        <v>6.99232225</v>
      </c>
      <c r="R99">
        <v>1.35009631</v>
      </c>
      <c r="S99">
        <v>3.36647163</v>
      </c>
      <c r="T99">
        <v>2.97649593</v>
      </c>
      <c r="U99">
        <v>6.7156928</v>
      </c>
      <c r="V99">
        <v>7.81248515</v>
      </c>
      <c r="W99">
        <v>12.07120252</v>
      </c>
      <c r="X99">
        <v>9.22687203</v>
      </c>
      <c r="Y99">
        <v>22.23714719</v>
      </c>
      <c r="Z99">
        <v>12.37620531</v>
      </c>
      <c r="AA99">
        <v>22.31941747</v>
      </c>
      <c r="AC99">
        <v>470</v>
      </c>
      <c r="AD99">
        <v>7.22251432</v>
      </c>
      <c r="AE99">
        <v>9.93528751</v>
      </c>
      <c r="AF99">
        <v>2.67932759</v>
      </c>
      <c r="AG99">
        <v>4.77513574</v>
      </c>
      <c r="AH99">
        <v>5.5583274</v>
      </c>
      <c r="AI99">
        <v>11.82925679</v>
      </c>
      <c r="AJ99">
        <v>4.15172196</v>
      </c>
      <c r="AK99">
        <v>12.82939565</v>
      </c>
      <c r="AL99">
        <v>16.24397717</v>
      </c>
      <c r="AM99">
        <v>17.3432633</v>
      </c>
      <c r="AN99">
        <v>16.87419848</v>
      </c>
      <c r="AO99">
        <v>27.953853</v>
      </c>
      <c r="BJ99">
        <v>4.775</v>
      </c>
      <c r="BK99">
        <v>0.18908447</v>
      </c>
      <c r="BL99">
        <v>0.30991286</v>
      </c>
      <c r="BM99">
        <v>0.40268425</v>
      </c>
      <c r="BN99">
        <v>0.21523857</v>
      </c>
      <c r="BO99">
        <v>0.25752367</v>
      </c>
      <c r="BP99">
        <v>0.18908447</v>
      </c>
      <c r="BQ99">
        <v>0</v>
      </c>
      <c r="CC99">
        <v>4.775</v>
      </c>
      <c r="CD99">
        <v>0.42837107</v>
      </c>
      <c r="CE99">
        <v>1.24804264</v>
      </c>
      <c r="CF99">
        <v>0.45549146</v>
      </c>
      <c r="CG99">
        <v>0.94854922</v>
      </c>
      <c r="CH99">
        <v>0.48420447</v>
      </c>
      <c r="CI99">
        <v>0.47945737</v>
      </c>
      <c r="CJ99">
        <v>0.42404377</v>
      </c>
      <c r="CK99">
        <v>1.03420902</v>
      </c>
      <c r="CL99">
        <v>5.73</v>
      </c>
      <c r="CM99">
        <v>0.68217891</v>
      </c>
      <c r="CN99">
        <v>2.89466062</v>
      </c>
      <c r="CO99">
        <v>5.73</v>
      </c>
      <c r="CP99">
        <v>1.45804061</v>
      </c>
      <c r="CQ99">
        <v>3.24414035</v>
      </c>
      <c r="CS99">
        <v>4.775</v>
      </c>
      <c r="CT99">
        <v>0.62019706</v>
      </c>
      <c r="CU99">
        <v>2.22804534</v>
      </c>
      <c r="CV99">
        <v>0.57519828</v>
      </c>
      <c r="CW99">
        <v>2.62930074</v>
      </c>
      <c r="CX99">
        <v>5.73</v>
      </c>
      <c r="CY99">
        <v>0.61171653</v>
      </c>
      <c r="CZ99">
        <v>3.12594429</v>
      </c>
      <c r="DA99">
        <v>4.775</v>
      </c>
      <c r="DB99">
        <v>0.56721694</v>
      </c>
      <c r="DC99">
        <v>2.68541768</v>
      </c>
      <c r="DD99">
        <v>0.58715397</v>
      </c>
      <c r="DE99">
        <v>2.34089017</v>
      </c>
      <c r="DF99">
        <v>0.62875698</v>
      </c>
      <c r="DG99">
        <v>2.7783199</v>
      </c>
    </row>
    <row r="100" spans="15:111">
      <c r="O100">
        <v>475</v>
      </c>
      <c r="P100">
        <v>4.28421265</v>
      </c>
      <c r="Q100">
        <v>7.30334754</v>
      </c>
      <c r="R100">
        <v>1.3858936</v>
      </c>
      <c r="S100">
        <v>3.39697572</v>
      </c>
      <c r="T100">
        <v>2.88916354</v>
      </c>
      <c r="U100">
        <v>6.75014327</v>
      </c>
      <c r="V100">
        <v>7.85878016</v>
      </c>
      <c r="W100">
        <v>12.13289669</v>
      </c>
      <c r="X100">
        <v>9.25592114</v>
      </c>
      <c r="Y100">
        <v>22.01911781</v>
      </c>
      <c r="Z100">
        <v>12.85538226</v>
      </c>
      <c r="AA100">
        <v>23.31894269</v>
      </c>
      <c r="AC100">
        <v>475</v>
      </c>
      <c r="AD100">
        <v>7.46857266</v>
      </c>
      <c r="AE100">
        <v>10.02508054</v>
      </c>
      <c r="AF100">
        <v>2.8141988</v>
      </c>
      <c r="AG100">
        <v>5.08548695</v>
      </c>
      <c r="AH100">
        <v>5.93350774</v>
      </c>
      <c r="AI100">
        <v>12.22689399</v>
      </c>
      <c r="AJ100">
        <v>4.2007235</v>
      </c>
      <c r="AK100">
        <v>12.97522182</v>
      </c>
      <c r="AL100">
        <v>16.40666187</v>
      </c>
      <c r="AM100">
        <v>17.46493879</v>
      </c>
      <c r="AN100">
        <v>17.07275403</v>
      </c>
      <c r="AO100">
        <v>28.09761055</v>
      </c>
      <c r="BJ100">
        <v>4.825</v>
      </c>
      <c r="BK100">
        <v>0.35802619</v>
      </c>
      <c r="BL100">
        <v>0.29138221</v>
      </c>
      <c r="BM100">
        <v>0.17254203</v>
      </c>
      <c r="BN100">
        <v>0.37200145</v>
      </c>
      <c r="BO100">
        <v>0.30265691</v>
      </c>
      <c r="BP100">
        <v>0.35802619</v>
      </c>
      <c r="BQ100">
        <v>0</v>
      </c>
      <c r="CC100">
        <v>4.825</v>
      </c>
      <c r="CD100">
        <v>0.47486282</v>
      </c>
      <c r="CE100">
        <v>0.87307909</v>
      </c>
      <c r="CF100">
        <v>0.5610745</v>
      </c>
      <c r="CG100">
        <v>1.50961233</v>
      </c>
      <c r="CH100">
        <v>0.53931042</v>
      </c>
      <c r="CI100">
        <v>0.82175101</v>
      </c>
      <c r="CJ100">
        <v>0.43889755</v>
      </c>
      <c r="CK100">
        <v>0.89372284</v>
      </c>
      <c r="CL100">
        <v>5.79</v>
      </c>
      <c r="CM100">
        <v>0.83444927</v>
      </c>
      <c r="CN100">
        <v>2.93997826</v>
      </c>
      <c r="CO100">
        <v>5.79</v>
      </c>
      <c r="CP100">
        <v>0.85678739</v>
      </c>
      <c r="CQ100">
        <v>4.28393696</v>
      </c>
      <c r="CS100">
        <v>4.825</v>
      </c>
      <c r="CT100">
        <v>0.65185458</v>
      </c>
      <c r="CU100">
        <v>2.30679978</v>
      </c>
      <c r="CV100">
        <v>0.64104086</v>
      </c>
      <c r="CW100">
        <v>2.69771364</v>
      </c>
      <c r="CX100">
        <v>5.79</v>
      </c>
      <c r="CY100">
        <v>0.70466074</v>
      </c>
      <c r="CZ100">
        <v>3.42166992</v>
      </c>
      <c r="DA100">
        <v>4.825</v>
      </c>
      <c r="DB100">
        <v>0.51088199</v>
      </c>
      <c r="DC100">
        <v>2.12908828</v>
      </c>
      <c r="DD100">
        <v>0.61035811</v>
      </c>
      <c r="DE100">
        <v>2.41999424</v>
      </c>
      <c r="DF100">
        <v>0.51316115</v>
      </c>
      <c r="DG100">
        <v>2.46189062</v>
      </c>
    </row>
    <row r="101" spans="15:111">
      <c r="O101">
        <v>480</v>
      </c>
      <c r="P101">
        <v>4.47797726</v>
      </c>
      <c r="Q101">
        <v>7.63224455</v>
      </c>
      <c r="R101">
        <v>1.39841851</v>
      </c>
      <c r="S101">
        <v>3.35163471</v>
      </c>
      <c r="T101">
        <v>2.87511722</v>
      </c>
      <c r="U101">
        <v>6.84622283</v>
      </c>
      <c r="V101">
        <v>7.98959537</v>
      </c>
      <c r="W101">
        <v>12.57646063</v>
      </c>
      <c r="X101">
        <v>9.46934545</v>
      </c>
      <c r="Y101">
        <v>22.45776179</v>
      </c>
      <c r="Z101">
        <v>13.43010029</v>
      </c>
      <c r="AA101">
        <v>23.47915789</v>
      </c>
      <c r="AC101">
        <v>480</v>
      </c>
      <c r="AD101">
        <v>8.23100991</v>
      </c>
      <c r="AE101">
        <v>10.75090113</v>
      </c>
      <c r="AF101">
        <v>2.78777013</v>
      </c>
      <c r="AG101">
        <v>5.13136428</v>
      </c>
      <c r="AH101">
        <v>6.1271039</v>
      </c>
      <c r="AI101">
        <v>12.66529325</v>
      </c>
      <c r="AJ101">
        <v>4.10947099</v>
      </c>
      <c r="AK101">
        <v>12.82221671</v>
      </c>
      <c r="AL101">
        <v>16.36172798</v>
      </c>
      <c r="AM101">
        <v>17.40660474</v>
      </c>
      <c r="AN101">
        <v>16.83227272</v>
      </c>
      <c r="AO101">
        <v>28.11156302</v>
      </c>
      <c r="BJ101">
        <v>4.875</v>
      </c>
      <c r="BK101">
        <v>0.22978193</v>
      </c>
      <c r="BL101">
        <v>0.35679481</v>
      </c>
      <c r="BM101">
        <v>0.44669806</v>
      </c>
      <c r="BN101">
        <v>0.41299783</v>
      </c>
      <c r="BO101">
        <v>0.27177375</v>
      </c>
      <c r="BP101">
        <v>0.22978193</v>
      </c>
      <c r="BQ101">
        <v>0</v>
      </c>
      <c r="CC101">
        <v>4.875</v>
      </c>
      <c r="CD101">
        <v>0.60065909</v>
      </c>
      <c r="CE101">
        <v>0.85526177</v>
      </c>
      <c r="CF101">
        <v>0.41897598</v>
      </c>
      <c r="CG101">
        <v>1.53568211</v>
      </c>
      <c r="CH101">
        <v>0.46909794</v>
      </c>
      <c r="CI101">
        <v>0.86247982</v>
      </c>
      <c r="CJ101">
        <v>0.47154795</v>
      </c>
      <c r="CK101">
        <v>2.21789341</v>
      </c>
      <c r="CL101">
        <v>5.85</v>
      </c>
      <c r="CM101">
        <v>0.9369103</v>
      </c>
      <c r="CN101">
        <v>3.3599776</v>
      </c>
      <c r="CO101">
        <v>5.85</v>
      </c>
      <c r="CP101">
        <v>0.55953503</v>
      </c>
      <c r="CQ101">
        <v>5.10575717</v>
      </c>
      <c r="CS101">
        <v>4.875</v>
      </c>
      <c r="CT101">
        <v>0.60468929</v>
      </c>
      <c r="CU101">
        <v>2.01542941</v>
      </c>
      <c r="CV101">
        <v>0.75164772</v>
      </c>
      <c r="CW101">
        <v>2.70272065</v>
      </c>
      <c r="CX101">
        <v>5.85</v>
      </c>
      <c r="CY101">
        <v>0.70984301</v>
      </c>
      <c r="CZ101">
        <v>3.35184237</v>
      </c>
      <c r="DA101">
        <v>4.875</v>
      </c>
      <c r="DB101">
        <v>0.63164373</v>
      </c>
      <c r="DC101">
        <v>2.33100831</v>
      </c>
      <c r="DD101">
        <v>0.64731567</v>
      </c>
      <c r="DE101">
        <v>2.74491492</v>
      </c>
      <c r="DF101">
        <v>0.52782328</v>
      </c>
      <c r="DG101">
        <v>1.71354059</v>
      </c>
    </row>
    <row r="102" spans="15:111">
      <c r="O102">
        <v>485</v>
      </c>
      <c r="P102">
        <v>4.9263676</v>
      </c>
      <c r="Q102">
        <v>7.93369829</v>
      </c>
      <c r="R102">
        <v>1.44163704</v>
      </c>
      <c r="S102">
        <v>3.36232237</v>
      </c>
      <c r="T102">
        <v>2.61744529</v>
      </c>
      <c r="U102">
        <v>6.69855456</v>
      </c>
      <c r="V102">
        <v>8.46903864</v>
      </c>
      <c r="W102">
        <v>12.85377083</v>
      </c>
      <c r="X102">
        <v>9.56657965</v>
      </c>
      <c r="Y102">
        <v>23.195675</v>
      </c>
      <c r="Z102">
        <v>13.8837133</v>
      </c>
      <c r="AA102">
        <v>23.88179116</v>
      </c>
      <c r="AC102">
        <v>485</v>
      </c>
      <c r="AD102">
        <v>8.96388194</v>
      </c>
      <c r="AE102">
        <v>11.43159427</v>
      </c>
      <c r="AF102">
        <v>2.90179627</v>
      </c>
      <c r="AG102">
        <v>5.09688177</v>
      </c>
      <c r="AH102">
        <v>6.23812447</v>
      </c>
      <c r="AI102">
        <v>13.20792494</v>
      </c>
      <c r="AJ102">
        <v>4.36627839</v>
      </c>
      <c r="AK102">
        <v>12.60220918</v>
      </c>
      <c r="AL102">
        <v>16.61963612</v>
      </c>
      <c r="AM102">
        <v>17.19838794</v>
      </c>
      <c r="AN102">
        <v>17.24168488</v>
      </c>
      <c r="AO102">
        <v>29.06186448</v>
      </c>
      <c r="BJ102">
        <v>4.925</v>
      </c>
      <c r="BK102">
        <v>0.39103269</v>
      </c>
      <c r="BL102">
        <v>0.24471095</v>
      </c>
      <c r="BM102">
        <v>0.48499029</v>
      </c>
      <c r="BN102">
        <v>0.42845794</v>
      </c>
      <c r="BO102">
        <v>0.48415193</v>
      </c>
      <c r="BP102">
        <v>0.39103269</v>
      </c>
      <c r="BQ102">
        <v>0</v>
      </c>
      <c r="CC102">
        <v>4.925</v>
      </c>
      <c r="CD102">
        <v>0.49117499</v>
      </c>
      <c r="CE102">
        <v>0.7262531</v>
      </c>
      <c r="CF102">
        <v>0.44582498</v>
      </c>
      <c r="CG102">
        <v>1.61611554</v>
      </c>
      <c r="CH102">
        <v>0.49978264</v>
      </c>
      <c r="CI102">
        <v>1.0140679</v>
      </c>
      <c r="CJ102">
        <v>0.4212554</v>
      </c>
      <c r="CK102">
        <v>1.42966383</v>
      </c>
      <c r="CL102">
        <v>5.91</v>
      </c>
      <c r="CM102">
        <v>0.79292486</v>
      </c>
      <c r="CN102">
        <v>3.82958758</v>
      </c>
      <c r="CO102">
        <v>5.91</v>
      </c>
      <c r="CP102">
        <v>1.64469505</v>
      </c>
      <c r="CQ102">
        <v>3.83762178</v>
      </c>
      <c r="CS102">
        <v>4.925</v>
      </c>
      <c r="CT102">
        <v>0.69674915</v>
      </c>
      <c r="CU102">
        <v>2.27391432</v>
      </c>
      <c r="CV102">
        <v>0.57332281</v>
      </c>
      <c r="CW102">
        <v>2.53042779</v>
      </c>
      <c r="CX102">
        <v>5.91</v>
      </c>
      <c r="CY102">
        <v>0.88991557</v>
      </c>
      <c r="CZ102">
        <v>4.28665483</v>
      </c>
      <c r="DA102">
        <v>4.925</v>
      </c>
      <c r="DB102">
        <v>0.47130373</v>
      </c>
      <c r="DC102">
        <v>3.78649705</v>
      </c>
      <c r="DD102">
        <v>0.624556</v>
      </c>
      <c r="DE102">
        <v>2.50609145</v>
      </c>
      <c r="DF102">
        <v>0.58611529</v>
      </c>
      <c r="DG102">
        <v>2.2385664</v>
      </c>
    </row>
    <row r="103" spans="15:111">
      <c r="O103">
        <v>490</v>
      </c>
      <c r="P103">
        <v>5.49312125</v>
      </c>
      <c r="Q103">
        <v>8.86084628</v>
      </c>
      <c r="R103">
        <v>1.33177228</v>
      </c>
      <c r="S103">
        <v>3.456514</v>
      </c>
      <c r="T103">
        <v>2.73834693</v>
      </c>
      <c r="U103">
        <v>6.74383718</v>
      </c>
      <c r="V103">
        <v>8.82726013</v>
      </c>
      <c r="W103">
        <v>13.0436886</v>
      </c>
      <c r="X103">
        <v>9.62660101</v>
      </c>
      <c r="Y103">
        <v>23.72687204</v>
      </c>
      <c r="Z103">
        <v>14.9651264</v>
      </c>
      <c r="AA103">
        <v>24.70127289</v>
      </c>
      <c r="AC103">
        <v>490</v>
      </c>
      <c r="AD103">
        <v>10.0465087</v>
      </c>
      <c r="AE103">
        <v>12.7325685</v>
      </c>
      <c r="AF103">
        <v>2.92656625</v>
      </c>
      <c r="AG103">
        <v>5.30254156</v>
      </c>
      <c r="AH103">
        <v>5.73014935</v>
      </c>
      <c r="AI103">
        <v>12.72616042</v>
      </c>
      <c r="AJ103">
        <v>4.71653308</v>
      </c>
      <c r="AK103">
        <v>12.31085386</v>
      </c>
      <c r="AL103">
        <v>16.07465795</v>
      </c>
      <c r="AM103">
        <v>16.81167053</v>
      </c>
      <c r="AN103">
        <v>16.61527719</v>
      </c>
      <c r="AO103">
        <v>29.51430055</v>
      </c>
      <c r="BJ103">
        <v>4.975</v>
      </c>
      <c r="BK103">
        <v>0.26708736</v>
      </c>
      <c r="BL103">
        <v>0.29691616</v>
      </c>
      <c r="BM103">
        <v>0.67236261</v>
      </c>
      <c r="BN103">
        <v>0.54818851</v>
      </c>
      <c r="BO103">
        <v>0.43888403</v>
      </c>
      <c r="BP103">
        <v>0.26708736</v>
      </c>
      <c r="BQ103">
        <v>0</v>
      </c>
      <c r="CC103">
        <v>4.975</v>
      </c>
      <c r="CD103">
        <v>0.55940887</v>
      </c>
      <c r="CE103">
        <v>1.6971988</v>
      </c>
      <c r="CF103">
        <v>0.38932465</v>
      </c>
      <c r="CG103">
        <v>1.58379432</v>
      </c>
      <c r="CH103">
        <v>0.46354872</v>
      </c>
      <c r="CI103">
        <v>0.99378723</v>
      </c>
      <c r="CJ103">
        <v>0.49273327</v>
      </c>
      <c r="CK103">
        <v>2.1296287</v>
      </c>
      <c r="CL103">
        <v>5.97</v>
      </c>
      <c r="CM103">
        <v>0.8552951</v>
      </c>
      <c r="CN103">
        <v>4.21389295</v>
      </c>
      <c r="CO103">
        <v>5.97</v>
      </c>
      <c r="CP103">
        <v>0.80590113</v>
      </c>
      <c r="CQ103">
        <v>3.02212923</v>
      </c>
      <c r="CS103">
        <v>4.975</v>
      </c>
      <c r="CT103">
        <v>0.67352464</v>
      </c>
      <c r="CU103">
        <v>2.8148685</v>
      </c>
      <c r="CV103">
        <v>0.58926438</v>
      </c>
      <c r="CW103">
        <v>3.11419374</v>
      </c>
      <c r="CX103">
        <v>5.97</v>
      </c>
      <c r="CY103">
        <v>0.88553505</v>
      </c>
      <c r="CZ103">
        <v>3.65886983</v>
      </c>
      <c r="DA103">
        <v>4.975</v>
      </c>
      <c r="DB103">
        <v>0.601841</v>
      </c>
      <c r="DC103">
        <v>3.41626413</v>
      </c>
      <c r="DD103">
        <v>0.59783122</v>
      </c>
      <c r="DE103">
        <v>2.69557826</v>
      </c>
      <c r="DF103">
        <v>0.54060554</v>
      </c>
      <c r="DG103">
        <v>2.74224572</v>
      </c>
    </row>
    <row r="104" spans="15:111">
      <c r="O104">
        <v>495</v>
      </c>
      <c r="P104">
        <v>6.79496757</v>
      </c>
      <c r="Q104">
        <v>10.13781177</v>
      </c>
      <c r="R104">
        <v>1.18609149</v>
      </c>
      <c r="S104">
        <v>3.36299215</v>
      </c>
      <c r="T104">
        <v>2.93996912</v>
      </c>
      <c r="U104">
        <v>7.07146999</v>
      </c>
      <c r="V104">
        <v>8.46359198</v>
      </c>
      <c r="W104">
        <v>12.79605551</v>
      </c>
      <c r="X104">
        <v>9.74757592</v>
      </c>
      <c r="Y104">
        <v>23.96657818</v>
      </c>
      <c r="Z104">
        <v>15.79800126</v>
      </c>
      <c r="AA104">
        <v>25.64281833</v>
      </c>
      <c r="AC104">
        <v>495</v>
      </c>
      <c r="AD104">
        <v>11.0718574</v>
      </c>
      <c r="AE104">
        <v>13.64183008</v>
      </c>
      <c r="AF104">
        <v>2.90215543</v>
      </c>
      <c r="AG104">
        <v>5.35461013</v>
      </c>
      <c r="AH104">
        <v>5.4539945</v>
      </c>
      <c r="AI104">
        <v>12.90602302</v>
      </c>
      <c r="AJ104">
        <v>4.81710264</v>
      </c>
      <c r="AK104">
        <v>12.467154</v>
      </c>
      <c r="AL104">
        <v>16.1365941</v>
      </c>
      <c r="AM104">
        <v>16.70493249</v>
      </c>
      <c r="AN104">
        <v>16.30778002</v>
      </c>
      <c r="AO104">
        <v>29.42941756</v>
      </c>
      <c r="BJ104">
        <v>5.025</v>
      </c>
      <c r="BK104">
        <v>0.36424163</v>
      </c>
      <c r="BL104">
        <v>0.33581172</v>
      </c>
      <c r="BM104">
        <v>0.72722642</v>
      </c>
      <c r="BN104">
        <v>0.60592943</v>
      </c>
      <c r="BO104">
        <v>0.37205928</v>
      </c>
      <c r="BP104">
        <v>0.36424163</v>
      </c>
      <c r="BQ104">
        <v>0</v>
      </c>
      <c r="CC104">
        <v>5.025</v>
      </c>
      <c r="CD104">
        <v>0.49732422</v>
      </c>
      <c r="CE104">
        <v>1.87824905</v>
      </c>
      <c r="CF104">
        <v>0.50882068</v>
      </c>
      <c r="CG104">
        <v>1.12417568</v>
      </c>
      <c r="CH104">
        <v>0.49294841</v>
      </c>
      <c r="CI104">
        <v>0.91999176</v>
      </c>
      <c r="CJ104">
        <v>0.5047322</v>
      </c>
      <c r="CK104">
        <v>2.69172375</v>
      </c>
      <c r="CL104">
        <v>6.03</v>
      </c>
      <c r="CM104">
        <v>0.95337791</v>
      </c>
      <c r="CN104">
        <v>3.74322237</v>
      </c>
      <c r="CO104">
        <v>6.03</v>
      </c>
      <c r="CP104">
        <v>0.26331441</v>
      </c>
      <c r="CQ104">
        <v>3.75223028</v>
      </c>
      <c r="CS104">
        <v>5.025</v>
      </c>
      <c r="CT104">
        <v>0.58278661</v>
      </c>
      <c r="CU104">
        <v>2.93157602</v>
      </c>
      <c r="CV104">
        <v>0.50147884</v>
      </c>
      <c r="CW104">
        <v>3.10905688</v>
      </c>
      <c r="CX104">
        <v>6.03</v>
      </c>
      <c r="CY104">
        <v>0.92849727</v>
      </c>
      <c r="CZ104">
        <v>2.78943727</v>
      </c>
      <c r="DA104">
        <v>5.025</v>
      </c>
      <c r="DB104">
        <v>0.65394648</v>
      </c>
      <c r="DC104">
        <v>3.29088278</v>
      </c>
      <c r="DD104">
        <v>0.62785004</v>
      </c>
      <c r="DE104">
        <v>2.34862421</v>
      </c>
      <c r="DF104">
        <v>0.53936334</v>
      </c>
      <c r="DG104">
        <v>2.92687412</v>
      </c>
    </row>
    <row r="105" spans="15:111">
      <c r="BJ105">
        <v>5.075</v>
      </c>
      <c r="BK105">
        <v>0.4240561</v>
      </c>
      <c r="BL105">
        <v>0.41702136</v>
      </c>
      <c r="BM105">
        <v>0.66840707</v>
      </c>
      <c r="BN105">
        <v>0.51558957</v>
      </c>
      <c r="BO105">
        <v>0.47875306</v>
      </c>
      <c r="BP105">
        <v>0.4240561</v>
      </c>
      <c r="BQ105">
        <v>0</v>
      </c>
      <c r="CC105">
        <v>5.075</v>
      </c>
      <c r="CD105">
        <v>0.51674412</v>
      </c>
      <c r="CE105">
        <v>1.63097362</v>
      </c>
      <c r="CF105">
        <v>0.52378633</v>
      </c>
      <c r="CG105">
        <v>1.83688956</v>
      </c>
      <c r="CH105">
        <v>0.50849784</v>
      </c>
      <c r="CI105">
        <v>1.22028975</v>
      </c>
      <c r="CJ105">
        <v>0.42658259</v>
      </c>
      <c r="CK105">
        <v>2.80051471</v>
      </c>
      <c r="CL105">
        <v>6.09</v>
      </c>
      <c r="CM105">
        <v>0.89208525</v>
      </c>
      <c r="CN105">
        <v>3.76473758</v>
      </c>
      <c r="CO105">
        <v>6.09</v>
      </c>
      <c r="CP105">
        <v>1.03260618</v>
      </c>
      <c r="CQ105">
        <v>3.58185269</v>
      </c>
      <c r="CS105">
        <v>5.075</v>
      </c>
      <c r="CT105">
        <v>0.56689605</v>
      </c>
      <c r="CU105">
        <v>3.04316047</v>
      </c>
      <c r="CV105">
        <v>0.57944021</v>
      </c>
      <c r="CW105">
        <v>3.10351689</v>
      </c>
      <c r="CX105">
        <v>6.09</v>
      </c>
      <c r="CY105">
        <v>0.95928792</v>
      </c>
      <c r="CZ105">
        <v>3.74399503</v>
      </c>
      <c r="DA105">
        <v>5.075</v>
      </c>
      <c r="DB105">
        <v>0.54248989</v>
      </c>
      <c r="DC105">
        <v>3.96219374</v>
      </c>
      <c r="DD105">
        <v>0.65201607</v>
      </c>
      <c r="DE105">
        <v>3.10847523</v>
      </c>
      <c r="DF105">
        <v>0.56125737</v>
      </c>
      <c r="DG105">
        <v>2.57668156</v>
      </c>
    </row>
    <row r="106" spans="15:111">
      <c r="BJ106">
        <v>5.125</v>
      </c>
      <c r="BK106">
        <v>0.44865033</v>
      </c>
      <c r="BL106">
        <v>0.4412076</v>
      </c>
      <c r="BM106">
        <v>0.68820014</v>
      </c>
      <c r="BN106">
        <v>0.57152345</v>
      </c>
      <c r="BO106">
        <v>0.49181228</v>
      </c>
      <c r="BP106">
        <v>0.44865033</v>
      </c>
      <c r="BQ106">
        <v>0</v>
      </c>
      <c r="CC106">
        <v>5.125</v>
      </c>
      <c r="CD106">
        <v>0.54757432</v>
      </c>
      <c r="CE106">
        <v>1.8056672</v>
      </c>
      <c r="CF106">
        <v>0.56253186</v>
      </c>
      <c r="CG106">
        <v>1.6468324</v>
      </c>
      <c r="CH106">
        <v>0.43681146</v>
      </c>
      <c r="CI106">
        <v>1.24862145</v>
      </c>
      <c r="CJ106">
        <v>0.5479726</v>
      </c>
      <c r="CK106">
        <v>2.79894785</v>
      </c>
      <c r="CL106">
        <v>6.15</v>
      </c>
      <c r="CM106">
        <v>0.9435654</v>
      </c>
      <c r="CN106">
        <v>3.56754952</v>
      </c>
      <c r="CO106">
        <v>6.15</v>
      </c>
      <c r="CP106">
        <v>1.01255621</v>
      </c>
      <c r="CQ106">
        <v>3.76544341</v>
      </c>
      <c r="CS106">
        <v>5.125</v>
      </c>
      <c r="CT106">
        <v>0.47710133</v>
      </c>
      <c r="CU106">
        <v>2.54198713</v>
      </c>
      <c r="CV106">
        <v>0.61984288</v>
      </c>
      <c r="CW106">
        <v>3.36931952</v>
      </c>
      <c r="CX106">
        <v>6.15</v>
      </c>
      <c r="CY106">
        <v>0.94571888</v>
      </c>
      <c r="CZ106">
        <v>3.19243339</v>
      </c>
      <c r="DA106">
        <v>5.125</v>
      </c>
      <c r="DB106">
        <v>0.66384647</v>
      </c>
      <c r="DC106">
        <v>3.71874922</v>
      </c>
      <c r="DD106">
        <v>0.70195026</v>
      </c>
      <c r="DE106">
        <v>2.37075876</v>
      </c>
      <c r="DF106">
        <v>0.53671424</v>
      </c>
      <c r="DG106">
        <v>2.81376987</v>
      </c>
    </row>
    <row r="107" spans="15:111">
      <c r="BJ107">
        <v>5.175</v>
      </c>
      <c r="BK107">
        <v>0.40782593</v>
      </c>
      <c r="BL107">
        <v>0.48549422</v>
      </c>
      <c r="BM107">
        <v>0.70710716</v>
      </c>
      <c r="BN107">
        <v>0.74378412</v>
      </c>
      <c r="BO107">
        <v>0.63583113</v>
      </c>
      <c r="BP107">
        <v>0.40782593</v>
      </c>
      <c r="BQ107">
        <v>0</v>
      </c>
      <c r="CC107">
        <v>5.175</v>
      </c>
      <c r="CD107">
        <v>0.56910673</v>
      </c>
      <c r="CE107">
        <v>1.26495994</v>
      </c>
      <c r="CF107">
        <v>0.5277267</v>
      </c>
      <c r="CG107">
        <v>1.41326809</v>
      </c>
      <c r="CH107">
        <v>0.49711901</v>
      </c>
      <c r="CI107">
        <v>2.14306792</v>
      </c>
      <c r="CJ107">
        <v>0.41435828</v>
      </c>
      <c r="CK107">
        <v>2.48614968</v>
      </c>
      <c r="CL107">
        <v>6.21</v>
      </c>
      <c r="CM107">
        <v>0.93988017</v>
      </c>
      <c r="CN107">
        <v>3.98575467</v>
      </c>
      <c r="CO107">
        <v>6.21</v>
      </c>
      <c r="CP107">
        <v>0.99308458</v>
      </c>
      <c r="CQ107">
        <v>3.50682993</v>
      </c>
      <c r="CS107">
        <v>5.175</v>
      </c>
      <c r="CT107">
        <v>0.50656273</v>
      </c>
      <c r="CU107">
        <v>3.08928139</v>
      </c>
      <c r="CV107">
        <v>0.46860746</v>
      </c>
      <c r="CW107">
        <v>2.87813636</v>
      </c>
      <c r="CX107">
        <v>6.21</v>
      </c>
      <c r="CY107">
        <v>0.91017231</v>
      </c>
      <c r="CZ107">
        <v>2.97449023</v>
      </c>
      <c r="DA107">
        <v>5.175</v>
      </c>
      <c r="DB107">
        <v>0.5907155</v>
      </c>
      <c r="DC107">
        <v>3.48392791</v>
      </c>
      <c r="DD107">
        <v>0.51743499</v>
      </c>
      <c r="DE107">
        <v>3.04486373</v>
      </c>
      <c r="DF107">
        <v>0.57992464</v>
      </c>
      <c r="DG107">
        <v>3.49181545</v>
      </c>
    </row>
    <row r="108" spans="15:111">
      <c r="BJ108">
        <v>5.225</v>
      </c>
      <c r="BK108">
        <v>0.74747688</v>
      </c>
      <c r="BL108">
        <v>0.51765977</v>
      </c>
      <c r="BM108">
        <v>0.74618727</v>
      </c>
      <c r="BN108">
        <v>0.69789474</v>
      </c>
      <c r="BO108">
        <v>0.70975083</v>
      </c>
      <c r="BP108">
        <v>0.74747688</v>
      </c>
      <c r="BQ108">
        <v>0</v>
      </c>
      <c r="CC108">
        <v>5.225</v>
      </c>
      <c r="CD108">
        <v>0.56219839</v>
      </c>
      <c r="CE108">
        <v>1.48903944</v>
      </c>
      <c r="CF108">
        <v>0.52159685</v>
      </c>
      <c r="CG108">
        <v>1.63391193</v>
      </c>
      <c r="CH108">
        <v>0.48765036</v>
      </c>
      <c r="CI108">
        <v>2.00214174</v>
      </c>
      <c r="CJ108">
        <v>0.55939378</v>
      </c>
      <c r="CK108">
        <v>2.89607012</v>
      </c>
      <c r="CL108">
        <v>6.27</v>
      </c>
      <c r="CM108">
        <v>0.91015801</v>
      </c>
      <c r="CN108">
        <v>4.32768311</v>
      </c>
      <c r="CO108">
        <v>6.27</v>
      </c>
      <c r="CP108">
        <v>0.97416926</v>
      </c>
      <c r="CQ108">
        <v>3.62269194</v>
      </c>
      <c r="CS108">
        <v>5.225</v>
      </c>
      <c r="CT108">
        <v>0.45480284</v>
      </c>
      <c r="CU108">
        <v>3.82792387</v>
      </c>
      <c r="CV108">
        <v>0.53836616</v>
      </c>
      <c r="CW108">
        <v>3.45072003</v>
      </c>
      <c r="CX108">
        <v>6.27</v>
      </c>
      <c r="CY108">
        <v>0.98284969</v>
      </c>
      <c r="CZ108">
        <v>3.04069122</v>
      </c>
      <c r="DA108">
        <v>5.225</v>
      </c>
      <c r="DB108">
        <v>0.54139713</v>
      </c>
      <c r="DC108">
        <v>3.6311675</v>
      </c>
      <c r="DD108">
        <v>0.59791131</v>
      </c>
      <c r="DE108">
        <v>4.56176218</v>
      </c>
      <c r="DF108">
        <v>0.54699884</v>
      </c>
      <c r="DG108">
        <v>2.65185036</v>
      </c>
    </row>
    <row r="109" spans="15:111">
      <c r="BJ109">
        <v>5.275</v>
      </c>
      <c r="BK109">
        <v>0.61975265</v>
      </c>
      <c r="BL109">
        <v>0.55868219</v>
      </c>
      <c r="BM109">
        <v>0.74242007</v>
      </c>
      <c r="BN109">
        <v>0.60173006</v>
      </c>
      <c r="BO109">
        <v>0.61195247</v>
      </c>
      <c r="BP109">
        <v>0.61975265</v>
      </c>
      <c r="BQ109">
        <v>0</v>
      </c>
      <c r="CC109">
        <v>5.275</v>
      </c>
      <c r="CD109">
        <v>0.54773391</v>
      </c>
      <c r="CE109">
        <v>2.09402144</v>
      </c>
      <c r="CF109">
        <v>0.43479995</v>
      </c>
      <c r="CG109">
        <v>2.08886746</v>
      </c>
      <c r="CH109">
        <v>0.50956837</v>
      </c>
      <c r="CI109">
        <v>1.62060246</v>
      </c>
      <c r="CJ109">
        <v>0.60016981</v>
      </c>
      <c r="CK109">
        <v>2.74172966</v>
      </c>
      <c r="CL109">
        <v>6.33</v>
      </c>
      <c r="CM109">
        <v>0.88370795</v>
      </c>
      <c r="CN109">
        <v>4.07033332</v>
      </c>
      <c r="CO109">
        <v>6.33</v>
      </c>
      <c r="CP109">
        <v>0.95578926</v>
      </c>
      <c r="CQ109">
        <v>3.34526241</v>
      </c>
      <c r="CS109">
        <v>5.275</v>
      </c>
      <c r="CT109">
        <v>0.48753875</v>
      </c>
      <c r="CU109">
        <v>4.22516369</v>
      </c>
      <c r="CV109">
        <v>0.49164032</v>
      </c>
      <c r="CW109">
        <v>3.28301969</v>
      </c>
      <c r="CX109">
        <v>6.33</v>
      </c>
      <c r="CY109">
        <v>0.92611558</v>
      </c>
      <c r="CZ109">
        <v>2.59157213</v>
      </c>
      <c r="DA109">
        <v>5.275</v>
      </c>
      <c r="DB109">
        <v>0.53948212</v>
      </c>
      <c r="DC109">
        <v>4.24375314</v>
      </c>
      <c r="DD109">
        <v>0.55286741</v>
      </c>
      <c r="DE109">
        <v>4.04943722</v>
      </c>
      <c r="DF109">
        <v>0.54526527</v>
      </c>
      <c r="DG109">
        <v>3.41488474</v>
      </c>
    </row>
    <row r="110" spans="15:111">
      <c r="BJ110">
        <v>5.325</v>
      </c>
      <c r="BK110">
        <v>0.67912186</v>
      </c>
      <c r="BL110">
        <v>0.77750377</v>
      </c>
      <c r="BM110">
        <v>0.90056068</v>
      </c>
      <c r="BN110">
        <v>0.70247128</v>
      </c>
      <c r="BO110">
        <v>0.80758839</v>
      </c>
      <c r="BP110">
        <v>0.67912186</v>
      </c>
      <c r="BQ110">
        <v>0</v>
      </c>
      <c r="CC110">
        <v>5.325</v>
      </c>
      <c r="CD110">
        <v>0.5829184</v>
      </c>
      <c r="CE110">
        <v>2.29382177</v>
      </c>
      <c r="CF110">
        <v>0.57770781</v>
      </c>
      <c r="CG110">
        <v>2.57419803</v>
      </c>
      <c r="CH110">
        <v>0.50004401</v>
      </c>
      <c r="CI110">
        <v>2.16860688</v>
      </c>
      <c r="CJ110">
        <v>0.50758364</v>
      </c>
      <c r="CK110">
        <v>2.73940178</v>
      </c>
      <c r="CL110">
        <v>6.39</v>
      </c>
      <c r="CM110">
        <v>0.95140589</v>
      </c>
      <c r="CN110">
        <v>2.95977136</v>
      </c>
      <c r="CO110">
        <v>6.39</v>
      </c>
      <c r="CP110">
        <v>1.87584913</v>
      </c>
      <c r="CQ110">
        <v>2.87239398</v>
      </c>
      <c r="CS110">
        <v>5.325</v>
      </c>
      <c r="CT110">
        <v>0.44599047</v>
      </c>
      <c r="CU110">
        <v>3.48075293</v>
      </c>
      <c r="CV110">
        <v>0.56618223</v>
      </c>
      <c r="CW110">
        <v>3.32233341</v>
      </c>
      <c r="CX110">
        <v>6.39</v>
      </c>
      <c r="CY110">
        <v>0.93457062</v>
      </c>
      <c r="CZ110">
        <v>2.4248477</v>
      </c>
      <c r="DA110">
        <v>5.325</v>
      </c>
      <c r="DB110">
        <v>0.60677229</v>
      </c>
      <c r="DC110">
        <v>2.8277014</v>
      </c>
      <c r="DD110">
        <v>0.54253374</v>
      </c>
      <c r="DE110">
        <v>3.34631497</v>
      </c>
      <c r="DF110">
        <v>0.56035276</v>
      </c>
      <c r="DG110">
        <v>3.56382251</v>
      </c>
    </row>
    <row r="111" spans="15:111">
      <c r="BJ111">
        <v>5.375</v>
      </c>
      <c r="BK111">
        <v>0.89536015</v>
      </c>
      <c r="BL111">
        <v>0.83158983</v>
      </c>
      <c r="BM111">
        <v>0.87395283</v>
      </c>
      <c r="BN111">
        <v>0.68946292</v>
      </c>
      <c r="BO111">
        <v>0.81295742</v>
      </c>
      <c r="BP111">
        <v>0.89536015</v>
      </c>
      <c r="BQ111">
        <v>0</v>
      </c>
      <c r="CC111">
        <v>5.375</v>
      </c>
      <c r="CD111">
        <v>0.53125794</v>
      </c>
      <c r="CE111">
        <v>1.87612068</v>
      </c>
      <c r="CF111">
        <v>0.55589198</v>
      </c>
      <c r="CG111">
        <v>2.24580362</v>
      </c>
      <c r="CH111">
        <v>0.61067042</v>
      </c>
      <c r="CI111">
        <v>2.27034523</v>
      </c>
      <c r="CJ111">
        <v>0.48297248</v>
      </c>
      <c r="CK111">
        <v>2.44861344</v>
      </c>
      <c r="CL111">
        <v>6.45</v>
      </c>
      <c r="CM111">
        <v>0.9516593</v>
      </c>
      <c r="CN111">
        <v>2.90496236</v>
      </c>
      <c r="CO111">
        <v>6.45</v>
      </c>
      <c r="CP111">
        <v>1.38083414</v>
      </c>
      <c r="CQ111">
        <v>2.58906401</v>
      </c>
      <c r="CS111">
        <v>5.375</v>
      </c>
      <c r="CT111">
        <v>0.43773163</v>
      </c>
      <c r="CU111">
        <v>4.2703705</v>
      </c>
      <c r="CV111">
        <v>0.46960367</v>
      </c>
      <c r="CW111">
        <v>3.21140427</v>
      </c>
      <c r="CX111">
        <v>6.45</v>
      </c>
      <c r="CY111">
        <v>1.02071511</v>
      </c>
      <c r="CZ111">
        <v>2.96041865</v>
      </c>
      <c r="DA111">
        <v>5.375</v>
      </c>
      <c r="DB111">
        <v>0.58354543</v>
      </c>
      <c r="DC111">
        <v>2.87625946</v>
      </c>
      <c r="DD111">
        <v>0.59345891</v>
      </c>
      <c r="DE111">
        <v>3.54093765</v>
      </c>
      <c r="DF111">
        <v>0.4755433</v>
      </c>
      <c r="DG111">
        <v>3.39341494</v>
      </c>
    </row>
    <row r="112" spans="15:111">
      <c r="BJ112">
        <v>5.425</v>
      </c>
      <c r="BK112">
        <v>0.81057061</v>
      </c>
      <c r="BL112">
        <v>0.86435125</v>
      </c>
      <c r="BM112">
        <v>1.0236515</v>
      </c>
      <c r="BN112">
        <v>0.75528361</v>
      </c>
      <c r="BO112">
        <v>0.98757597</v>
      </c>
      <c r="BP112">
        <v>0.81057061</v>
      </c>
      <c r="BQ112">
        <v>0</v>
      </c>
      <c r="CC112">
        <v>5.425</v>
      </c>
      <c r="CD112">
        <v>0.59080195</v>
      </c>
      <c r="CE112">
        <v>2.80858857</v>
      </c>
      <c r="CF112">
        <v>0.62208936</v>
      </c>
      <c r="CG112">
        <v>2.11273915</v>
      </c>
      <c r="CH112">
        <v>0.55165562</v>
      </c>
      <c r="CI112">
        <v>2.46084377</v>
      </c>
      <c r="CJ112">
        <v>0.63836973</v>
      </c>
      <c r="CK112">
        <v>3.20491469</v>
      </c>
      <c r="CL112">
        <v>6.51</v>
      </c>
      <c r="CM112">
        <v>0.98463609</v>
      </c>
      <c r="CN112">
        <v>2.74091766</v>
      </c>
      <c r="CO112">
        <v>6.51</v>
      </c>
      <c r="CP112">
        <v>1.58141486</v>
      </c>
      <c r="CQ112">
        <v>2.51332004</v>
      </c>
      <c r="CS112">
        <v>5.425</v>
      </c>
      <c r="CT112">
        <v>0.52735919</v>
      </c>
      <c r="CU112">
        <v>3.60020309</v>
      </c>
      <c r="CV112">
        <v>0.43409641</v>
      </c>
      <c r="CW112">
        <v>2.61898429</v>
      </c>
      <c r="CX112">
        <v>6.51</v>
      </c>
      <c r="CY112">
        <v>0.97490619</v>
      </c>
      <c r="CZ112">
        <v>3.04855649</v>
      </c>
      <c r="DA112">
        <v>5.425</v>
      </c>
      <c r="DB112">
        <v>0.57676203</v>
      </c>
      <c r="DC112">
        <v>3.96278674</v>
      </c>
      <c r="DD112">
        <v>0.5386778</v>
      </c>
      <c r="DE112">
        <v>4.08048436</v>
      </c>
      <c r="DF112">
        <v>0.51147013</v>
      </c>
      <c r="DG112">
        <v>2.86991575</v>
      </c>
    </row>
    <row r="113" spans="62:111">
      <c r="BJ113">
        <v>5.475</v>
      </c>
      <c r="BK113">
        <v>0.88212856</v>
      </c>
      <c r="BL113">
        <v>0.96178771</v>
      </c>
      <c r="BM113">
        <v>1.00504018</v>
      </c>
      <c r="BN113">
        <v>0.92453182</v>
      </c>
      <c r="BO113">
        <v>0.84229663</v>
      </c>
      <c r="BP113">
        <v>0.88212856</v>
      </c>
      <c r="BQ113">
        <v>0</v>
      </c>
      <c r="CC113">
        <v>5.475</v>
      </c>
      <c r="CD113">
        <v>0.60870535</v>
      </c>
      <c r="CE113">
        <v>2.62190877</v>
      </c>
      <c r="CF113">
        <v>0.50005295</v>
      </c>
      <c r="CG113">
        <v>2.29979708</v>
      </c>
      <c r="CH113">
        <v>0.69328102</v>
      </c>
      <c r="CI113">
        <v>1.91464718</v>
      </c>
      <c r="CJ113">
        <v>0.58644522</v>
      </c>
      <c r="CK113">
        <v>3.14664514</v>
      </c>
      <c r="CL113">
        <v>6.57</v>
      </c>
      <c r="CM113">
        <v>0.95812178</v>
      </c>
      <c r="CN113">
        <v>2.60953618</v>
      </c>
      <c r="CO113">
        <v>6.57</v>
      </c>
      <c r="CP113">
        <v>0.88723581</v>
      </c>
      <c r="CQ113">
        <v>2.10718504</v>
      </c>
      <c r="CS113">
        <v>5.475</v>
      </c>
      <c r="CT113">
        <v>0.43722894</v>
      </c>
      <c r="CU113">
        <v>3.19579836</v>
      </c>
      <c r="CV113">
        <v>0.48277971</v>
      </c>
      <c r="CW113">
        <v>3.28563653</v>
      </c>
      <c r="CX113">
        <v>6.57</v>
      </c>
      <c r="CY113">
        <v>1.01700494</v>
      </c>
      <c r="CZ113">
        <v>2.23785401</v>
      </c>
      <c r="DA113">
        <v>5.475</v>
      </c>
      <c r="DB113">
        <v>0.66258114</v>
      </c>
      <c r="DC113">
        <v>3.64756694</v>
      </c>
      <c r="DD113">
        <v>0.47403671</v>
      </c>
      <c r="DE113">
        <v>4.05575624</v>
      </c>
      <c r="DF113">
        <v>0.50615642</v>
      </c>
      <c r="DG113">
        <v>3.92470498</v>
      </c>
    </row>
    <row r="114" spans="62:111">
      <c r="BJ114">
        <v>5.525</v>
      </c>
      <c r="BK114">
        <v>1.01688431</v>
      </c>
      <c r="BL114">
        <v>0.98149627</v>
      </c>
      <c r="BM114">
        <v>0.94933443</v>
      </c>
      <c r="BN114">
        <v>0.92678809</v>
      </c>
      <c r="BO114">
        <v>1.30800456</v>
      </c>
      <c r="BP114">
        <v>1.01688431</v>
      </c>
      <c r="BQ114">
        <v>0</v>
      </c>
      <c r="CC114">
        <v>5.525</v>
      </c>
      <c r="CD114">
        <v>0.59422188</v>
      </c>
      <c r="CE114">
        <v>2.70784097</v>
      </c>
      <c r="CF114">
        <v>0.61731149</v>
      </c>
      <c r="CG114">
        <v>3.18827355</v>
      </c>
      <c r="CH114">
        <v>0.59923686</v>
      </c>
      <c r="CI114">
        <v>2.0144464</v>
      </c>
      <c r="CJ114">
        <v>0.58667666</v>
      </c>
      <c r="CK114">
        <v>3.31715261</v>
      </c>
      <c r="CL114">
        <v>6.63</v>
      </c>
      <c r="CM114">
        <v>0.93240164</v>
      </c>
      <c r="CN114">
        <v>1.78842457</v>
      </c>
      <c r="CO114">
        <v>6.63</v>
      </c>
      <c r="CP114">
        <v>1.08906252</v>
      </c>
      <c r="CQ114">
        <v>2.36871097</v>
      </c>
      <c r="CS114">
        <v>5.525</v>
      </c>
      <c r="CT114">
        <v>0.51974087</v>
      </c>
      <c r="CU114">
        <v>3.5661568</v>
      </c>
      <c r="CV114">
        <v>0.49630377</v>
      </c>
      <c r="CW114">
        <v>3.36671738</v>
      </c>
      <c r="CX114">
        <v>6.63</v>
      </c>
      <c r="CY114">
        <v>0.94428663</v>
      </c>
      <c r="CZ114">
        <v>2.33487925</v>
      </c>
      <c r="DA114">
        <v>5.525</v>
      </c>
      <c r="DB114">
        <v>0.5787697</v>
      </c>
      <c r="DC114">
        <v>3.58184681</v>
      </c>
      <c r="DD114">
        <v>0.58090791</v>
      </c>
      <c r="DE114">
        <v>3.30271152</v>
      </c>
      <c r="DF114">
        <v>0.56356921</v>
      </c>
      <c r="DG114">
        <v>3.26106974</v>
      </c>
    </row>
    <row r="115" spans="62:111">
      <c r="BJ115">
        <v>5.575</v>
      </c>
      <c r="BK115">
        <v>0.99872615</v>
      </c>
      <c r="BL115">
        <v>1.10038087</v>
      </c>
      <c r="BM115">
        <v>1.25548533</v>
      </c>
      <c r="BN115">
        <v>0.93810319</v>
      </c>
      <c r="BO115">
        <v>1.16185073</v>
      </c>
      <c r="BP115">
        <v>0.99872615</v>
      </c>
      <c r="BQ115">
        <v>0</v>
      </c>
      <c r="CC115">
        <v>5.575</v>
      </c>
      <c r="CD115">
        <v>0.67339737</v>
      </c>
      <c r="CE115">
        <v>2.83388062</v>
      </c>
      <c r="CF115">
        <v>0.73374672</v>
      </c>
      <c r="CG115">
        <v>2.91388734</v>
      </c>
      <c r="CH115">
        <v>0.66166824</v>
      </c>
      <c r="CI115">
        <v>2.94572961</v>
      </c>
      <c r="CJ115">
        <v>0.6115503</v>
      </c>
      <c r="CK115">
        <v>3.16866127</v>
      </c>
      <c r="CL115">
        <v>6.69</v>
      </c>
      <c r="CM115">
        <v>0.92613473</v>
      </c>
      <c r="CN115">
        <v>1.38946167</v>
      </c>
      <c r="CO115">
        <v>6.69</v>
      </c>
      <c r="CP115">
        <v>0.85569239</v>
      </c>
      <c r="CQ115">
        <v>1.2567982</v>
      </c>
      <c r="CS115">
        <v>5.575</v>
      </c>
      <c r="CT115">
        <v>0.61403163</v>
      </c>
      <c r="CU115">
        <v>3.92277439</v>
      </c>
      <c r="CV115">
        <v>0.54564341</v>
      </c>
      <c r="CW115">
        <v>2.20439936</v>
      </c>
      <c r="CX115">
        <v>6.69</v>
      </c>
      <c r="CY115">
        <v>0.98298484</v>
      </c>
      <c r="CZ115">
        <v>1.80757022</v>
      </c>
      <c r="DA115">
        <v>5.575</v>
      </c>
      <c r="DB115">
        <v>0.57958059</v>
      </c>
      <c r="DC115">
        <v>3.42407666</v>
      </c>
      <c r="DD115">
        <v>0.59698347</v>
      </c>
      <c r="DE115">
        <v>3.86386214</v>
      </c>
      <c r="DF115">
        <v>0.51891163</v>
      </c>
      <c r="DG115">
        <v>3.3969493</v>
      </c>
    </row>
    <row r="116" spans="62:111">
      <c r="BJ116">
        <v>5.625</v>
      </c>
      <c r="BK116">
        <v>1.08097181</v>
      </c>
      <c r="BL116">
        <v>1.16130355</v>
      </c>
      <c r="BM116">
        <v>1.23326494</v>
      </c>
      <c r="BN116">
        <v>0.94887132</v>
      </c>
      <c r="BO116">
        <v>1.27119019</v>
      </c>
      <c r="BP116">
        <v>1.08097181</v>
      </c>
      <c r="BQ116">
        <v>0</v>
      </c>
      <c r="CC116">
        <v>5.625</v>
      </c>
      <c r="CD116">
        <v>0.78359838</v>
      </c>
      <c r="CE116">
        <v>3.55460238</v>
      </c>
      <c r="CF116">
        <v>0.77151816</v>
      </c>
      <c r="CG116">
        <v>3.0759211</v>
      </c>
      <c r="CH116">
        <v>0.6602201</v>
      </c>
      <c r="CI116">
        <v>3.32547391</v>
      </c>
      <c r="CJ116">
        <v>0.65628522</v>
      </c>
      <c r="CK116">
        <v>4.60311163</v>
      </c>
      <c r="CL116">
        <v>6.75</v>
      </c>
      <c r="CM116">
        <v>0.88730578</v>
      </c>
      <c r="CN116">
        <v>0.8240725</v>
      </c>
      <c r="CO116">
        <v>6.75</v>
      </c>
      <c r="CP116">
        <v>1.47095864</v>
      </c>
      <c r="CQ116">
        <v>1.02441762</v>
      </c>
      <c r="CS116">
        <v>5.625</v>
      </c>
      <c r="CT116">
        <v>0.6031641</v>
      </c>
      <c r="CU116">
        <v>2.4312782</v>
      </c>
      <c r="CV116">
        <v>0.57171867</v>
      </c>
      <c r="CW116">
        <v>3.15785235</v>
      </c>
      <c r="CX116">
        <v>6.75</v>
      </c>
      <c r="CY116">
        <v>0.98447926</v>
      </c>
      <c r="CZ116">
        <v>1.32505871</v>
      </c>
      <c r="DA116">
        <v>5.625</v>
      </c>
      <c r="DB116">
        <v>0.72625151</v>
      </c>
      <c r="DC116">
        <v>3.45562513</v>
      </c>
      <c r="DD116">
        <v>0.63095572</v>
      </c>
      <c r="DE116">
        <v>3.51433055</v>
      </c>
      <c r="DF116">
        <v>0.55126096</v>
      </c>
      <c r="DG116">
        <v>3.4798348</v>
      </c>
    </row>
    <row r="117" spans="62:111">
      <c r="BJ117">
        <v>5.675</v>
      </c>
      <c r="BK117">
        <v>1.32974097</v>
      </c>
      <c r="BL117">
        <v>1.24624698</v>
      </c>
      <c r="BM117">
        <v>1.4254462</v>
      </c>
      <c r="BN117">
        <v>1.13839001</v>
      </c>
      <c r="BO117">
        <v>1.16684537</v>
      </c>
      <c r="BP117">
        <v>1.32974097</v>
      </c>
      <c r="BQ117">
        <v>0</v>
      </c>
      <c r="CC117">
        <v>5.675</v>
      </c>
      <c r="CD117">
        <v>0.77984946</v>
      </c>
      <c r="CE117">
        <v>3.40809213</v>
      </c>
      <c r="CF117">
        <v>0.80452593</v>
      </c>
      <c r="CG117">
        <v>4.02927863</v>
      </c>
      <c r="CH117">
        <v>0.76626617</v>
      </c>
      <c r="CI117">
        <v>3.30956408</v>
      </c>
      <c r="CJ117">
        <v>0.75052796</v>
      </c>
      <c r="CK117">
        <v>3.27332534</v>
      </c>
      <c r="CL117">
        <v>6.81</v>
      </c>
      <c r="CM117">
        <v>0.95991536</v>
      </c>
      <c r="CN117">
        <v>0.80961546</v>
      </c>
      <c r="CO117">
        <v>6.81</v>
      </c>
      <c r="CP117">
        <v>0.41290086</v>
      </c>
      <c r="CQ117">
        <v>1.00644585</v>
      </c>
      <c r="CS117">
        <v>5.675</v>
      </c>
      <c r="CT117">
        <v>0.61757097</v>
      </c>
      <c r="CU117">
        <v>3.01958293</v>
      </c>
      <c r="CV117">
        <v>0.72668486</v>
      </c>
      <c r="CW117">
        <v>2.52628305</v>
      </c>
      <c r="CX117">
        <v>6.81</v>
      </c>
      <c r="CY117">
        <v>0.92802487</v>
      </c>
      <c r="CZ117">
        <v>1.74442897</v>
      </c>
      <c r="DA117">
        <v>5.675</v>
      </c>
      <c r="DB117">
        <v>0.74219443</v>
      </c>
      <c r="DC117">
        <v>3.93820197</v>
      </c>
      <c r="DD117">
        <v>0.57977629</v>
      </c>
      <c r="DE117">
        <v>4.28131976</v>
      </c>
      <c r="DF117">
        <v>0.48965668</v>
      </c>
      <c r="DG117">
        <v>3.79344819</v>
      </c>
    </row>
    <row r="118" spans="62:111">
      <c r="BJ118">
        <v>5.725</v>
      </c>
      <c r="BK118">
        <v>1.5696926</v>
      </c>
      <c r="BL118">
        <v>1.34530628</v>
      </c>
      <c r="BM118">
        <v>1.59324672</v>
      </c>
      <c r="BN118">
        <v>1.20667057</v>
      </c>
      <c r="BO118">
        <v>1.28987204</v>
      </c>
      <c r="BP118">
        <v>1.5696926</v>
      </c>
      <c r="BQ118">
        <v>0</v>
      </c>
      <c r="CC118">
        <v>5.725</v>
      </c>
      <c r="CD118">
        <v>0.79248506</v>
      </c>
      <c r="CE118">
        <v>4.29972268</v>
      </c>
      <c r="CF118">
        <v>0.87546799</v>
      </c>
      <c r="CG118">
        <v>3.79423908</v>
      </c>
      <c r="CH118">
        <v>0.78596383</v>
      </c>
      <c r="CI118">
        <v>3.75231681</v>
      </c>
      <c r="CJ118">
        <v>0.71401049</v>
      </c>
      <c r="CK118">
        <v>3.55496774</v>
      </c>
      <c r="CL118">
        <v>6.87</v>
      </c>
      <c r="CM118">
        <v>1.03577153</v>
      </c>
      <c r="CN118">
        <v>0.64637263</v>
      </c>
      <c r="CO118">
        <v>6.87</v>
      </c>
      <c r="CP118">
        <v>1.0143004</v>
      </c>
      <c r="CQ118">
        <v>0.65929526</v>
      </c>
      <c r="CS118">
        <v>5.725</v>
      </c>
      <c r="CT118">
        <v>0.75766168</v>
      </c>
      <c r="CU118">
        <v>3.05563902</v>
      </c>
      <c r="CV118">
        <v>0.67265314</v>
      </c>
      <c r="CW118">
        <v>2.7000987</v>
      </c>
      <c r="CX118">
        <v>6.87</v>
      </c>
      <c r="CY118">
        <v>1.03549689</v>
      </c>
      <c r="CZ118">
        <v>1.4838407</v>
      </c>
      <c r="DA118">
        <v>5.725</v>
      </c>
      <c r="DB118">
        <v>0.75042578</v>
      </c>
      <c r="DC118">
        <v>2.75772668</v>
      </c>
      <c r="DD118">
        <v>0.7130126</v>
      </c>
      <c r="DE118">
        <v>3.16645671</v>
      </c>
      <c r="DF118">
        <v>0.61965145</v>
      </c>
      <c r="DG118">
        <v>3.26729453</v>
      </c>
    </row>
    <row r="119" spans="62:111">
      <c r="BJ119">
        <v>5.775</v>
      </c>
      <c r="BK119">
        <v>1.48230331</v>
      </c>
      <c r="BL119">
        <v>1.20346086</v>
      </c>
      <c r="BM119">
        <v>1.58298399</v>
      </c>
      <c r="BN119">
        <v>1.22049026</v>
      </c>
      <c r="BO119">
        <v>1.18840633</v>
      </c>
      <c r="BP119">
        <v>1.48230331</v>
      </c>
      <c r="BQ119">
        <v>0</v>
      </c>
      <c r="CC119">
        <v>5.775</v>
      </c>
      <c r="CD119">
        <v>0.9139893</v>
      </c>
      <c r="CE119">
        <v>4.67252893</v>
      </c>
      <c r="CF119">
        <v>0.88284655</v>
      </c>
      <c r="CG119">
        <v>3.36404666</v>
      </c>
      <c r="CH119">
        <v>0.8340763</v>
      </c>
      <c r="CI119">
        <v>3.27788739</v>
      </c>
      <c r="CJ119">
        <v>0.83347498</v>
      </c>
      <c r="CK119">
        <v>4.45027869</v>
      </c>
      <c r="CL119">
        <v>6.93</v>
      </c>
      <c r="CM119">
        <v>0.94244115</v>
      </c>
      <c r="CN119">
        <v>0.53750108</v>
      </c>
      <c r="CO119">
        <v>6.93</v>
      </c>
      <c r="CP119">
        <v>0.79745032</v>
      </c>
      <c r="CQ119">
        <v>0.59808774</v>
      </c>
      <c r="CS119">
        <v>5.775</v>
      </c>
      <c r="CT119">
        <v>0.62739349</v>
      </c>
      <c r="CU119">
        <v>3.52521028</v>
      </c>
      <c r="CV119">
        <v>0.76614691</v>
      </c>
      <c r="CW119">
        <v>2.95314039</v>
      </c>
      <c r="CX119">
        <v>6.93</v>
      </c>
      <c r="CY119">
        <v>0.93798493</v>
      </c>
      <c r="CZ119">
        <v>1.35768837</v>
      </c>
      <c r="DA119">
        <v>5.775</v>
      </c>
      <c r="DB119">
        <v>0.72017581</v>
      </c>
      <c r="DC119">
        <v>3.27844458</v>
      </c>
      <c r="DD119">
        <v>0.71832561</v>
      </c>
      <c r="DE119">
        <v>3.73423679</v>
      </c>
      <c r="DF119">
        <v>0.70568653</v>
      </c>
      <c r="DG119">
        <v>4.07023513</v>
      </c>
    </row>
    <row r="120" spans="62:111">
      <c r="BJ120">
        <v>5.825</v>
      </c>
      <c r="BK120">
        <v>1.43155323</v>
      </c>
      <c r="BL120">
        <v>1.30784249</v>
      </c>
      <c r="BM120">
        <v>1.25996108</v>
      </c>
      <c r="BN120">
        <v>1.22515168</v>
      </c>
      <c r="BO120">
        <v>1.28922768</v>
      </c>
      <c r="BP120">
        <v>1.43155323</v>
      </c>
      <c r="BQ120">
        <v>0</v>
      </c>
      <c r="CC120">
        <v>5.825</v>
      </c>
      <c r="CD120">
        <v>0.89836594</v>
      </c>
      <c r="CE120">
        <v>4.23323315</v>
      </c>
      <c r="CF120">
        <v>0.84882268</v>
      </c>
      <c r="CG120">
        <v>3.62524594</v>
      </c>
      <c r="CH120">
        <v>0.8740482</v>
      </c>
      <c r="CI120">
        <v>3.78568139</v>
      </c>
      <c r="CJ120">
        <v>0.80627567</v>
      </c>
      <c r="CK120">
        <v>3.8836421</v>
      </c>
      <c r="CS120">
        <v>5.825</v>
      </c>
      <c r="CT120">
        <v>0.79963683</v>
      </c>
      <c r="CU120">
        <v>2.13885911</v>
      </c>
      <c r="CV120">
        <v>0.72306196</v>
      </c>
      <c r="CW120">
        <v>2.9026606</v>
      </c>
      <c r="DA120">
        <v>5.825</v>
      </c>
      <c r="DB120">
        <v>0.786139</v>
      </c>
      <c r="DC120">
        <v>3.05054261</v>
      </c>
      <c r="DD120">
        <v>0.80295523</v>
      </c>
      <c r="DE120">
        <v>3.58301465</v>
      </c>
      <c r="DF120">
        <v>0.69714474</v>
      </c>
      <c r="DG120">
        <v>3.0671728</v>
      </c>
    </row>
    <row r="121" spans="62:111">
      <c r="BJ121">
        <v>5.875</v>
      </c>
      <c r="BK121">
        <v>1.13249389</v>
      </c>
      <c r="BL121">
        <v>1.14646285</v>
      </c>
      <c r="BM121">
        <v>1.26354471</v>
      </c>
      <c r="BN121">
        <v>1.27966108</v>
      </c>
      <c r="BO121">
        <v>1.12277685</v>
      </c>
      <c r="BP121">
        <v>1.13249389</v>
      </c>
      <c r="BQ121">
        <v>0</v>
      </c>
      <c r="CC121">
        <v>5.875</v>
      </c>
      <c r="CD121">
        <v>0.92667482</v>
      </c>
      <c r="CE121">
        <v>4.51481881</v>
      </c>
      <c r="CF121">
        <v>0.87476212</v>
      </c>
      <c r="CG121">
        <v>3.60296524</v>
      </c>
      <c r="CH121">
        <v>0.87491364</v>
      </c>
      <c r="CI121">
        <v>3.64233759</v>
      </c>
      <c r="CJ121">
        <v>0.92630362</v>
      </c>
      <c r="CK121">
        <v>4.21969496</v>
      </c>
      <c r="CS121">
        <v>5.875</v>
      </c>
      <c r="CT121">
        <v>0.89600252</v>
      </c>
      <c r="CU121">
        <v>3.1539122</v>
      </c>
      <c r="CV121">
        <v>0.74683866</v>
      </c>
      <c r="CW121">
        <v>2.56398228</v>
      </c>
      <c r="DA121">
        <v>5.875</v>
      </c>
      <c r="DB121">
        <v>0.83303427</v>
      </c>
      <c r="DC121">
        <v>3.9280577</v>
      </c>
      <c r="DD121">
        <v>0.82336969</v>
      </c>
      <c r="DE121">
        <v>3.90887954</v>
      </c>
      <c r="DF121">
        <v>0.75109291</v>
      </c>
      <c r="DG121">
        <v>3.62696537</v>
      </c>
    </row>
    <row r="122" spans="62:111">
      <c r="BJ122">
        <v>5.925</v>
      </c>
      <c r="BK122">
        <v>1.14620968</v>
      </c>
      <c r="BL122">
        <v>1.02252692</v>
      </c>
      <c r="BM122">
        <v>1.29952077</v>
      </c>
      <c r="BN122">
        <v>1.08546679</v>
      </c>
      <c r="BO122">
        <v>1.04536657</v>
      </c>
      <c r="BP122">
        <v>1.14620968</v>
      </c>
      <c r="BQ122">
        <v>0</v>
      </c>
      <c r="CC122">
        <v>5.925</v>
      </c>
      <c r="CD122">
        <v>0.91721559</v>
      </c>
      <c r="CE122">
        <v>4.13014539</v>
      </c>
      <c r="CF122">
        <v>0.88750932</v>
      </c>
      <c r="CG122">
        <v>3.88895301</v>
      </c>
      <c r="CH122">
        <v>0.92187332</v>
      </c>
      <c r="CI122">
        <v>4.00930107</v>
      </c>
      <c r="CJ122">
        <v>0.85440168</v>
      </c>
      <c r="CK122">
        <v>4.42536256</v>
      </c>
      <c r="CS122">
        <v>5.925</v>
      </c>
      <c r="CT122">
        <v>0.91369286</v>
      </c>
      <c r="CU122">
        <v>2.60476149</v>
      </c>
      <c r="CV122">
        <v>0.87599156</v>
      </c>
      <c r="CW122">
        <v>2.43957209</v>
      </c>
      <c r="DA122">
        <v>5.925</v>
      </c>
      <c r="DB122">
        <v>0.8354805</v>
      </c>
      <c r="DC122">
        <v>3.03149493</v>
      </c>
      <c r="DD122">
        <v>0.85301912</v>
      </c>
      <c r="DE122">
        <v>3.50532317</v>
      </c>
      <c r="DF122">
        <v>0.6874235</v>
      </c>
      <c r="DG122">
        <v>3.86675719</v>
      </c>
    </row>
    <row r="123" spans="62:111">
      <c r="BJ123">
        <v>5.975</v>
      </c>
      <c r="BK123">
        <v>0.99829444</v>
      </c>
      <c r="BL123">
        <v>1.10840888</v>
      </c>
      <c r="BM123">
        <v>1.12516204</v>
      </c>
      <c r="BN123">
        <v>0.90565245</v>
      </c>
      <c r="BO123">
        <v>1.0279442</v>
      </c>
      <c r="BP123">
        <v>0.99829444</v>
      </c>
      <c r="BQ123">
        <v>0</v>
      </c>
      <c r="CC123">
        <v>5.975</v>
      </c>
      <c r="CD123">
        <v>0.94401905</v>
      </c>
      <c r="CE123">
        <v>4.82043483</v>
      </c>
      <c r="CF123">
        <v>0.85172463</v>
      </c>
      <c r="CG123">
        <v>4.05131519</v>
      </c>
      <c r="CH123">
        <v>0.83980946</v>
      </c>
      <c r="CI123">
        <v>3.10039764</v>
      </c>
      <c r="CJ123">
        <v>0.94787506</v>
      </c>
      <c r="CK123">
        <v>4.07963272</v>
      </c>
      <c r="CS123">
        <v>5.975</v>
      </c>
      <c r="CT123">
        <v>0.88880408</v>
      </c>
      <c r="CU123">
        <v>2.15478635</v>
      </c>
      <c r="CV123">
        <v>0.82655634</v>
      </c>
      <c r="CW123">
        <v>2.39891351</v>
      </c>
      <c r="DA123">
        <v>5.975</v>
      </c>
      <c r="DB123">
        <v>0.88948008</v>
      </c>
      <c r="DC123">
        <v>3.14431208</v>
      </c>
      <c r="DD123">
        <v>0.83222362</v>
      </c>
      <c r="DE123">
        <v>3.7376051</v>
      </c>
      <c r="DF123">
        <v>0.67262034</v>
      </c>
      <c r="DG123">
        <v>4.39378362</v>
      </c>
    </row>
    <row r="124" spans="62:111">
      <c r="BJ124">
        <v>6.025</v>
      </c>
      <c r="BK124">
        <v>1.1005595</v>
      </c>
      <c r="BL124">
        <v>0.86428445</v>
      </c>
      <c r="BM124">
        <v>1.0038123</v>
      </c>
      <c r="BN124">
        <v>0.96225609</v>
      </c>
      <c r="BO124">
        <v>0.87346406</v>
      </c>
      <c r="BP124">
        <v>1.1005595</v>
      </c>
      <c r="BQ124">
        <v>0</v>
      </c>
      <c r="CC124">
        <v>6.025</v>
      </c>
      <c r="CD124">
        <v>1.07329595</v>
      </c>
      <c r="CE124">
        <v>4.21815658</v>
      </c>
      <c r="CF124">
        <v>0.95562529</v>
      </c>
      <c r="CG124">
        <v>4.05882672</v>
      </c>
      <c r="CH124">
        <v>0.93326953</v>
      </c>
      <c r="CI124">
        <v>3.72674203</v>
      </c>
      <c r="CJ124">
        <v>1.04722075</v>
      </c>
      <c r="CK124">
        <v>4.47073973</v>
      </c>
      <c r="CS124">
        <v>6.025</v>
      </c>
      <c r="CT124">
        <v>0.94695623</v>
      </c>
      <c r="CU124">
        <v>2.95884234</v>
      </c>
      <c r="CV124">
        <v>0.8969871</v>
      </c>
      <c r="CW124">
        <v>2.5558682</v>
      </c>
      <c r="DA124">
        <v>6.025</v>
      </c>
      <c r="DB124">
        <v>1.00838077</v>
      </c>
      <c r="DC124">
        <v>2.65057815</v>
      </c>
      <c r="DD124">
        <v>0.81846818</v>
      </c>
      <c r="DE124">
        <v>3.2674026</v>
      </c>
      <c r="DF124">
        <v>0.71415985</v>
      </c>
      <c r="DG124">
        <v>3.90566453</v>
      </c>
    </row>
    <row r="125" spans="62:111">
      <c r="BJ125">
        <v>6.075</v>
      </c>
      <c r="BK125">
        <v>0.93454787</v>
      </c>
      <c r="BL125">
        <v>0.94202062</v>
      </c>
      <c r="BM125">
        <v>0.88628872</v>
      </c>
      <c r="BN125">
        <v>0.92301527</v>
      </c>
      <c r="BO125">
        <v>0.94665084</v>
      </c>
      <c r="BP125">
        <v>0.93454787</v>
      </c>
      <c r="BQ125">
        <v>0.10217124</v>
      </c>
      <c r="CC125">
        <v>6.075</v>
      </c>
      <c r="CD125">
        <v>1.04115999</v>
      </c>
      <c r="CE125">
        <v>5.17708082</v>
      </c>
      <c r="CF125">
        <v>0.91965189</v>
      </c>
      <c r="CG125">
        <v>4.2853022</v>
      </c>
      <c r="CH125">
        <v>0.98542507</v>
      </c>
      <c r="CI125">
        <v>4.22105069</v>
      </c>
      <c r="CJ125">
        <v>0.99730621</v>
      </c>
      <c r="CK125">
        <v>3.60816457</v>
      </c>
      <c r="CS125">
        <v>6.075</v>
      </c>
      <c r="CT125">
        <v>0.9625843</v>
      </c>
      <c r="CU125">
        <v>2.12376003</v>
      </c>
      <c r="CV125">
        <v>0.9711237</v>
      </c>
      <c r="CW125">
        <v>2.3979403</v>
      </c>
      <c r="DA125">
        <v>6.075</v>
      </c>
      <c r="DB125">
        <v>0.9386596</v>
      </c>
      <c r="DC125">
        <v>3.55517322</v>
      </c>
      <c r="DD125">
        <v>0.91642165</v>
      </c>
      <c r="DE125">
        <v>3.93695379</v>
      </c>
      <c r="DF125">
        <v>0.83193692</v>
      </c>
      <c r="DG125">
        <v>4.37292915</v>
      </c>
    </row>
    <row r="126" spans="62:111">
      <c r="BJ126">
        <v>6.125</v>
      </c>
      <c r="BK126">
        <v>0.90402977</v>
      </c>
      <c r="BL126">
        <v>1.00957948</v>
      </c>
      <c r="BM126">
        <v>0.75715708</v>
      </c>
      <c r="BN126">
        <v>0.79258258</v>
      </c>
      <c r="BO126">
        <v>0.87647858</v>
      </c>
      <c r="BP126">
        <v>0.90402977</v>
      </c>
      <c r="BQ126">
        <v>0</v>
      </c>
      <c r="CC126">
        <v>6.125</v>
      </c>
      <c r="CD126">
        <v>0.96128937</v>
      </c>
      <c r="CE126">
        <v>4.33438512</v>
      </c>
      <c r="CF126">
        <v>0.9246761</v>
      </c>
      <c r="CG126">
        <v>4.07150014</v>
      </c>
      <c r="CH126">
        <v>0.94632125</v>
      </c>
      <c r="CI126">
        <v>4.00671839</v>
      </c>
      <c r="CJ126">
        <v>0.9898761</v>
      </c>
      <c r="CK126">
        <v>3.80831399</v>
      </c>
      <c r="CS126">
        <v>6.125</v>
      </c>
      <c r="CT126">
        <v>0.93467484</v>
      </c>
      <c r="CU126">
        <v>2.32136457</v>
      </c>
      <c r="CV126">
        <v>0.91314204</v>
      </c>
      <c r="CW126">
        <v>2.85356887</v>
      </c>
      <c r="DA126">
        <v>6.125</v>
      </c>
      <c r="DB126">
        <v>0.83413545</v>
      </c>
      <c r="DC126">
        <v>2.75903382</v>
      </c>
      <c r="DD126">
        <v>0.86708773</v>
      </c>
      <c r="DE126">
        <v>2.72686571</v>
      </c>
      <c r="DF126">
        <v>0.83751664</v>
      </c>
      <c r="DG126">
        <v>4.34203017</v>
      </c>
    </row>
    <row r="127" spans="62:111">
      <c r="BJ127">
        <v>6.175</v>
      </c>
      <c r="BK127">
        <v>0.7311572</v>
      </c>
      <c r="BL127">
        <v>1.02294693</v>
      </c>
      <c r="BM127">
        <v>0.86534031</v>
      </c>
      <c r="BN127">
        <v>0.8857914</v>
      </c>
      <c r="BO127">
        <v>0.71605195</v>
      </c>
      <c r="BP127">
        <v>0.7311572</v>
      </c>
      <c r="BQ127">
        <v>0</v>
      </c>
      <c r="CC127">
        <v>6.175</v>
      </c>
      <c r="CD127">
        <v>1.00771145</v>
      </c>
      <c r="CE127">
        <v>3.44711908</v>
      </c>
      <c r="CF127">
        <v>0.93222556</v>
      </c>
      <c r="CG127">
        <v>3.97038237</v>
      </c>
      <c r="CH127">
        <v>0.98499159</v>
      </c>
      <c r="CI127">
        <v>3.90625808</v>
      </c>
      <c r="CJ127">
        <v>0.96238513</v>
      </c>
      <c r="CK127">
        <v>3.67413575</v>
      </c>
      <c r="CS127">
        <v>6.175</v>
      </c>
      <c r="CT127">
        <v>0.92864502</v>
      </c>
      <c r="CU127">
        <v>2.96910123</v>
      </c>
      <c r="CV127">
        <v>0.94882034</v>
      </c>
      <c r="CW127">
        <v>3.2567517</v>
      </c>
      <c r="DA127">
        <v>6.175</v>
      </c>
      <c r="DB127">
        <v>0.92970243</v>
      </c>
      <c r="DC127">
        <v>3.36449315</v>
      </c>
      <c r="DD127">
        <v>0.8777411</v>
      </c>
      <c r="DE127">
        <v>3.65494474</v>
      </c>
      <c r="DF127">
        <v>0.80520992</v>
      </c>
      <c r="DG127">
        <v>4.70710996</v>
      </c>
    </row>
    <row r="128" spans="62:111">
      <c r="BJ128">
        <v>6.225</v>
      </c>
      <c r="BK128">
        <v>0.86038388</v>
      </c>
      <c r="BL128">
        <v>0.78046431</v>
      </c>
      <c r="BM128">
        <v>0.88111238</v>
      </c>
      <c r="BN128">
        <v>0.88651851</v>
      </c>
      <c r="BO128">
        <v>0.76520572</v>
      </c>
      <c r="BP128">
        <v>0.86038388</v>
      </c>
      <c r="BQ128">
        <v>0.09730668</v>
      </c>
      <c r="CC128">
        <v>6.225</v>
      </c>
      <c r="CD128">
        <v>0.98327901</v>
      </c>
      <c r="CE128">
        <v>4.26618449</v>
      </c>
      <c r="CF128">
        <v>1.06374836</v>
      </c>
      <c r="CG128">
        <v>3.76732699</v>
      </c>
      <c r="CH128">
        <v>0.97481842</v>
      </c>
      <c r="CI128">
        <v>4.54903623</v>
      </c>
      <c r="CJ128">
        <v>0.9810108</v>
      </c>
      <c r="CK128">
        <v>4.402853</v>
      </c>
      <c r="CS128">
        <v>6.225</v>
      </c>
      <c r="CT128">
        <v>0.83071547</v>
      </c>
      <c r="CU128">
        <v>3.33361668</v>
      </c>
      <c r="CV128">
        <v>0.99490964</v>
      </c>
      <c r="CW128">
        <v>3.0941398</v>
      </c>
      <c r="DA128">
        <v>6.225</v>
      </c>
      <c r="DB128">
        <v>0.97442539</v>
      </c>
      <c r="DC128">
        <v>3.1225566</v>
      </c>
      <c r="DD128">
        <v>0.84854496</v>
      </c>
      <c r="DE128">
        <v>3.78776831</v>
      </c>
      <c r="DF128">
        <v>0.84165458</v>
      </c>
      <c r="DG128">
        <v>4.00903509</v>
      </c>
    </row>
    <row r="129" spans="62:111">
      <c r="BJ129">
        <v>6.275</v>
      </c>
      <c r="BK129">
        <v>0.64234483</v>
      </c>
      <c r="BL129">
        <v>0.81832423</v>
      </c>
      <c r="BM129">
        <v>0.7141044</v>
      </c>
      <c r="BN129">
        <v>0.78446923</v>
      </c>
      <c r="BO129">
        <v>0.73069174</v>
      </c>
      <c r="BP129">
        <v>0.64234483</v>
      </c>
      <c r="BQ129">
        <v>0</v>
      </c>
      <c r="CC129">
        <v>6.275</v>
      </c>
      <c r="CD129">
        <v>1.05217265</v>
      </c>
      <c r="CE129">
        <v>4.30170975</v>
      </c>
      <c r="CF129">
        <v>1.06861684</v>
      </c>
      <c r="CG129">
        <v>3.8791743</v>
      </c>
      <c r="CH129">
        <v>1.09953632</v>
      </c>
      <c r="CI129">
        <v>4.82387199</v>
      </c>
      <c r="CJ129">
        <v>0.92358521</v>
      </c>
      <c r="CK129">
        <v>3.59319291</v>
      </c>
      <c r="CS129">
        <v>6.275</v>
      </c>
      <c r="CT129">
        <v>0.89052352</v>
      </c>
      <c r="CU129">
        <v>2.54346656</v>
      </c>
      <c r="CV129">
        <v>1.06525715</v>
      </c>
      <c r="CW129">
        <v>3.22627915</v>
      </c>
      <c r="DA129">
        <v>6.275</v>
      </c>
      <c r="DB129">
        <v>1.07039727</v>
      </c>
      <c r="DC129">
        <v>3.07299326</v>
      </c>
      <c r="DD129">
        <v>0.93349598</v>
      </c>
      <c r="DE129">
        <v>4.02887022</v>
      </c>
      <c r="DF129">
        <v>0.89504434</v>
      </c>
      <c r="DG129">
        <v>4.29014473</v>
      </c>
    </row>
    <row r="130" spans="62:111">
      <c r="BJ130">
        <v>6.325</v>
      </c>
      <c r="BK130">
        <v>0.88368424</v>
      </c>
      <c r="BL130">
        <v>0.62174123</v>
      </c>
      <c r="BM130">
        <v>0.72437498</v>
      </c>
      <c r="BN130">
        <v>0.94530046</v>
      </c>
      <c r="BO130">
        <v>0.82192574</v>
      </c>
      <c r="BP130">
        <v>0.88368424</v>
      </c>
      <c r="BQ130">
        <v>0</v>
      </c>
      <c r="CC130">
        <v>6.325</v>
      </c>
      <c r="CD130">
        <v>1.07852991</v>
      </c>
      <c r="CE130">
        <v>4.67430034</v>
      </c>
      <c r="CF130">
        <v>0.97149937</v>
      </c>
      <c r="CG130">
        <v>4.25733507</v>
      </c>
      <c r="CH130">
        <v>1.08763225</v>
      </c>
      <c r="CI130">
        <v>5.05532553</v>
      </c>
      <c r="CJ130">
        <v>0.99967032</v>
      </c>
      <c r="CK130">
        <v>3.6752989</v>
      </c>
      <c r="CS130">
        <v>6.325</v>
      </c>
      <c r="CT130">
        <v>0.98282931</v>
      </c>
      <c r="CU130">
        <v>3.19275836</v>
      </c>
      <c r="CV130">
        <v>0.96935109</v>
      </c>
      <c r="CW130">
        <v>3.42522894</v>
      </c>
      <c r="DA130">
        <v>6.325</v>
      </c>
      <c r="DB130">
        <v>1.03044966</v>
      </c>
      <c r="DC130">
        <v>2.84239581</v>
      </c>
      <c r="DD130">
        <v>0.93053736</v>
      </c>
      <c r="DE130">
        <v>3.96542476</v>
      </c>
      <c r="DF130">
        <v>0.86900437</v>
      </c>
      <c r="DG130">
        <v>4.22258481</v>
      </c>
    </row>
    <row r="131" spans="62:111">
      <c r="BJ131">
        <v>6.375</v>
      </c>
      <c r="BK131">
        <v>0.84158828</v>
      </c>
      <c r="BL131">
        <v>0.93890463</v>
      </c>
      <c r="BM131">
        <v>0.87543614</v>
      </c>
      <c r="BN131">
        <v>0.8523943</v>
      </c>
      <c r="BO131">
        <v>0.78741154</v>
      </c>
      <c r="BP131">
        <v>0.84158828</v>
      </c>
      <c r="BQ131">
        <v>0.18556287</v>
      </c>
      <c r="CC131">
        <v>6.375</v>
      </c>
      <c r="CD131">
        <v>0.98773049</v>
      </c>
      <c r="CE131">
        <v>3.40093566</v>
      </c>
      <c r="CF131">
        <v>1.00637532</v>
      </c>
      <c r="CG131">
        <v>4.05777381</v>
      </c>
      <c r="CH131">
        <v>0.91350486</v>
      </c>
      <c r="CI131">
        <v>4.40473133</v>
      </c>
      <c r="CJ131">
        <v>1.00027141</v>
      </c>
      <c r="CK131">
        <v>3.82265883</v>
      </c>
      <c r="CS131">
        <v>6.375</v>
      </c>
      <c r="CT131">
        <v>0.91089555</v>
      </c>
      <c r="CU131">
        <v>3.5357316</v>
      </c>
      <c r="CV131">
        <v>0.91804008</v>
      </c>
      <c r="CW131">
        <v>3.33658885</v>
      </c>
      <c r="DA131">
        <v>6.375</v>
      </c>
      <c r="DB131">
        <v>0.92910979</v>
      </c>
      <c r="DC131">
        <v>2.83385588</v>
      </c>
      <c r="DD131">
        <v>0.87554384</v>
      </c>
      <c r="DE131">
        <v>3.86698528</v>
      </c>
      <c r="DF131">
        <v>0.86130567</v>
      </c>
      <c r="DG131">
        <v>4.71329688</v>
      </c>
    </row>
    <row r="132" spans="62:111">
      <c r="BJ132">
        <v>6.425</v>
      </c>
      <c r="BK132">
        <v>0.81461561</v>
      </c>
      <c r="BL132">
        <v>0.74632563</v>
      </c>
      <c r="BM132">
        <v>0.82711119</v>
      </c>
      <c r="BN132">
        <v>0.88113811</v>
      </c>
      <c r="BO132">
        <v>0.81787562</v>
      </c>
      <c r="BP132">
        <v>0.81461561</v>
      </c>
      <c r="BQ132">
        <v>0.09134299</v>
      </c>
      <c r="CC132">
        <v>6.425</v>
      </c>
      <c r="CD132">
        <v>1.01141783</v>
      </c>
      <c r="CE132">
        <v>3.21690672</v>
      </c>
      <c r="CF132">
        <v>1.05820773</v>
      </c>
      <c r="CG132">
        <v>3.60192643</v>
      </c>
      <c r="CH132">
        <v>0.96489201</v>
      </c>
      <c r="CI132">
        <v>4.3364423</v>
      </c>
      <c r="CJ132">
        <v>0.99008668</v>
      </c>
      <c r="CK132">
        <v>3.6625888</v>
      </c>
      <c r="CS132">
        <v>6.425</v>
      </c>
      <c r="CT132">
        <v>0.99146378</v>
      </c>
      <c r="CU132">
        <v>3.05898605</v>
      </c>
      <c r="CV132">
        <v>0.83259814</v>
      </c>
      <c r="CW132">
        <v>3.11197247</v>
      </c>
      <c r="DA132">
        <v>6.425</v>
      </c>
      <c r="DB132">
        <v>0.9510697</v>
      </c>
      <c r="DC132">
        <v>3.03712921</v>
      </c>
      <c r="DD132">
        <v>0.87334893</v>
      </c>
      <c r="DE132">
        <v>3.59154078</v>
      </c>
      <c r="DF132">
        <v>0.85374044</v>
      </c>
      <c r="DG132">
        <v>4.16524043</v>
      </c>
    </row>
    <row r="133" spans="62:111">
      <c r="BJ133">
        <v>6.475</v>
      </c>
      <c r="BK133">
        <v>0.82264955</v>
      </c>
      <c r="BL133">
        <v>0.86293599</v>
      </c>
      <c r="BM133">
        <v>0.98547628</v>
      </c>
      <c r="BN133">
        <v>0.87446798</v>
      </c>
      <c r="BO133">
        <v>0.70025493</v>
      </c>
      <c r="BP133">
        <v>0.82264955</v>
      </c>
      <c r="BQ133">
        <v>0.08993774</v>
      </c>
      <c r="CC133">
        <v>6.475</v>
      </c>
      <c r="CD133">
        <v>1.01889828</v>
      </c>
      <c r="CE133">
        <v>2.65028756</v>
      </c>
      <c r="CF133">
        <v>0.96786933</v>
      </c>
      <c r="CG133">
        <v>3.22410298</v>
      </c>
      <c r="CH133">
        <v>1.07396709</v>
      </c>
      <c r="CI133">
        <v>2.90080834</v>
      </c>
      <c r="CJ133">
        <v>0.96699315</v>
      </c>
      <c r="CK133">
        <v>2.84529217</v>
      </c>
      <c r="CS133">
        <v>6.475</v>
      </c>
      <c r="CT133">
        <v>0.94878915</v>
      </c>
      <c r="CU133">
        <v>3.11578517</v>
      </c>
      <c r="CV133">
        <v>0.88450939</v>
      </c>
      <c r="CW133">
        <v>3.57477974</v>
      </c>
      <c r="DA133">
        <v>6.475</v>
      </c>
      <c r="DB133">
        <v>0.96673468</v>
      </c>
      <c r="DC133">
        <v>2.85131647</v>
      </c>
      <c r="DD133">
        <v>0.80389266</v>
      </c>
      <c r="DE133">
        <v>3.71310178</v>
      </c>
      <c r="DF133">
        <v>0.91469356</v>
      </c>
      <c r="DG133">
        <v>3.48958443</v>
      </c>
    </row>
    <row r="134" spans="62:111">
      <c r="BJ134">
        <v>6.525</v>
      </c>
      <c r="BK134">
        <v>1.01936358</v>
      </c>
      <c r="BL134">
        <v>0.95598186</v>
      </c>
      <c r="BM134">
        <v>0.88282277</v>
      </c>
      <c r="BN134">
        <v>0.94926348</v>
      </c>
      <c r="BO134">
        <v>0.63439909</v>
      </c>
      <c r="BP134">
        <v>1.01936358</v>
      </c>
      <c r="BQ134">
        <v>0.17712935</v>
      </c>
      <c r="CC134">
        <v>6.525</v>
      </c>
      <c r="CD134">
        <v>0.97309134</v>
      </c>
      <c r="CE134">
        <v>2.73713453</v>
      </c>
      <c r="CF134">
        <v>0.99835862</v>
      </c>
      <c r="CG134">
        <v>2.60340242</v>
      </c>
      <c r="CH134">
        <v>0.89740998</v>
      </c>
      <c r="CI134">
        <v>2.69604329</v>
      </c>
      <c r="CJ134">
        <v>0.95481075</v>
      </c>
      <c r="CK134">
        <v>2.44347684</v>
      </c>
      <c r="CS134">
        <v>6.525</v>
      </c>
      <c r="CT134">
        <v>0.98020921</v>
      </c>
      <c r="CU134">
        <v>3.13639946</v>
      </c>
      <c r="CV134">
        <v>0.88428322</v>
      </c>
      <c r="CW134">
        <v>3.1849465</v>
      </c>
      <c r="DA134">
        <v>6.525</v>
      </c>
      <c r="DB134">
        <v>0.94112694</v>
      </c>
      <c r="DC134">
        <v>2.80778577</v>
      </c>
      <c r="DD134">
        <v>0.86885092</v>
      </c>
      <c r="DE134">
        <v>3.09924641</v>
      </c>
      <c r="DF134">
        <v>0.95404323</v>
      </c>
      <c r="DG134">
        <v>2.94034719</v>
      </c>
    </row>
    <row r="135" spans="62:111">
      <c r="BJ135">
        <v>6.575</v>
      </c>
      <c r="BK135">
        <v>0.83105875</v>
      </c>
      <c r="BL135">
        <v>0.94149756</v>
      </c>
      <c r="BM135">
        <v>1.02873491</v>
      </c>
      <c r="BN135">
        <v>0.91484781</v>
      </c>
      <c r="BO135">
        <v>0.87606027</v>
      </c>
      <c r="BP135">
        <v>0.83105875</v>
      </c>
      <c r="BQ135">
        <v>0.17444562</v>
      </c>
      <c r="CC135">
        <v>6.575</v>
      </c>
      <c r="CD135">
        <v>1.08993444</v>
      </c>
      <c r="CE135">
        <v>2.50759404</v>
      </c>
      <c r="CF135">
        <v>0.96341902</v>
      </c>
      <c r="CG135">
        <v>2.50142213</v>
      </c>
      <c r="CH135">
        <v>0.98646563</v>
      </c>
      <c r="CI135">
        <v>2.46553815</v>
      </c>
      <c r="CJ135">
        <v>1.04708598</v>
      </c>
      <c r="CK135">
        <v>1.44387311</v>
      </c>
      <c r="CS135">
        <v>6.575</v>
      </c>
      <c r="CT135">
        <v>0.9307858</v>
      </c>
      <c r="CU135">
        <v>2.65240711</v>
      </c>
      <c r="CV135">
        <v>0.94149756</v>
      </c>
      <c r="CW135">
        <v>2.7404771</v>
      </c>
      <c r="DA135">
        <v>6.575</v>
      </c>
      <c r="DB135">
        <v>1.01501363</v>
      </c>
      <c r="DC135">
        <v>2.6640769</v>
      </c>
      <c r="DD135">
        <v>0.89100083</v>
      </c>
      <c r="DE135">
        <v>2.88081213</v>
      </c>
      <c r="DF135">
        <v>0.95893277</v>
      </c>
      <c r="DG135">
        <v>2.72135171</v>
      </c>
    </row>
    <row r="136" spans="62:111">
      <c r="BJ136">
        <v>6.625</v>
      </c>
      <c r="BK136">
        <v>1.02156521</v>
      </c>
      <c r="BL136">
        <v>0.86294136</v>
      </c>
      <c r="BM136">
        <v>1.09824907</v>
      </c>
      <c r="BN136">
        <v>0.89451366</v>
      </c>
      <c r="BO136">
        <v>0.80268528</v>
      </c>
      <c r="BP136">
        <v>1.02156521</v>
      </c>
      <c r="BQ136">
        <v>0.08591122</v>
      </c>
      <c r="CC136">
        <v>6.625</v>
      </c>
      <c r="CD136">
        <v>1.04175414</v>
      </c>
      <c r="CE136">
        <v>1.94503567</v>
      </c>
      <c r="CF136">
        <v>0.94893179</v>
      </c>
      <c r="CG136">
        <v>1.63227245</v>
      </c>
      <c r="CH136">
        <v>0.942039</v>
      </c>
      <c r="CI136">
        <v>1.99258511</v>
      </c>
      <c r="CJ136">
        <v>1.03885038</v>
      </c>
      <c r="CK136">
        <v>1.86461128</v>
      </c>
      <c r="CS136">
        <v>6.625</v>
      </c>
      <c r="CT136">
        <v>0.96131905</v>
      </c>
      <c r="CU136">
        <v>2.21568326</v>
      </c>
      <c r="CV136">
        <v>0.84233381</v>
      </c>
      <c r="CW136">
        <v>2.30901213</v>
      </c>
      <c r="DA136">
        <v>6.625</v>
      </c>
      <c r="DB136">
        <v>0.96817949</v>
      </c>
      <c r="DC136">
        <v>2.32507778</v>
      </c>
      <c r="DD136">
        <v>0.77860472</v>
      </c>
      <c r="DE136">
        <v>1.99300066</v>
      </c>
      <c r="DF136">
        <v>0.88735227</v>
      </c>
      <c r="DG136">
        <v>1.99314019</v>
      </c>
    </row>
    <row r="137" spans="62:111">
      <c r="BJ137">
        <v>6.675</v>
      </c>
      <c r="BK137">
        <v>1.07082583</v>
      </c>
      <c r="BL137">
        <v>0.85640563</v>
      </c>
      <c r="BM137">
        <v>0.90798763</v>
      </c>
      <c r="BN137">
        <v>0.92651693</v>
      </c>
      <c r="BO137">
        <v>0.89613248</v>
      </c>
      <c r="BP137">
        <v>1.07082583</v>
      </c>
      <c r="BQ137">
        <v>0.16925796</v>
      </c>
      <c r="CC137">
        <v>6.675</v>
      </c>
      <c r="CD137">
        <v>0.98284505</v>
      </c>
      <c r="CE137">
        <v>1.33816281</v>
      </c>
      <c r="CF137">
        <v>0.94438091</v>
      </c>
      <c r="CG137">
        <v>1.60791063</v>
      </c>
      <c r="CH137">
        <v>0.94741309</v>
      </c>
      <c r="CI137">
        <v>1.90150666</v>
      </c>
      <c r="CJ137">
        <v>0.94690277</v>
      </c>
      <c r="CK137">
        <v>1.52546283</v>
      </c>
      <c r="CS137">
        <v>6.675</v>
      </c>
      <c r="CT137">
        <v>0.99083643</v>
      </c>
      <c r="CU137">
        <v>2.4432246</v>
      </c>
      <c r="CV137">
        <v>0.9693243</v>
      </c>
      <c r="CW137">
        <v>2.33862174</v>
      </c>
      <c r="DA137">
        <v>6.675</v>
      </c>
      <c r="DB137">
        <v>0.86820468</v>
      </c>
      <c r="DC137">
        <v>2.32309543</v>
      </c>
      <c r="DD137">
        <v>0.83551175</v>
      </c>
      <c r="DE137">
        <v>2.16290798</v>
      </c>
      <c r="DF137">
        <v>0.87142714</v>
      </c>
      <c r="DG137">
        <v>1.59102486</v>
      </c>
    </row>
    <row r="138" spans="62:111">
      <c r="BJ138">
        <v>6.725</v>
      </c>
      <c r="BK138">
        <v>1.04225165</v>
      </c>
      <c r="BL138">
        <v>0.95621415</v>
      </c>
      <c r="BM138">
        <v>1.05314192</v>
      </c>
      <c r="BN138">
        <v>0.90640786</v>
      </c>
      <c r="BO138">
        <v>0.9607558</v>
      </c>
      <c r="BP138">
        <v>1.04225165</v>
      </c>
      <c r="BQ138">
        <v>0</v>
      </c>
      <c r="CC138">
        <v>6.725</v>
      </c>
      <c r="CD138">
        <v>0.97777764</v>
      </c>
      <c r="CE138">
        <v>1.37826302</v>
      </c>
      <c r="CF138">
        <v>0.9564318</v>
      </c>
      <c r="CG138">
        <v>1.58409017</v>
      </c>
      <c r="CH138">
        <v>0.9238045</v>
      </c>
      <c r="CI138">
        <v>1.54097052</v>
      </c>
      <c r="CJ138">
        <v>0.88185825</v>
      </c>
      <c r="CK138">
        <v>1.01213276</v>
      </c>
      <c r="CS138">
        <v>6.725</v>
      </c>
      <c r="CT138">
        <v>0.90497948</v>
      </c>
      <c r="CU138">
        <v>1.9577172</v>
      </c>
      <c r="CV138">
        <v>0.95746411</v>
      </c>
      <c r="CW138">
        <v>2.2408535</v>
      </c>
      <c r="DA138">
        <v>6.725</v>
      </c>
      <c r="DB138">
        <v>1.03151767</v>
      </c>
      <c r="DC138">
        <v>2.44985448</v>
      </c>
      <c r="DD138">
        <v>0.83611721</v>
      </c>
      <c r="DE138">
        <v>1.60634476</v>
      </c>
      <c r="DF138">
        <v>0.91663237</v>
      </c>
      <c r="DG138">
        <v>1.46740427</v>
      </c>
    </row>
    <row r="139" spans="62:111">
      <c r="BJ139">
        <v>6.775</v>
      </c>
      <c r="BK139">
        <v>1.13963595</v>
      </c>
      <c r="BL139">
        <v>1.03452032</v>
      </c>
      <c r="BM139">
        <v>1.10641508</v>
      </c>
      <c r="BN139">
        <v>1.11949286</v>
      </c>
      <c r="BO139">
        <v>0.8634776</v>
      </c>
      <c r="BP139">
        <v>1.13963595</v>
      </c>
      <c r="BQ139">
        <v>0.08214916</v>
      </c>
      <c r="CC139">
        <v>6.775</v>
      </c>
      <c r="CD139">
        <v>0.92130858</v>
      </c>
      <c r="CE139">
        <v>1.00373529</v>
      </c>
      <c r="CF139">
        <v>0.91670838</v>
      </c>
      <c r="CG139">
        <v>0.91291792</v>
      </c>
      <c r="CH139">
        <v>0.97388758</v>
      </c>
      <c r="CI139">
        <v>1.16106028</v>
      </c>
      <c r="CJ139">
        <v>0.99814634</v>
      </c>
      <c r="CK139">
        <v>0.7252718</v>
      </c>
      <c r="CS139">
        <v>6.775</v>
      </c>
      <c r="CT139">
        <v>0.96931673</v>
      </c>
      <c r="CU139">
        <v>1.86568423</v>
      </c>
      <c r="CV139">
        <v>0.92860515</v>
      </c>
      <c r="CW139">
        <v>1.71034535</v>
      </c>
      <c r="DA139">
        <v>6.775</v>
      </c>
      <c r="DB139">
        <v>1.01634857</v>
      </c>
      <c r="DC139">
        <v>1.42924018</v>
      </c>
      <c r="DD139">
        <v>0.90057516</v>
      </c>
      <c r="DE139">
        <v>1.77652522</v>
      </c>
      <c r="DF139">
        <v>0.95260489</v>
      </c>
      <c r="DG139">
        <v>1.44582519</v>
      </c>
    </row>
    <row r="140" spans="62:111">
      <c r="BJ140">
        <v>6.825</v>
      </c>
      <c r="BK140">
        <v>0.98108174</v>
      </c>
      <c r="BL140">
        <v>0.95267049</v>
      </c>
      <c r="BM140">
        <v>0.96706972</v>
      </c>
      <c r="BN140">
        <v>0.88004116</v>
      </c>
      <c r="BO140">
        <v>0.81935853</v>
      </c>
      <c r="BP140">
        <v>0.98108174</v>
      </c>
      <c r="BQ140">
        <v>0.08094992</v>
      </c>
      <c r="CC140">
        <v>6.825</v>
      </c>
      <c r="CD140">
        <v>0.896338</v>
      </c>
      <c r="CE140">
        <v>0.63999455</v>
      </c>
      <c r="CF140">
        <v>0.96538658</v>
      </c>
      <c r="CG140">
        <v>0.75449558</v>
      </c>
      <c r="CH140">
        <v>0.98523073</v>
      </c>
      <c r="CI140">
        <v>0.55738731</v>
      </c>
      <c r="CJ140">
        <v>0.96706427</v>
      </c>
      <c r="CK140">
        <v>0.8635766</v>
      </c>
      <c r="CS140">
        <v>6.825</v>
      </c>
      <c r="CT140">
        <v>0.99959271</v>
      </c>
      <c r="CU140">
        <v>2.02540931</v>
      </c>
      <c r="CV140">
        <v>0.98301032</v>
      </c>
      <c r="CW140">
        <v>1.89987981</v>
      </c>
      <c r="DA140">
        <v>6.825</v>
      </c>
      <c r="DB140">
        <v>0.97424275</v>
      </c>
      <c r="DC140">
        <v>1.37707849</v>
      </c>
      <c r="DD140">
        <v>0.93280817</v>
      </c>
      <c r="DE140">
        <v>1.52778852</v>
      </c>
      <c r="DF140">
        <v>0.9797345</v>
      </c>
      <c r="DG140">
        <v>0.97139906</v>
      </c>
    </row>
    <row r="141" spans="62:111">
      <c r="BJ141">
        <v>6.875</v>
      </c>
      <c r="BK141">
        <v>1.02767243</v>
      </c>
      <c r="BL141">
        <v>1.01062422</v>
      </c>
      <c r="BM141">
        <v>0.92270242</v>
      </c>
      <c r="BN141">
        <v>1.12380872</v>
      </c>
      <c r="BO141">
        <v>0.74536982</v>
      </c>
      <c r="BP141">
        <v>1.02767243</v>
      </c>
      <c r="BQ141">
        <v>0.07977676</v>
      </c>
      <c r="CC141">
        <v>6.875</v>
      </c>
      <c r="CD141">
        <v>0.93557662</v>
      </c>
      <c r="CE141">
        <v>0.45870504</v>
      </c>
      <c r="CF141">
        <v>0.90835639</v>
      </c>
      <c r="CG141">
        <v>0.68636405</v>
      </c>
      <c r="CH141">
        <v>1.00072204</v>
      </c>
      <c r="CI141">
        <v>0.5782204</v>
      </c>
      <c r="CJ141">
        <v>1.01813537</v>
      </c>
      <c r="CK141">
        <v>0.70432652</v>
      </c>
      <c r="CS141">
        <v>6.875</v>
      </c>
      <c r="CT141">
        <v>0.96321487</v>
      </c>
      <c r="CU141">
        <v>2.05747318</v>
      </c>
      <c r="CV141">
        <v>0.87069163</v>
      </c>
      <c r="CW141">
        <v>1.32876154</v>
      </c>
      <c r="DA141">
        <v>6.875</v>
      </c>
      <c r="DB141">
        <v>0.9821111</v>
      </c>
      <c r="DC141">
        <v>1.48049584</v>
      </c>
      <c r="DD141">
        <v>0.94413511</v>
      </c>
      <c r="DE141">
        <v>1.85069116</v>
      </c>
      <c r="DF141">
        <v>0.93267716</v>
      </c>
      <c r="DG141">
        <v>1.5317137</v>
      </c>
    </row>
    <row r="142" spans="62:111">
      <c r="BJ142">
        <v>6.925</v>
      </c>
      <c r="BK142">
        <v>1.08480694</v>
      </c>
      <c r="BL142">
        <v>0.88409744</v>
      </c>
      <c r="BM142">
        <v>0.81968033</v>
      </c>
      <c r="BN142">
        <v>0.95112487</v>
      </c>
      <c r="BO142">
        <v>0.75913344</v>
      </c>
      <c r="BP142">
        <v>1.08480694</v>
      </c>
      <c r="BQ142">
        <v>0.15725782</v>
      </c>
      <c r="CC142">
        <v>6.925</v>
      </c>
      <c r="CD142">
        <v>0.94225861</v>
      </c>
      <c r="CE142">
        <v>0.36733538</v>
      </c>
      <c r="CF142">
        <v>0.9310089</v>
      </c>
      <c r="CG142">
        <v>0.45099232</v>
      </c>
      <c r="CH142">
        <v>0.97052418</v>
      </c>
      <c r="CI142">
        <v>0.4844157</v>
      </c>
      <c r="CJ142">
        <v>0.98744875</v>
      </c>
      <c r="CK142">
        <v>0.57849375</v>
      </c>
      <c r="CS142">
        <v>6.925</v>
      </c>
      <c r="CT142">
        <v>0.903806</v>
      </c>
      <c r="CU142">
        <v>1.51333565</v>
      </c>
      <c r="CV142">
        <v>0.99018913</v>
      </c>
      <c r="CW142">
        <v>1.57752453</v>
      </c>
      <c r="DA142">
        <v>6.925</v>
      </c>
      <c r="DB142">
        <v>0.99446727</v>
      </c>
      <c r="DC142">
        <v>1.45919411</v>
      </c>
      <c r="DD142">
        <v>0.94524357</v>
      </c>
      <c r="DE142">
        <v>1.20573654</v>
      </c>
      <c r="DF142">
        <v>0.94666092</v>
      </c>
      <c r="DG142">
        <v>1.00645003</v>
      </c>
    </row>
    <row r="143" spans="62:111">
      <c r="BJ143">
        <v>6.975</v>
      </c>
      <c r="BK143">
        <v>1.09294112</v>
      </c>
      <c r="BL143">
        <v>0.8307992</v>
      </c>
      <c r="BM143">
        <v>0.87284438</v>
      </c>
      <c r="BN143">
        <v>0.93160383</v>
      </c>
      <c r="BO143">
        <v>0.83880768</v>
      </c>
      <c r="BP143">
        <v>1.09294112</v>
      </c>
      <c r="BQ143">
        <v>0.15501131</v>
      </c>
      <c r="CC143">
        <v>6.975</v>
      </c>
      <c r="CD143">
        <v>0.96630291</v>
      </c>
      <c r="CE143">
        <v>0.44564655</v>
      </c>
      <c r="CF143">
        <v>0.94631864</v>
      </c>
      <c r="CG143">
        <v>0.47233404</v>
      </c>
      <c r="CH143">
        <v>0.94108625</v>
      </c>
      <c r="CI143">
        <v>0.42131964</v>
      </c>
      <c r="CJ143">
        <v>0.89655917</v>
      </c>
      <c r="CK143">
        <v>0.39916079</v>
      </c>
      <c r="CS143">
        <v>6.975</v>
      </c>
      <c r="CT143">
        <v>1.10121203</v>
      </c>
      <c r="CU143">
        <v>1.70055731</v>
      </c>
      <c r="CV143">
        <v>0.93653728</v>
      </c>
      <c r="CW143">
        <v>1.29093414</v>
      </c>
      <c r="DA143">
        <v>6.975</v>
      </c>
      <c r="DB143">
        <v>1.01349002</v>
      </c>
      <c r="DC143">
        <v>1.37841764</v>
      </c>
      <c r="DD143">
        <v>0.92691266</v>
      </c>
      <c r="DE143">
        <v>1.24946136</v>
      </c>
      <c r="DF143">
        <v>1.02645116</v>
      </c>
      <c r="DG143">
        <v>1.17808599</v>
      </c>
    </row>
    <row r="148" spans="82:111">
      <c r="CD148">
        <f>MAX(CD4:CD143)</f>
        <v>12.90461076</v>
      </c>
      <c r="CE148">
        <f t="shared" ref="CE148:DG148" si="54">MAX(CE4:CE143)</f>
        <v>89.95184432</v>
      </c>
      <c r="CF148">
        <f t="shared" si="54"/>
        <v>13.06498089</v>
      </c>
      <c r="CG148">
        <f t="shared" si="54"/>
        <v>92.28375253</v>
      </c>
      <c r="CH148">
        <f t="shared" si="54"/>
        <v>13.05572474</v>
      </c>
      <c r="CI148">
        <f t="shared" si="54"/>
        <v>95.87341492</v>
      </c>
      <c r="CJ148">
        <f t="shared" si="54"/>
        <v>11.80144977</v>
      </c>
      <c r="CK148">
        <f t="shared" si="54"/>
        <v>93.95025411</v>
      </c>
      <c r="CM148">
        <f t="shared" si="54"/>
        <v>12.5863036</v>
      </c>
      <c r="CN148">
        <f t="shared" si="54"/>
        <v>79.81270666</v>
      </c>
      <c r="CP148">
        <f t="shared" si="54"/>
        <v>1.87584913</v>
      </c>
      <c r="CQ148">
        <f t="shared" si="54"/>
        <v>88.44365581</v>
      </c>
      <c r="CR148">
        <f t="shared" si="54"/>
        <v>0</v>
      </c>
      <c r="CS148">
        <f t="shared" si="54"/>
        <v>6.975</v>
      </c>
      <c r="CT148">
        <f t="shared" si="54"/>
        <v>15.23731553</v>
      </c>
      <c r="CU148">
        <f t="shared" si="54"/>
        <v>105.75102375</v>
      </c>
      <c r="CV148">
        <f t="shared" si="54"/>
        <v>13.36283277</v>
      </c>
      <c r="CW148">
        <f t="shared" si="54"/>
        <v>95.13772517</v>
      </c>
      <c r="CX148">
        <f t="shared" si="54"/>
        <v>6.93</v>
      </c>
      <c r="CY148">
        <f t="shared" si="54"/>
        <v>13.53078286</v>
      </c>
      <c r="CZ148">
        <f t="shared" si="54"/>
        <v>89.56974013</v>
      </c>
      <c r="DA148">
        <f t="shared" si="54"/>
        <v>6.975</v>
      </c>
      <c r="DB148">
        <f t="shared" si="54"/>
        <v>13.67919445</v>
      </c>
      <c r="DC148">
        <f t="shared" si="54"/>
        <v>92.84091087</v>
      </c>
      <c r="DD148">
        <f t="shared" si="54"/>
        <v>12.28289216</v>
      </c>
      <c r="DE148">
        <f t="shared" si="54"/>
        <v>115.22212015</v>
      </c>
      <c r="DF148">
        <f t="shared" si="54"/>
        <v>13.95899994</v>
      </c>
      <c r="DG148">
        <f t="shared" si="54"/>
        <v>85.06366334</v>
      </c>
    </row>
  </sheetData>
  <mergeCells count="13">
    <mergeCell ref="O1:AA1"/>
    <mergeCell ref="AC1:AO1"/>
    <mergeCell ref="AS1:BB1"/>
    <mergeCell ref="BC1:BE1"/>
    <mergeCell ref="BJ1:BP1"/>
    <mergeCell ref="BT1:BW1"/>
    <mergeCell ref="DO1:DR1"/>
    <mergeCell ref="A3:K3"/>
    <mergeCell ref="DN11:DR11"/>
    <mergeCell ref="AS20:BB20"/>
    <mergeCell ref="BC20:BE20"/>
    <mergeCell ref="BG3:BG8"/>
    <mergeCell ref="BG22:BG27"/>
  </mergeCells>
  <pageMargins left="0.7" right="0.7" top="0.75" bottom="0.75" header="0.3" footer="0.3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D1:DQ1006"/>
  <sheetViews>
    <sheetView zoomScale="85" zoomScaleNormal="85" workbookViewId="0">
      <selection activeCell="D2" sqref="D2:P8"/>
    </sheetView>
  </sheetViews>
  <sheetFormatPr defaultColWidth="9" defaultRowHeight="13.8"/>
  <cols>
    <col min="4" max="5" width="13.3796296296296" customWidth="1"/>
    <col min="14" max="14" width="14.3796296296296" customWidth="1"/>
    <col min="15" max="15" width="20.6296296296296" customWidth="1"/>
    <col min="16" max="18" width="18.3796296296296" customWidth="1"/>
    <col min="49" max="49" width="13.75" customWidth="1"/>
  </cols>
  <sheetData>
    <row r="1" spans="4:121">
      <c r="T1" s="2" t="s">
        <v>152</v>
      </c>
      <c r="U1" s="2"/>
      <c r="V1" s="2"/>
      <c r="W1" s="2"/>
      <c r="X1" s="2"/>
      <c r="Y1" s="2"/>
      <c r="Z1" s="2"/>
      <c r="AA1" s="2"/>
      <c r="AB1" s="2"/>
      <c r="AC1" s="2"/>
      <c r="AE1" s="11" t="s">
        <v>153</v>
      </c>
      <c r="AF1" s="11" t="s">
        <v>154</v>
      </c>
      <c r="AG1" s="11"/>
      <c r="AH1" s="11"/>
      <c r="AI1" s="11"/>
      <c r="AJ1" s="11"/>
      <c r="AN1" s="4" t="s">
        <v>155</v>
      </c>
      <c r="AO1" s="4" t="s">
        <v>155</v>
      </c>
      <c r="AP1" s="4" t="s">
        <v>155</v>
      </c>
      <c r="AQ1" s="4" t="s">
        <v>155</v>
      </c>
      <c r="AR1" s="4" t="s">
        <v>155</v>
      </c>
      <c r="AS1" s="4"/>
      <c r="AT1" s="4"/>
      <c r="AU1" s="4"/>
      <c r="AW1" s="2" t="s">
        <v>156</v>
      </c>
      <c r="AX1" s="2"/>
      <c r="AY1" s="2"/>
      <c r="AZ1" s="2"/>
      <c r="BF1" s="4" t="s">
        <v>157</v>
      </c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CB1" t="s">
        <v>158</v>
      </c>
      <c r="CC1" s="11"/>
      <c r="CD1" s="11"/>
      <c r="CE1" s="11"/>
      <c r="CF1" s="11"/>
      <c r="CG1" s="11"/>
      <c r="CK1" s="13" t="s">
        <v>102</v>
      </c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DB1" t="s">
        <v>73</v>
      </c>
      <c r="DC1" s="6" t="s">
        <v>63</v>
      </c>
      <c r="DD1" s="6"/>
      <c r="DE1" s="6"/>
      <c r="DF1" s="6"/>
      <c r="DG1" s="6"/>
      <c r="DH1" s="6"/>
      <c r="DI1" s="6"/>
      <c r="DJ1" s="6"/>
      <c r="DK1" s="6"/>
      <c r="DL1" s="6"/>
      <c r="DM1" s="7" t="s">
        <v>64</v>
      </c>
      <c r="DN1" s="7"/>
      <c r="DO1" s="7"/>
    </row>
    <row r="2" spans="4:121">
      <c r="D2" s="5" t="s">
        <v>159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T2">
        <v>0.499</v>
      </c>
      <c r="U2">
        <v>1.04538855700302</v>
      </c>
      <c r="V2">
        <v>0.499</v>
      </c>
      <c r="W2">
        <v>1.03450232000942</v>
      </c>
      <c r="X2">
        <v>0.499</v>
      </c>
      <c r="Y2">
        <v>1.04716726308586</v>
      </c>
      <c r="Z2">
        <v>0.499</v>
      </c>
      <c r="AA2">
        <v>1.0343442173036</v>
      </c>
      <c r="AB2">
        <v>0.499</v>
      </c>
      <c r="AC2">
        <v>1.05060939832503</v>
      </c>
      <c r="AE2">
        <v>0.499</v>
      </c>
      <c r="AF2">
        <v>-1660.01076328734</v>
      </c>
      <c r="AG2">
        <v>-1787.97615883096</v>
      </c>
      <c r="AH2">
        <v>-1650.17137077781</v>
      </c>
      <c r="AI2">
        <v>-1685.74833895777</v>
      </c>
      <c r="AJ2">
        <v>-1824.07951165753</v>
      </c>
      <c r="AM2">
        <v>0</v>
      </c>
      <c r="AN2">
        <v>5.34508306</v>
      </c>
      <c r="AO2">
        <v>5.8807556</v>
      </c>
      <c r="AP2">
        <v>4.98859169</v>
      </c>
      <c r="AQ2">
        <v>4.6808649</v>
      </c>
      <c r="AR2">
        <v>4.59403641</v>
      </c>
      <c r="AS2" t="s">
        <v>160</v>
      </c>
      <c r="AT2" t="s">
        <v>161</v>
      </c>
      <c r="AU2" t="s">
        <v>132</v>
      </c>
      <c r="AX2" t="s">
        <v>79</v>
      </c>
      <c r="AY2" t="s">
        <v>162</v>
      </c>
      <c r="AZ2" t="s">
        <v>163</v>
      </c>
      <c r="BA2" t="s">
        <v>164</v>
      </c>
      <c r="BB2" t="s">
        <v>4</v>
      </c>
      <c r="BF2">
        <v>30</v>
      </c>
      <c r="BG2" t="s">
        <v>165</v>
      </c>
      <c r="BI2" t="s">
        <v>166</v>
      </c>
      <c r="BJ2">
        <v>50</v>
      </c>
      <c r="BK2" t="s">
        <v>165</v>
      </c>
      <c r="BM2" t="s">
        <v>166</v>
      </c>
      <c r="BN2">
        <v>60</v>
      </c>
      <c r="BO2" t="s">
        <v>165</v>
      </c>
      <c r="BQ2" t="s">
        <v>166</v>
      </c>
      <c r="BR2">
        <v>100</v>
      </c>
      <c r="BS2" t="s">
        <v>165</v>
      </c>
      <c r="BU2" t="s">
        <v>166</v>
      </c>
      <c r="BV2">
        <v>200</v>
      </c>
      <c r="BW2" t="s">
        <v>165</v>
      </c>
      <c r="BY2" t="s">
        <v>166</v>
      </c>
      <c r="CK2">
        <v>30</v>
      </c>
      <c r="CL2" t="s">
        <v>70</v>
      </c>
      <c r="CM2" t="s">
        <v>64</v>
      </c>
      <c r="CN2">
        <v>50</v>
      </c>
      <c r="CQ2">
        <v>60</v>
      </c>
      <c r="CT2">
        <v>100</v>
      </c>
      <c r="CW2">
        <v>200</v>
      </c>
      <c r="DB2" t="s">
        <v>43</v>
      </c>
      <c r="DC2" t="s">
        <v>80</v>
      </c>
      <c r="DD2" t="s">
        <v>81</v>
      </c>
      <c r="DE2" t="s">
        <v>82</v>
      </c>
      <c r="DF2" t="s">
        <v>83</v>
      </c>
      <c r="DG2" t="s">
        <v>84</v>
      </c>
      <c r="DH2" t="s">
        <v>85</v>
      </c>
      <c r="DI2" t="s">
        <v>86</v>
      </c>
      <c r="DJ2" t="s">
        <v>87</v>
      </c>
      <c r="DK2" t="s">
        <v>88</v>
      </c>
      <c r="DL2" t="s">
        <v>89</v>
      </c>
      <c r="DM2" t="s">
        <v>80</v>
      </c>
      <c r="DN2" t="s">
        <v>81</v>
      </c>
      <c r="DO2" t="s">
        <v>82</v>
      </c>
      <c r="DP2" t="s">
        <v>90</v>
      </c>
    </row>
    <row r="3" spans="4:121">
      <c r="D3" s="5" t="s">
        <v>167</v>
      </c>
      <c r="E3" s="5" t="s">
        <v>168</v>
      </c>
      <c r="F3" s="5" t="s">
        <v>69</v>
      </c>
      <c r="G3" s="5" t="s">
        <v>20</v>
      </c>
      <c r="H3" s="5" t="s">
        <v>42</v>
      </c>
      <c r="I3" s="5" t="s">
        <v>70</v>
      </c>
      <c r="J3" s="5" t="s">
        <v>43</v>
      </c>
      <c r="K3" s="5" t="s">
        <v>21</v>
      </c>
      <c r="L3" s="5" t="s">
        <v>14</v>
      </c>
      <c r="M3" s="5" t="s">
        <v>22</v>
      </c>
      <c r="N3" s="5" t="s">
        <v>7</v>
      </c>
      <c r="O3" s="5" t="s">
        <v>44</v>
      </c>
      <c r="P3" s="8" t="s">
        <v>71</v>
      </c>
      <c r="Q3" s="8" t="s">
        <v>169</v>
      </c>
      <c r="R3" s="8"/>
      <c r="T3">
        <v>0.998</v>
      </c>
      <c r="U3">
        <v>1.05163765630786</v>
      </c>
      <c r="V3">
        <v>0.998</v>
      </c>
      <c r="W3">
        <v>1.04734520360438</v>
      </c>
      <c r="X3">
        <v>0.998</v>
      </c>
      <c r="Y3">
        <v>1.05237581164914</v>
      </c>
      <c r="Z3">
        <v>0.998</v>
      </c>
      <c r="AA3">
        <v>1.04595403432044</v>
      </c>
      <c r="AB3">
        <v>0.998</v>
      </c>
      <c r="AC3">
        <v>1.06046785115801</v>
      </c>
      <c r="AE3">
        <v>0.998</v>
      </c>
      <c r="AF3">
        <v>-1700.60494698976</v>
      </c>
      <c r="AG3">
        <v>-1782.8570740813</v>
      </c>
      <c r="AH3">
        <v>-1586.77903716092</v>
      </c>
      <c r="AI3">
        <v>-1769.36191577968</v>
      </c>
      <c r="AJ3">
        <v>-1751.78110953262</v>
      </c>
      <c r="AM3">
        <v>5</v>
      </c>
      <c r="AN3">
        <v>5.23896811</v>
      </c>
      <c r="AO3">
        <v>5.76536251</v>
      </c>
      <c r="AP3">
        <v>4.8682948</v>
      </c>
      <c r="AQ3">
        <v>4.6192736</v>
      </c>
      <c r="AR3">
        <v>4.51500863</v>
      </c>
      <c r="AS3">
        <v>30</v>
      </c>
      <c r="AT3">
        <v>5.23719049952381</v>
      </c>
      <c r="AU3">
        <v>0.0104967119274376</v>
      </c>
      <c r="AW3">
        <v>30</v>
      </c>
      <c r="AX3">
        <v>-6161.212507</v>
      </c>
      <c r="AY3">
        <v>1864.552415</v>
      </c>
      <c r="AZ3">
        <v>-379.57253</v>
      </c>
      <c r="BA3">
        <v>-5666.965736</v>
      </c>
      <c r="BB3">
        <f>AX3-AY3-AZ3-BA3</f>
        <v>-1979.226656</v>
      </c>
      <c r="BF3" t="s">
        <v>104</v>
      </c>
      <c r="BG3" t="s">
        <v>105</v>
      </c>
      <c r="BH3" t="s">
        <v>104</v>
      </c>
      <c r="BI3" t="s">
        <v>105</v>
      </c>
      <c r="BJ3" t="s">
        <v>104</v>
      </c>
      <c r="BK3" t="s">
        <v>105</v>
      </c>
      <c r="BL3" t="s">
        <v>104</v>
      </c>
      <c r="BM3" t="s">
        <v>105</v>
      </c>
      <c r="BN3" t="s">
        <v>104</v>
      </c>
      <c r="BO3" t="s">
        <v>105</v>
      </c>
      <c r="BP3" t="s">
        <v>104</v>
      </c>
      <c r="BQ3" t="s">
        <v>105</v>
      </c>
      <c r="BR3" t="s">
        <v>104</v>
      </c>
      <c r="BS3" t="s">
        <v>105</v>
      </c>
      <c r="BT3" t="s">
        <v>104</v>
      </c>
      <c r="BU3" t="s">
        <v>105</v>
      </c>
      <c r="BV3" t="s">
        <v>104</v>
      </c>
      <c r="BW3" t="s">
        <v>105</v>
      </c>
      <c r="BX3" t="s">
        <v>104</v>
      </c>
      <c r="BY3" t="s">
        <v>105</v>
      </c>
      <c r="CB3" t="s">
        <v>104</v>
      </c>
      <c r="CC3" t="s">
        <v>105</v>
      </c>
      <c r="CD3" t="s">
        <v>105</v>
      </c>
      <c r="CE3" t="s">
        <v>105</v>
      </c>
      <c r="CF3" t="s">
        <v>105</v>
      </c>
      <c r="CG3" t="s">
        <v>105</v>
      </c>
      <c r="CK3" t="s">
        <v>99</v>
      </c>
      <c r="CL3" t="s">
        <v>102</v>
      </c>
      <c r="CM3" t="s">
        <v>102</v>
      </c>
      <c r="CN3" t="s">
        <v>99</v>
      </c>
      <c r="CO3" t="s">
        <v>102</v>
      </c>
      <c r="CP3" t="s">
        <v>102</v>
      </c>
      <c r="CQ3" t="s">
        <v>99</v>
      </c>
      <c r="CR3" t="s">
        <v>102</v>
      </c>
      <c r="CS3" t="s">
        <v>102</v>
      </c>
      <c r="CT3" t="s">
        <v>99</v>
      </c>
      <c r="CU3" t="s">
        <v>102</v>
      </c>
      <c r="CV3" t="s">
        <v>102</v>
      </c>
      <c r="CW3" t="s">
        <v>99</v>
      </c>
      <c r="CX3" t="s">
        <v>102</v>
      </c>
      <c r="CY3" t="s">
        <v>102</v>
      </c>
      <c r="DB3">
        <v>30</v>
      </c>
      <c r="DC3">
        <v>0.001551</v>
      </c>
      <c r="DD3">
        <f>DC3/6*10000</f>
        <v>2.585</v>
      </c>
      <c r="DE3">
        <v>0.8783</v>
      </c>
      <c r="DF3">
        <v>10</v>
      </c>
      <c r="DG3" s="5">
        <v>34.909066</v>
      </c>
      <c r="DH3" s="5">
        <f>DG3^3*10^-30</f>
        <v>4.25416850422648e-26</v>
      </c>
      <c r="DI3" s="5">
        <f>DF3/DH3</f>
        <v>2.35063561541229e+26</v>
      </c>
      <c r="DJ3" s="9">
        <v>2.567e-38</v>
      </c>
      <c r="DK3" s="5">
        <f>1.3806E-23*298</f>
        <v>4.114188e-21</v>
      </c>
      <c r="DL3" s="10">
        <f>DI3*DJ3*DD3/DK3*0.00000000000001</f>
        <v>3.79129514742964e-5</v>
      </c>
      <c r="DM3">
        <v>0.0123</v>
      </c>
      <c r="DN3">
        <f>DM3/6*10000</f>
        <v>20.5</v>
      </c>
      <c r="DO3">
        <v>0.9886</v>
      </c>
      <c r="DP3">
        <f>DD3/(DD3+DN3)</f>
        <v>0.111977474550574</v>
      </c>
      <c r="DQ3" s="5" t="s">
        <v>170</v>
      </c>
    </row>
    <row r="4" spans="4:121">
      <c r="D4" s="5">
        <v>30</v>
      </c>
      <c r="E4" s="5">
        <v>20</v>
      </c>
      <c r="F4" s="5">
        <v>34.909066</v>
      </c>
      <c r="G4" s="5">
        <v>1292</v>
      </c>
      <c r="H4" s="5">
        <v>2480</v>
      </c>
      <c r="I4" s="5">
        <v>10</v>
      </c>
      <c r="J4" s="5">
        <v>10</v>
      </c>
      <c r="K4" s="5">
        <v>708</v>
      </c>
      <c r="L4" s="5">
        <v>60</v>
      </c>
      <c r="M4" s="5">
        <v>20</v>
      </c>
      <c r="N4" s="5">
        <v>4</v>
      </c>
      <c r="O4" s="5">
        <v>31590.1</v>
      </c>
      <c r="P4" t="s">
        <v>171</v>
      </c>
      <c r="Q4">
        <v>-2036.53612442827</v>
      </c>
      <c r="R4">
        <v>61.3036268943602</v>
      </c>
      <c r="T4">
        <v>1.497</v>
      </c>
      <c r="U4">
        <v>1.06536156600837</v>
      </c>
      <c r="V4">
        <v>1.497</v>
      </c>
      <c r="W4">
        <v>1.06051631237249</v>
      </c>
      <c r="X4">
        <v>1.497</v>
      </c>
      <c r="Y4">
        <v>1.0613715233495</v>
      </c>
      <c r="Z4">
        <v>1.497</v>
      </c>
      <c r="AA4">
        <v>1.0611552827145</v>
      </c>
      <c r="AB4">
        <v>1.497</v>
      </c>
      <c r="AC4">
        <v>1.06129096493774</v>
      </c>
      <c r="AE4">
        <v>1.497</v>
      </c>
      <c r="AF4">
        <v>-1705.99197475794</v>
      </c>
      <c r="AG4">
        <v>-1900.1442298372</v>
      </c>
      <c r="AH4">
        <v>-1676.2708521216</v>
      </c>
      <c r="AI4">
        <v>-1785.89065199711</v>
      </c>
      <c r="AJ4">
        <v>-1665.791705613</v>
      </c>
      <c r="AM4">
        <v>10</v>
      </c>
      <c r="AN4">
        <v>5.23756271</v>
      </c>
      <c r="AO4">
        <v>5.73334093</v>
      </c>
      <c r="AP4">
        <v>4.8493251</v>
      </c>
      <c r="AQ4">
        <v>4.62852808</v>
      </c>
      <c r="AR4">
        <v>4.5028976</v>
      </c>
      <c r="AS4">
        <v>50</v>
      </c>
      <c r="AT4">
        <v>5.67723518523809</v>
      </c>
      <c r="AU4">
        <v>0.011347351201814</v>
      </c>
      <c r="AW4">
        <v>50</v>
      </c>
      <c r="AX4">
        <v>-6047.893695</v>
      </c>
      <c r="AY4">
        <v>1946.955997</v>
      </c>
      <c r="AZ4">
        <v>-543.693925</v>
      </c>
      <c r="BA4">
        <v>-5699.33412</v>
      </c>
      <c r="BB4">
        <f t="shared" ref="BB4:BB7" si="0">AX4-AY4-AZ4-BA4</f>
        <v>-1751.821647</v>
      </c>
      <c r="BF4">
        <v>0.025</v>
      </c>
      <c r="BG4">
        <v>0</v>
      </c>
      <c r="BH4">
        <v>0.025</v>
      </c>
      <c r="BI4">
        <v>0</v>
      </c>
      <c r="BJ4">
        <v>0.025</v>
      </c>
      <c r="BK4">
        <v>0</v>
      </c>
      <c r="BL4">
        <v>0.025</v>
      </c>
      <c r="BM4">
        <v>0</v>
      </c>
      <c r="BN4">
        <v>0.025</v>
      </c>
      <c r="BO4">
        <v>0</v>
      </c>
      <c r="BP4">
        <v>0.025</v>
      </c>
      <c r="BQ4">
        <v>0</v>
      </c>
      <c r="BR4">
        <v>0.025</v>
      </c>
      <c r="BS4">
        <v>0</v>
      </c>
      <c r="BT4">
        <v>0.025</v>
      </c>
      <c r="BU4">
        <v>0</v>
      </c>
      <c r="BV4">
        <v>0.025</v>
      </c>
      <c r="BW4">
        <v>0</v>
      </c>
      <c r="BX4">
        <v>0.025</v>
      </c>
      <c r="BY4">
        <v>0</v>
      </c>
      <c r="CB4">
        <v>0.025</v>
      </c>
      <c r="CC4">
        <v>0</v>
      </c>
      <c r="CD4">
        <v>0</v>
      </c>
      <c r="CE4">
        <v>0</v>
      </c>
      <c r="CF4">
        <v>0</v>
      </c>
      <c r="CG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DB4">
        <v>50</v>
      </c>
      <c r="DC4">
        <v>0.003837</v>
      </c>
      <c r="DD4">
        <f t="shared" ref="DD4:DD7" si="1">DC4/6*10000</f>
        <v>6.395</v>
      </c>
      <c r="DE4">
        <v>0.9096</v>
      </c>
      <c r="DF4">
        <v>10</v>
      </c>
      <c r="DG4" s="5">
        <v>34.92514</v>
      </c>
      <c r="DH4" s="5">
        <f t="shared" ref="DH4:DH7" si="2">DG4^3*10^-30</f>
        <v>4.26004775025411e-26</v>
      </c>
      <c r="DI4" s="5">
        <f t="shared" ref="DI4:DI7" si="3">DF4/DH4</f>
        <v>2.34739152851127e+26</v>
      </c>
      <c r="DJ4" s="9">
        <v>2.567e-38</v>
      </c>
      <c r="DK4" s="5">
        <f t="shared" ref="DK4:DK7" si="4">1.3806E-23*298</f>
        <v>4.114188e-21</v>
      </c>
      <c r="DL4" s="10">
        <f t="shared" ref="DL4:DL7" si="5">DI4*DJ4*DD4/DK4*0.00000000000001</f>
        <v>9.36629467912928e-5</v>
      </c>
      <c r="DM4">
        <v>0.003835</v>
      </c>
      <c r="DN4">
        <f t="shared" ref="DN4:DN7" si="6">DM4/6*10000</f>
        <v>6.39166666666667</v>
      </c>
      <c r="DO4">
        <v>0.8483</v>
      </c>
      <c r="DP4">
        <f t="shared" ref="DP4:DP7" si="7">DD4/(DD4+DN4)</f>
        <v>0.500130344108446</v>
      </c>
      <c r="DQ4" s="5"/>
    </row>
    <row r="5" spans="4:121">
      <c r="D5" s="5">
        <v>50</v>
      </c>
      <c r="E5" s="5">
        <v>12</v>
      </c>
      <c r="F5" s="5">
        <v>34.92514</v>
      </c>
      <c r="G5" s="5">
        <v>1292</v>
      </c>
      <c r="H5" s="5">
        <v>2464</v>
      </c>
      <c r="I5" s="5">
        <v>10</v>
      </c>
      <c r="J5" s="5">
        <v>10</v>
      </c>
      <c r="K5" s="5">
        <v>700</v>
      </c>
      <c r="L5" s="5">
        <v>60</v>
      </c>
      <c r="M5" s="5">
        <v>20</v>
      </c>
      <c r="N5" s="5">
        <v>4</v>
      </c>
      <c r="O5" s="5">
        <v>31446</v>
      </c>
      <c r="P5" t="s">
        <v>172</v>
      </c>
      <c r="Q5">
        <v>-2073.04658123975</v>
      </c>
      <c r="R5">
        <v>55.768227711261</v>
      </c>
      <c r="T5">
        <v>1.996</v>
      </c>
      <c r="U5">
        <v>1.06560919989718</v>
      </c>
      <c r="V5">
        <v>1.996</v>
      </c>
      <c r="W5">
        <v>1.06986954097158</v>
      </c>
      <c r="X5">
        <v>1.996</v>
      </c>
      <c r="Y5">
        <v>1.07680445534828</v>
      </c>
      <c r="Z5">
        <v>1.996</v>
      </c>
      <c r="AA5">
        <v>1.07127864708973</v>
      </c>
      <c r="AB5">
        <v>1.996</v>
      </c>
      <c r="AC5">
        <v>1.07128016279848</v>
      </c>
      <c r="AE5">
        <v>1.996</v>
      </c>
      <c r="AF5">
        <v>-1635.37993318111</v>
      </c>
      <c r="AG5">
        <v>-1826.36223600365</v>
      </c>
      <c r="AH5">
        <v>-1640.50695513462</v>
      </c>
      <c r="AI5">
        <v>-1737.89392787114</v>
      </c>
      <c r="AJ5">
        <v>-1811.44330957514</v>
      </c>
      <c r="AM5">
        <v>15</v>
      </c>
      <c r="AN5">
        <v>5.24245741</v>
      </c>
      <c r="AO5">
        <v>5.74368608</v>
      </c>
      <c r="AP5">
        <v>4.84164354</v>
      </c>
      <c r="AQ5">
        <v>4.61585555</v>
      </c>
      <c r="AR5">
        <v>4.47965792</v>
      </c>
      <c r="AS5">
        <v>60</v>
      </c>
      <c r="AT5">
        <v>4.78563460238095</v>
      </c>
      <c r="AU5">
        <v>0.00779332961451262</v>
      </c>
      <c r="AW5">
        <v>60</v>
      </c>
      <c r="AX5">
        <v>-6023.41703</v>
      </c>
      <c r="AY5">
        <v>1928.415008</v>
      </c>
      <c r="AZ5">
        <v>-483.827518</v>
      </c>
      <c r="BA5">
        <v>-5674.363655</v>
      </c>
      <c r="BB5">
        <f t="shared" si="0"/>
        <v>-1793.640865</v>
      </c>
      <c r="BF5">
        <v>0.075</v>
      </c>
      <c r="BG5">
        <v>0</v>
      </c>
      <c r="BH5">
        <v>0.075</v>
      </c>
      <c r="BI5">
        <v>0</v>
      </c>
      <c r="BJ5">
        <v>0.075</v>
      </c>
      <c r="BK5">
        <v>0</v>
      </c>
      <c r="BL5">
        <v>0.075</v>
      </c>
      <c r="BM5">
        <v>0</v>
      </c>
      <c r="BN5">
        <v>0.075</v>
      </c>
      <c r="BO5">
        <v>0</v>
      </c>
      <c r="BP5">
        <v>0.075</v>
      </c>
      <c r="BQ5">
        <v>0</v>
      </c>
      <c r="BR5">
        <v>0.075</v>
      </c>
      <c r="BS5">
        <v>0</v>
      </c>
      <c r="BT5">
        <v>0.075</v>
      </c>
      <c r="BU5">
        <v>0</v>
      </c>
      <c r="BV5">
        <v>0.075</v>
      </c>
      <c r="BW5">
        <v>0</v>
      </c>
      <c r="BX5">
        <v>0.075</v>
      </c>
      <c r="BY5">
        <v>0</v>
      </c>
      <c r="CB5">
        <v>0.075</v>
      </c>
      <c r="CC5">
        <v>0</v>
      </c>
      <c r="CD5">
        <v>0</v>
      </c>
      <c r="CE5">
        <v>0</v>
      </c>
      <c r="CF5">
        <v>0</v>
      </c>
      <c r="CG5">
        <v>0</v>
      </c>
      <c r="CK5">
        <v>5</v>
      </c>
      <c r="CL5">
        <v>0.44882644</v>
      </c>
      <c r="CM5">
        <v>0.79606154</v>
      </c>
      <c r="CN5">
        <v>5</v>
      </c>
      <c r="CO5">
        <v>0.46002966</v>
      </c>
      <c r="CP5">
        <v>0.64677685</v>
      </c>
      <c r="CQ5">
        <v>5</v>
      </c>
      <c r="CR5">
        <v>0.47506026</v>
      </c>
      <c r="CS5">
        <v>0.85763923</v>
      </c>
      <c r="CT5">
        <v>5</v>
      </c>
      <c r="CU5">
        <v>0.4458359</v>
      </c>
      <c r="CV5">
        <v>0.71454593</v>
      </c>
      <c r="CW5">
        <v>5</v>
      </c>
      <c r="CX5">
        <v>0.45418866</v>
      </c>
      <c r="CY5">
        <v>0.75457955</v>
      </c>
      <c r="DB5">
        <v>60</v>
      </c>
      <c r="DC5">
        <v>0.005519</v>
      </c>
      <c r="DD5">
        <f t="shared" si="1"/>
        <v>9.19833333333333</v>
      </c>
      <c r="DE5">
        <v>0.9366</v>
      </c>
      <c r="DF5">
        <v>10</v>
      </c>
      <c r="DG5" s="5">
        <v>34.888611</v>
      </c>
      <c r="DH5" s="5">
        <f t="shared" si="2"/>
        <v>4.24669468314186e-26</v>
      </c>
      <c r="DI5" s="5">
        <f t="shared" si="3"/>
        <v>2.35477253396555e+26</v>
      </c>
      <c r="DJ5" s="9">
        <v>2.567e-38</v>
      </c>
      <c r="DK5" s="5">
        <f t="shared" si="4"/>
        <v>4.114188e-21</v>
      </c>
      <c r="DL5" s="10">
        <f t="shared" si="5"/>
        <v>0.000135144955868131</v>
      </c>
      <c r="DM5">
        <v>0.01015</v>
      </c>
      <c r="DN5">
        <f t="shared" si="6"/>
        <v>16.9166666666667</v>
      </c>
      <c r="DO5">
        <v>0.9881</v>
      </c>
      <c r="DP5">
        <f t="shared" si="7"/>
        <v>0.352224136830685</v>
      </c>
      <c r="DQ5" s="5"/>
    </row>
    <row r="6" spans="4:121">
      <c r="D6" s="5">
        <v>60</v>
      </c>
      <c r="E6" s="5">
        <v>10</v>
      </c>
      <c r="F6" s="5">
        <v>34.888611</v>
      </c>
      <c r="G6" s="5">
        <v>1292</v>
      </c>
      <c r="H6" s="5">
        <v>2460</v>
      </c>
      <c r="I6" s="5">
        <v>10</v>
      </c>
      <c r="J6" s="5">
        <v>10</v>
      </c>
      <c r="K6" s="5">
        <v>698</v>
      </c>
      <c r="L6" s="5">
        <v>60</v>
      </c>
      <c r="M6" s="5">
        <v>20</v>
      </c>
      <c r="N6" s="5">
        <v>4</v>
      </c>
      <c r="O6" s="5">
        <v>31409.9</v>
      </c>
      <c r="P6" t="s">
        <v>173</v>
      </c>
      <c r="Q6">
        <v>-1998.33193664459</v>
      </c>
      <c r="R6">
        <v>58.7201649459613</v>
      </c>
      <c r="T6">
        <v>2.495</v>
      </c>
      <c r="U6">
        <v>1.07026370437887</v>
      </c>
      <c r="V6">
        <v>2.495</v>
      </c>
      <c r="W6">
        <v>1.06758782323059</v>
      </c>
      <c r="X6">
        <v>2.495</v>
      </c>
      <c r="Y6">
        <v>1.0843451581331</v>
      </c>
      <c r="Z6">
        <v>2.495</v>
      </c>
      <c r="AA6">
        <v>1.06961657539817</v>
      </c>
      <c r="AB6">
        <v>2.495</v>
      </c>
      <c r="AC6">
        <v>1.07161730263756</v>
      </c>
      <c r="AE6">
        <v>2.495</v>
      </c>
      <c r="AF6">
        <v>-1655.71734962857</v>
      </c>
      <c r="AG6">
        <v>-1813.10278248458</v>
      </c>
      <c r="AH6">
        <v>-1626.94757784921</v>
      </c>
      <c r="AI6">
        <v>-1637.67490053836</v>
      </c>
      <c r="AJ6">
        <v>-1839.45225922051</v>
      </c>
      <c r="AM6">
        <v>20</v>
      </c>
      <c r="AN6">
        <v>5.19157517</v>
      </c>
      <c r="AO6">
        <v>5.74451332</v>
      </c>
      <c r="AP6">
        <v>4.84865326</v>
      </c>
      <c r="AQ6">
        <v>4.58737893</v>
      </c>
      <c r="AR6">
        <v>4.47976577</v>
      </c>
      <c r="AS6">
        <v>100</v>
      </c>
      <c r="AT6">
        <v>4.52309933809524</v>
      </c>
      <c r="AU6">
        <v>0.00711977473922924</v>
      </c>
      <c r="AW6">
        <v>100</v>
      </c>
      <c r="AX6">
        <v>-6053.296155</v>
      </c>
      <c r="AY6">
        <v>1819.056107</v>
      </c>
      <c r="AZ6">
        <v>-537.539047</v>
      </c>
      <c r="BA6">
        <v>-5712.028774</v>
      </c>
      <c r="BB6">
        <f t="shared" si="0"/>
        <v>-1622.784441</v>
      </c>
      <c r="BF6">
        <v>0.125</v>
      </c>
      <c r="BG6">
        <v>0</v>
      </c>
      <c r="BH6">
        <v>0.125</v>
      </c>
      <c r="BI6">
        <v>0</v>
      </c>
      <c r="BJ6">
        <v>0.125</v>
      </c>
      <c r="BK6">
        <v>0</v>
      </c>
      <c r="BL6">
        <v>0.125</v>
      </c>
      <c r="BM6">
        <v>0</v>
      </c>
      <c r="BN6">
        <v>0.125</v>
      </c>
      <c r="BO6">
        <v>0</v>
      </c>
      <c r="BP6">
        <v>0.125</v>
      </c>
      <c r="BQ6">
        <v>0</v>
      </c>
      <c r="BR6">
        <v>0.125</v>
      </c>
      <c r="BS6">
        <v>0</v>
      </c>
      <c r="BT6">
        <v>0.125</v>
      </c>
      <c r="BU6">
        <v>0</v>
      </c>
      <c r="BV6">
        <v>0.125</v>
      </c>
      <c r="BW6">
        <v>0</v>
      </c>
      <c r="BX6">
        <v>0.125</v>
      </c>
      <c r="BY6">
        <v>0</v>
      </c>
      <c r="CB6">
        <v>0.125</v>
      </c>
      <c r="CC6">
        <v>0</v>
      </c>
      <c r="CD6">
        <v>0</v>
      </c>
      <c r="CE6">
        <v>0</v>
      </c>
      <c r="CF6">
        <v>0</v>
      </c>
      <c r="CG6">
        <v>0</v>
      </c>
      <c r="CK6">
        <v>10</v>
      </c>
      <c r="CL6">
        <v>0.52864152</v>
      </c>
      <c r="CM6">
        <v>0.93200583</v>
      </c>
      <c r="CN6">
        <v>10</v>
      </c>
      <c r="CO6">
        <v>0.52873043</v>
      </c>
      <c r="CP6">
        <v>0.73181999</v>
      </c>
      <c r="CQ6">
        <v>10</v>
      </c>
      <c r="CR6">
        <v>0.53141705</v>
      </c>
      <c r="CS6">
        <v>0.95090019</v>
      </c>
      <c r="CT6">
        <v>10</v>
      </c>
      <c r="CU6">
        <v>0.50186298</v>
      </c>
      <c r="CV6">
        <v>0.81499567</v>
      </c>
      <c r="CW6">
        <v>10</v>
      </c>
      <c r="CX6">
        <v>0.51360386</v>
      </c>
      <c r="CY6">
        <v>0.86963627</v>
      </c>
      <c r="DB6">
        <v>100</v>
      </c>
      <c r="DC6">
        <v>0.009419</v>
      </c>
      <c r="DD6">
        <f t="shared" si="1"/>
        <v>15.6983333333333</v>
      </c>
      <c r="DE6">
        <v>0.9874</v>
      </c>
      <c r="DF6">
        <v>10</v>
      </c>
      <c r="DG6" s="5">
        <v>34.775681</v>
      </c>
      <c r="DH6" s="5">
        <f t="shared" si="2"/>
        <v>4.20558998839341e-26</v>
      </c>
      <c r="DI6" s="5">
        <f t="shared" si="3"/>
        <v>2.37778766536872e+26</v>
      </c>
      <c r="DJ6" s="9">
        <v>2.567e-38</v>
      </c>
      <c r="DK6" s="5">
        <f t="shared" si="4"/>
        <v>4.114188e-21</v>
      </c>
      <c r="DL6" s="10">
        <f t="shared" si="5"/>
        <v>0.000232899390457352</v>
      </c>
      <c r="DM6">
        <v>0.01255</v>
      </c>
      <c r="DN6">
        <f t="shared" si="6"/>
        <v>20.9166666666667</v>
      </c>
      <c r="DO6">
        <v>0.995</v>
      </c>
      <c r="DP6">
        <f t="shared" si="7"/>
        <v>0.428740497974419</v>
      </c>
      <c r="DQ6" s="5"/>
    </row>
    <row r="7" spans="4:121">
      <c r="D7" s="5">
        <v>100</v>
      </c>
      <c r="E7" s="5">
        <v>6</v>
      </c>
      <c r="F7" s="5">
        <v>34.775681</v>
      </c>
      <c r="G7" s="5">
        <v>1292</v>
      </c>
      <c r="H7" s="5">
        <v>2452</v>
      </c>
      <c r="I7" s="5">
        <v>10</v>
      </c>
      <c r="J7" s="5">
        <v>10</v>
      </c>
      <c r="K7" s="5">
        <v>694</v>
      </c>
      <c r="L7" s="5">
        <v>60</v>
      </c>
      <c r="M7" s="5">
        <v>20</v>
      </c>
      <c r="N7" s="5">
        <v>4</v>
      </c>
      <c r="O7" s="5">
        <v>31337.9</v>
      </c>
      <c r="P7" t="s">
        <v>174</v>
      </c>
      <c r="Q7">
        <v>-2035.20801514293</v>
      </c>
      <c r="R7">
        <v>63.2043887476003</v>
      </c>
      <c r="T7">
        <v>2.994</v>
      </c>
      <c r="U7">
        <v>1.06900029062653</v>
      </c>
      <c r="V7">
        <v>2.994</v>
      </c>
      <c r="W7">
        <v>1.07217295101957</v>
      </c>
      <c r="X7">
        <v>2.994</v>
      </c>
      <c r="Y7">
        <v>1.08646693728252</v>
      </c>
      <c r="Z7">
        <v>2.994</v>
      </c>
      <c r="AA7">
        <v>1.06066006952665</v>
      </c>
      <c r="AB7">
        <v>2.994</v>
      </c>
      <c r="AC7">
        <v>1.07710751915734</v>
      </c>
      <c r="AE7">
        <v>2.994</v>
      </c>
      <c r="AF7">
        <v>-1699.51087207359</v>
      </c>
      <c r="AG7">
        <v>-1770.07252788297</v>
      </c>
      <c r="AH7">
        <v>-1636.42370545714</v>
      </c>
      <c r="AI7">
        <v>-1749.35898601724</v>
      </c>
      <c r="AJ7">
        <v>-1684.8724702985</v>
      </c>
      <c r="AM7">
        <v>25</v>
      </c>
      <c r="AN7">
        <v>5.21582137</v>
      </c>
      <c r="AO7">
        <v>5.71647971</v>
      </c>
      <c r="AP7">
        <v>4.84695804</v>
      </c>
      <c r="AQ7">
        <v>4.55893609</v>
      </c>
      <c r="AR7">
        <v>4.49787262</v>
      </c>
      <c r="AS7">
        <v>200</v>
      </c>
      <c r="AT7">
        <v>4.37240753380952</v>
      </c>
      <c r="AU7">
        <v>0.00600576077097506</v>
      </c>
      <c r="AW7">
        <v>200</v>
      </c>
      <c r="AX7">
        <v>-6128.010403</v>
      </c>
      <c r="AY7">
        <v>1834.332014</v>
      </c>
      <c r="AZ7">
        <v>-386.43902</v>
      </c>
      <c r="BA7">
        <v>-5702.324969</v>
      </c>
      <c r="BB7">
        <f t="shared" si="0"/>
        <v>-1873.578428</v>
      </c>
      <c r="BF7">
        <v>0.175</v>
      </c>
      <c r="BG7">
        <v>0</v>
      </c>
      <c r="BH7">
        <v>0.175</v>
      </c>
      <c r="BI7">
        <v>0</v>
      </c>
      <c r="BJ7">
        <v>0.175</v>
      </c>
      <c r="BK7">
        <v>0</v>
      </c>
      <c r="BL7">
        <v>0.175</v>
      </c>
      <c r="BM7">
        <v>0</v>
      </c>
      <c r="BN7">
        <v>0.175</v>
      </c>
      <c r="BO7">
        <v>0</v>
      </c>
      <c r="BP7">
        <v>0.175</v>
      </c>
      <c r="BQ7">
        <v>0</v>
      </c>
      <c r="BR7">
        <v>0.175</v>
      </c>
      <c r="BS7">
        <v>0</v>
      </c>
      <c r="BT7">
        <v>0.175</v>
      </c>
      <c r="BU7">
        <v>0</v>
      </c>
      <c r="BV7">
        <v>0.175</v>
      </c>
      <c r="BW7">
        <v>0</v>
      </c>
      <c r="BX7">
        <v>0.175</v>
      </c>
      <c r="BY7">
        <v>0</v>
      </c>
      <c r="CB7">
        <v>0.175</v>
      </c>
      <c r="CC7">
        <v>0</v>
      </c>
      <c r="CD7">
        <v>0</v>
      </c>
      <c r="CE7">
        <v>0</v>
      </c>
      <c r="CF7">
        <v>0</v>
      </c>
      <c r="CG7">
        <v>0</v>
      </c>
      <c r="CK7">
        <v>15</v>
      </c>
      <c r="CL7">
        <v>0.57664558</v>
      </c>
      <c r="CM7">
        <v>1.0295174</v>
      </c>
      <c r="CN7">
        <v>15</v>
      </c>
      <c r="CO7">
        <v>0.59482663</v>
      </c>
      <c r="CP7">
        <v>0.80190782</v>
      </c>
      <c r="CQ7">
        <v>15</v>
      </c>
      <c r="CR7">
        <v>0.58027414</v>
      </c>
      <c r="CS7">
        <v>1.05406181</v>
      </c>
      <c r="CT7">
        <v>15</v>
      </c>
      <c r="CU7">
        <v>0.56879241</v>
      </c>
      <c r="CV7">
        <v>0.91956799</v>
      </c>
      <c r="CW7">
        <v>15</v>
      </c>
      <c r="CX7">
        <v>0.59663282</v>
      </c>
      <c r="CY7">
        <v>0.97506517</v>
      </c>
      <c r="DB7">
        <v>200</v>
      </c>
      <c r="DC7">
        <v>0.01009</v>
      </c>
      <c r="DD7">
        <f t="shared" si="1"/>
        <v>16.8166666666667</v>
      </c>
      <c r="DE7">
        <v>0.9866</v>
      </c>
      <c r="DF7">
        <v>10</v>
      </c>
      <c r="DG7" s="5">
        <v>34.869197</v>
      </c>
      <c r="DH7" s="5">
        <f t="shared" si="2"/>
        <v>4.23960932266409e-26</v>
      </c>
      <c r="DI7" s="5">
        <f t="shared" si="3"/>
        <v>2.35870789946188e+26</v>
      </c>
      <c r="DJ7" s="9">
        <v>2.567e-38</v>
      </c>
      <c r="DK7" s="5">
        <f t="shared" si="4"/>
        <v>4.114188e-21</v>
      </c>
      <c r="DL7" s="10">
        <f t="shared" si="5"/>
        <v>0.000247488949885936</v>
      </c>
      <c r="DM7">
        <v>0.01654</v>
      </c>
      <c r="DN7">
        <f t="shared" si="6"/>
        <v>27.5666666666667</v>
      </c>
      <c r="DO7">
        <v>0.9869</v>
      </c>
      <c r="DP7">
        <f t="shared" si="7"/>
        <v>0.378895981975216</v>
      </c>
      <c r="DQ7" s="5"/>
    </row>
    <row r="8" spans="4:121">
      <c r="D8" s="5">
        <v>200</v>
      </c>
      <c r="E8" s="5">
        <v>3</v>
      </c>
      <c r="F8" s="5">
        <v>34.869197</v>
      </c>
      <c r="G8" s="5">
        <v>1292</v>
      </c>
      <c r="H8" s="5">
        <v>2446</v>
      </c>
      <c r="I8" s="5">
        <v>10</v>
      </c>
      <c r="J8" s="5">
        <v>10</v>
      </c>
      <c r="K8" s="5">
        <v>691</v>
      </c>
      <c r="L8" s="5">
        <v>60</v>
      </c>
      <c r="M8" s="5">
        <v>20</v>
      </c>
      <c r="N8" s="5">
        <v>4</v>
      </c>
      <c r="O8" s="5">
        <v>31283.8</v>
      </c>
      <c r="P8" t="s">
        <v>175</v>
      </c>
      <c r="Q8">
        <v>-2017.79535150883</v>
      </c>
      <c r="R8">
        <v>59.836750514995</v>
      </c>
      <c r="T8">
        <v>3.493</v>
      </c>
      <c r="U8">
        <v>1.07736469844976</v>
      </c>
      <c r="V8">
        <v>3.493</v>
      </c>
      <c r="W8">
        <v>1.07731102759792</v>
      </c>
      <c r="X8">
        <v>3.493</v>
      </c>
      <c r="Y8">
        <v>1.08779319277177</v>
      </c>
      <c r="Z8">
        <v>3.493</v>
      </c>
      <c r="AA8">
        <v>1.07078771154263</v>
      </c>
      <c r="AB8">
        <v>3.493</v>
      </c>
      <c r="AC8">
        <v>1.06719222319541</v>
      </c>
      <c r="AE8">
        <v>3.493</v>
      </c>
      <c r="AF8">
        <v>-1735.70085685906</v>
      </c>
      <c r="AG8">
        <v>-1745.24774727226</v>
      </c>
      <c r="AH8">
        <v>-1809.54222966081</v>
      </c>
      <c r="AI8">
        <v>-1817.8563733367</v>
      </c>
      <c r="AJ8">
        <v>-1602.74171233274</v>
      </c>
      <c r="AM8">
        <v>30</v>
      </c>
      <c r="AN8">
        <v>5.20855084</v>
      </c>
      <c r="AO8">
        <v>5.72647638</v>
      </c>
      <c r="AP8">
        <v>4.84969231</v>
      </c>
      <c r="AQ8">
        <v>4.56737317</v>
      </c>
      <c r="AR8">
        <v>4.48566462</v>
      </c>
      <c r="BF8">
        <v>0.225</v>
      </c>
      <c r="BG8">
        <v>0</v>
      </c>
      <c r="BH8">
        <v>0.225</v>
      </c>
      <c r="BI8">
        <v>0</v>
      </c>
      <c r="BJ8">
        <v>0.225</v>
      </c>
      <c r="BK8">
        <v>0</v>
      </c>
      <c r="BL8">
        <v>0.225</v>
      </c>
      <c r="BM8">
        <v>0</v>
      </c>
      <c r="BN8">
        <v>0.225</v>
      </c>
      <c r="BO8">
        <v>0</v>
      </c>
      <c r="BP8">
        <v>0.225</v>
      </c>
      <c r="BQ8">
        <v>0</v>
      </c>
      <c r="BR8">
        <v>0.225</v>
      </c>
      <c r="BS8">
        <v>0</v>
      </c>
      <c r="BT8">
        <v>0.225</v>
      </c>
      <c r="BU8">
        <v>0</v>
      </c>
      <c r="BV8">
        <v>0.225</v>
      </c>
      <c r="BW8">
        <v>0</v>
      </c>
      <c r="BX8">
        <v>0.225</v>
      </c>
      <c r="BY8">
        <v>0</v>
      </c>
      <c r="CB8">
        <v>0.225</v>
      </c>
      <c r="CC8">
        <v>0</v>
      </c>
      <c r="CD8">
        <v>0</v>
      </c>
      <c r="CE8">
        <v>0</v>
      </c>
      <c r="CF8">
        <v>0</v>
      </c>
      <c r="CG8">
        <v>0</v>
      </c>
      <c r="CK8">
        <v>20</v>
      </c>
      <c r="CL8">
        <v>0.64352378</v>
      </c>
      <c r="CM8">
        <v>1.12234691</v>
      </c>
      <c r="CN8">
        <v>20</v>
      </c>
      <c r="CO8">
        <v>0.61663307</v>
      </c>
      <c r="CP8">
        <v>0.85988686</v>
      </c>
      <c r="CQ8">
        <v>20</v>
      </c>
      <c r="CR8">
        <v>0.6754819</v>
      </c>
      <c r="CS8">
        <v>1.17612273</v>
      </c>
      <c r="CT8">
        <v>20</v>
      </c>
      <c r="CU8">
        <v>0.61617672</v>
      </c>
      <c r="CV8">
        <v>1.00298335</v>
      </c>
      <c r="CW8">
        <v>20</v>
      </c>
      <c r="CX8">
        <v>0.62490157</v>
      </c>
      <c r="CY8">
        <v>1.05637167</v>
      </c>
      <c r="DG8" s="5"/>
      <c r="DH8" s="5"/>
      <c r="DI8" s="5"/>
      <c r="DJ8" s="9"/>
      <c r="DK8" s="5"/>
      <c r="DL8" s="10"/>
      <c r="DQ8" s="5"/>
    </row>
    <row r="9" spans="4:121">
      <c r="T9">
        <v>3.992</v>
      </c>
      <c r="U9">
        <v>1.0675362663398</v>
      </c>
      <c r="V9">
        <v>3.992</v>
      </c>
      <c r="W9">
        <v>1.07604037882336</v>
      </c>
      <c r="X9">
        <v>3.992</v>
      </c>
      <c r="Y9">
        <v>1.10521042563432</v>
      </c>
      <c r="Z9">
        <v>3.992</v>
      </c>
      <c r="AA9">
        <v>1.07167145444504</v>
      </c>
      <c r="AB9">
        <v>3.992</v>
      </c>
      <c r="AC9">
        <v>1.07974999541187</v>
      </c>
      <c r="AE9">
        <v>3.992</v>
      </c>
      <c r="AF9">
        <v>-1695.51763611385</v>
      </c>
      <c r="AG9">
        <v>-1805.87728087274</v>
      </c>
      <c r="AH9">
        <v>-1815.16678585727</v>
      </c>
      <c r="AI9">
        <v>-1777.39368729716</v>
      </c>
      <c r="AJ9">
        <v>-1849.03961241072</v>
      </c>
      <c r="AM9">
        <v>35</v>
      </c>
      <c r="AN9">
        <v>5.19684435</v>
      </c>
      <c r="AO9">
        <v>5.72041193</v>
      </c>
      <c r="AP9">
        <v>4.82549482</v>
      </c>
      <c r="AQ9">
        <v>4.55736668</v>
      </c>
      <c r="AR9">
        <v>4.47689803</v>
      </c>
      <c r="BF9">
        <v>0.275</v>
      </c>
      <c r="BG9">
        <v>0</v>
      </c>
      <c r="BH9">
        <v>0.275</v>
      </c>
      <c r="BI9">
        <v>0</v>
      </c>
      <c r="BJ9">
        <v>0.275</v>
      </c>
      <c r="BK9">
        <v>0</v>
      </c>
      <c r="BL9">
        <v>0.275</v>
      </c>
      <c r="BM9">
        <v>0</v>
      </c>
      <c r="BN9">
        <v>0.275</v>
      </c>
      <c r="BO9">
        <v>0</v>
      </c>
      <c r="BP9">
        <v>0.275</v>
      </c>
      <c r="BQ9">
        <v>0</v>
      </c>
      <c r="BR9">
        <v>0.275</v>
      </c>
      <c r="BS9">
        <v>0</v>
      </c>
      <c r="BT9">
        <v>0.275</v>
      </c>
      <c r="BU9">
        <v>0</v>
      </c>
      <c r="BV9">
        <v>0.275</v>
      </c>
      <c r="BW9">
        <v>0</v>
      </c>
      <c r="BX9">
        <v>0.275</v>
      </c>
      <c r="BY9">
        <v>0</v>
      </c>
      <c r="CB9">
        <v>0.275</v>
      </c>
      <c r="CC9">
        <v>0</v>
      </c>
      <c r="CD9">
        <v>0</v>
      </c>
      <c r="CE9">
        <v>0</v>
      </c>
      <c r="CF9">
        <v>0</v>
      </c>
      <c r="CG9">
        <v>0</v>
      </c>
      <c r="CK9">
        <v>25</v>
      </c>
      <c r="CL9">
        <v>0.6980408</v>
      </c>
      <c r="CM9">
        <v>1.22494887</v>
      </c>
      <c r="CN9">
        <v>25</v>
      </c>
      <c r="CO9">
        <v>0.65841832</v>
      </c>
      <c r="CP9">
        <v>0.89236072</v>
      </c>
      <c r="CQ9">
        <v>25</v>
      </c>
      <c r="CR9">
        <v>0.71595846</v>
      </c>
      <c r="CS9">
        <v>1.23128873</v>
      </c>
      <c r="CT9">
        <v>25</v>
      </c>
      <c r="CU9">
        <v>0.66556031</v>
      </c>
      <c r="CV9">
        <v>1.04546985</v>
      </c>
      <c r="CW9">
        <v>25</v>
      </c>
      <c r="CX9">
        <v>0.6806578</v>
      </c>
      <c r="CY9">
        <v>1.13424034</v>
      </c>
    </row>
    <row r="10" spans="4:121">
      <c r="T10">
        <v>4.491</v>
      </c>
      <c r="U10">
        <v>1.07888867326675</v>
      </c>
      <c r="V10">
        <v>4.491</v>
      </c>
      <c r="W10">
        <v>1.07447053512415</v>
      </c>
      <c r="X10">
        <v>4.491</v>
      </c>
      <c r="Y10">
        <v>1.09802443994779</v>
      </c>
      <c r="Z10">
        <v>4.491</v>
      </c>
      <c r="AA10">
        <v>1.07684961600009</v>
      </c>
      <c r="AB10">
        <v>4.491</v>
      </c>
      <c r="AC10">
        <v>1.08041038118927</v>
      </c>
      <c r="AE10">
        <v>4.491</v>
      </c>
      <c r="AF10">
        <v>-1739.4921875555</v>
      </c>
      <c r="AG10">
        <v>-1847.55402162099</v>
      </c>
      <c r="AH10">
        <v>-1666.47810528361</v>
      </c>
      <c r="AI10">
        <v>-1714.44265289515</v>
      </c>
      <c r="AJ10">
        <v>-1911.96726096095</v>
      </c>
      <c r="AM10">
        <v>40</v>
      </c>
      <c r="AN10">
        <v>5.21722701</v>
      </c>
      <c r="AO10">
        <v>5.70032478</v>
      </c>
      <c r="AP10">
        <v>4.81579083</v>
      </c>
      <c r="AQ10">
        <v>4.5509534</v>
      </c>
      <c r="AR10">
        <v>4.48006072</v>
      </c>
      <c r="BF10">
        <v>0.325</v>
      </c>
      <c r="BG10">
        <v>0</v>
      </c>
      <c r="BH10">
        <v>0.325</v>
      </c>
      <c r="BI10">
        <v>0</v>
      </c>
      <c r="BJ10">
        <v>0.325</v>
      </c>
      <c r="BK10">
        <v>0</v>
      </c>
      <c r="BL10">
        <v>0.325</v>
      </c>
      <c r="BM10">
        <v>0</v>
      </c>
      <c r="BN10">
        <v>0.325</v>
      </c>
      <c r="BO10">
        <v>0</v>
      </c>
      <c r="BP10">
        <v>0.325</v>
      </c>
      <c r="BQ10">
        <v>0</v>
      </c>
      <c r="BR10">
        <v>0.325</v>
      </c>
      <c r="BS10">
        <v>0</v>
      </c>
      <c r="BT10">
        <v>0.325</v>
      </c>
      <c r="BU10">
        <v>0</v>
      </c>
      <c r="BV10">
        <v>0.325</v>
      </c>
      <c r="BW10">
        <v>0</v>
      </c>
      <c r="BX10">
        <v>0.325</v>
      </c>
      <c r="BY10">
        <v>0</v>
      </c>
      <c r="CB10">
        <v>0.325</v>
      </c>
      <c r="CC10">
        <v>0</v>
      </c>
      <c r="CD10">
        <v>0</v>
      </c>
      <c r="CE10">
        <v>0</v>
      </c>
      <c r="CF10">
        <v>0</v>
      </c>
      <c r="CG10">
        <v>0</v>
      </c>
      <c r="CK10">
        <v>30</v>
      </c>
      <c r="CL10">
        <v>0.75709224</v>
      </c>
      <c r="CM10">
        <v>1.29728481</v>
      </c>
      <c r="CN10">
        <v>30</v>
      </c>
      <c r="CO10">
        <v>0.68164674</v>
      </c>
      <c r="CP10">
        <v>0.93350434</v>
      </c>
      <c r="CQ10">
        <v>30</v>
      </c>
      <c r="CR10">
        <v>0.77284625</v>
      </c>
      <c r="CS10">
        <v>1.32541797</v>
      </c>
      <c r="CT10">
        <v>30</v>
      </c>
      <c r="CU10">
        <v>0.70999994</v>
      </c>
      <c r="CV10">
        <v>1.12205594</v>
      </c>
      <c r="CW10">
        <v>30</v>
      </c>
      <c r="CX10">
        <v>0.73113715</v>
      </c>
      <c r="CY10">
        <v>1.21929484</v>
      </c>
    </row>
    <row r="11" spans="4:121">
      <c r="T11">
        <v>4.99</v>
      </c>
      <c r="U11">
        <v>1.08101951263201</v>
      </c>
      <c r="V11">
        <v>4.99</v>
      </c>
      <c r="W11">
        <v>1.08073837770504</v>
      </c>
      <c r="X11">
        <v>4.99</v>
      </c>
      <c r="Y11">
        <v>1.09589986490629</v>
      </c>
      <c r="Z11">
        <v>4.99</v>
      </c>
      <c r="AA11">
        <v>1.07345391614591</v>
      </c>
      <c r="AB11">
        <v>4.99</v>
      </c>
      <c r="AC11">
        <v>1.08600027260842</v>
      </c>
      <c r="AE11">
        <v>4.99</v>
      </c>
      <c r="AF11">
        <v>-1653.1032388675</v>
      </c>
      <c r="AG11">
        <v>-1794.36969271573</v>
      </c>
      <c r="AH11">
        <v>-1573.52653592095</v>
      </c>
      <c r="AI11">
        <v>-1698.96805986409</v>
      </c>
      <c r="AJ11">
        <v>-1889.37915245228</v>
      </c>
      <c r="AM11">
        <v>45</v>
      </c>
      <c r="AN11">
        <v>5.20421966</v>
      </c>
      <c r="AO11">
        <v>5.71617708</v>
      </c>
      <c r="AP11">
        <v>4.83614827</v>
      </c>
      <c r="AQ11">
        <v>4.56922337</v>
      </c>
      <c r="AR11">
        <v>4.47224496</v>
      </c>
      <c r="BF11">
        <v>0.375</v>
      </c>
      <c r="BG11">
        <v>0</v>
      </c>
      <c r="BH11">
        <v>0.375</v>
      </c>
      <c r="BI11">
        <v>0</v>
      </c>
      <c r="BJ11">
        <v>0.375</v>
      </c>
      <c r="BK11">
        <v>0</v>
      </c>
      <c r="BL11">
        <v>0.375</v>
      </c>
      <c r="BM11">
        <v>0</v>
      </c>
      <c r="BN11">
        <v>0.375</v>
      </c>
      <c r="BO11">
        <v>0</v>
      </c>
      <c r="BP11">
        <v>0.375</v>
      </c>
      <c r="BQ11">
        <v>0</v>
      </c>
      <c r="BR11">
        <v>0.375</v>
      </c>
      <c r="BS11">
        <v>0</v>
      </c>
      <c r="BT11">
        <v>0.375</v>
      </c>
      <c r="BU11">
        <v>0</v>
      </c>
      <c r="BV11">
        <v>0.375</v>
      </c>
      <c r="BW11">
        <v>0</v>
      </c>
      <c r="BX11">
        <v>0.375</v>
      </c>
      <c r="BY11">
        <v>0</v>
      </c>
      <c r="CB11">
        <v>0.375</v>
      </c>
      <c r="CC11">
        <v>0</v>
      </c>
      <c r="CD11" s="14" t="s">
        <v>176</v>
      </c>
      <c r="CE11">
        <v>0</v>
      </c>
      <c r="CF11">
        <v>0</v>
      </c>
      <c r="CG11">
        <v>0</v>
      </c>
      <c r="CK11">
        <v>35</v>
      </c>
      <c r="CL11">
        <v>0.79330158</v>
      </c>
      <c r="CM11">
        <v>1.38263543</v>
      </c>
      <c r="CN11">
        <v>35</v>
      </c>
      <c r="CO11">
        <v>0.71489516</v>
      </c>
      <c r="CP11">
        <v>0.96942965</v>
      </c>
      <c r="CQ11">
        <v>35</v>
      </c>
      <c r="CR11">
        <v>0.84581507</v>
      </c>
      <c r="CS11">
        <v>1.42592343</v>
      </c>
      <c r="CT11">
        <v>35</v>
      </c>
      <c r="CU11">
        <v>0.75549077</v>
      </c>
      <c r="CV11">
        <v>1.17477134</v>
      </c>
      <c r="CW11">
        <v>35</v>
      </c>
      <c r="CX11">
        <v>0.78604524</v>
      </c>
      <c r="CY11">
        <v>1.30897347</v>
      </c>
    </row>
    <row r="12" spans="4:121">
      <c r="T12">
        <v>5.489</v>
      </c>
      <c r="U12">
        <v>1.07926274912694</v>
      </c>
      <c r="V12">
        <v>5.489</v>
      </c>
      <c r="W12">
        <v>1.07767293804886</v>
      </c>
      <c r="X12">
        <v>5.489</v>
      </c>
      <c r="Y12">
        <v>1.08661083686393</v>
      </c>
      <c r="Z12">
        <v>5.489</v>
      </c>
      <c r="AA12">
        <v>1.07894335149568</v>
      </c>
      <c r="AB12">
        <v>5.489</v>
      </c>
      <c r="AC12">
        <v>1.08861012425746</v>
      </c>
      <c r="AE12">
        <v>5.489</v>
      </c>
      <c r="AF12">
        <v>-1688.22455548296</v>
      </c>
      <c r="AG12">
        <v>-1875.43995539568</v>
      </c>
      <c r="AH12">
        <v>-1714.76408589055</v>
      </c>
      <c r="AI12">
        <v>-1710.35196941131</v>
      </c>
      <c r="AJ12">
        <v>-1728.17187999584</v>
      </c>
      <c r="AM12">
        <v>50</v>
      </c>
      <c r="AN12">
        <v>5.21042556</v>
      </c>
      <c r="AO12">
        <v>5.69367351</v>
      </c>
      <c r="AP12">
        <v>4.79917703</v>
      </c>
      <c r="AQ12">
        <v>4.5765059</v>
      </c>
      <c r="AR12">
        <v>4.474654</v>
      </c>
      <c r="BF12">
        <v>0.425</v>
      </c>
      <c r="BG12">
        <v>0</v>
      </c>
      <c r="BH12">
        <v>0.425</v>
      </c>
      <c r="BI12">
        <v>0</v>
      </c>
      <c r="BJ12">
        <v>0.425</v>
      </c>
      <c r="BK12">
        <v>0</v>
      </c>
      <c r="BL12">
        <v>0.425</v>
      </c>
      <c r="BM12">
        <v>0</v>
      </c>
      <c r="BN12">
        <v>0.425</v>
      </c>
      <c r="BO12">
        <v>0</v>
      </c>
      <c r="BP12">
        <v>0.425</v>
      </c>
      <c r="BQ12">
        <v>0</v>
      </c>
      <c r="BR12">
        <v>0.425</v>
      </c>
      <c r="BS12">
        <v>0</v>
      </c>
      <c r="BT12">
        <v>0.425</v>
      </c>
      <c r="BU12">
        <v>0</v>
      </c>
      <c r="BV12">
        <v>0.425</v>
      </c>
      <c r="BW12">
        <v>0</v>
      </c>
      <c r="BX12">
        <v>0.425</v>
      </c>
      <c r="BY12">
        <v>0</v>
      </c>
      <c r="CB12">
        <v>0.425</v>
      </c>
      <c r="CC12">
        <v>0</v>
      </c>
      <c r="CD12">
        <v>0</v>
      </c>
      <c r="CE12">
        <v>0</v>
      </c>
      <c r="CF12">
        <v>0</v>
      </c>
      <c r="CG12">
        <v>0</v>
      </c>
      <c r="CK12">
        <v>40</v>
      </c>
      <c r="CL12">
        <v>0.84492228</v>
      </c>
      <c r="CM12">
        <v>1.45687385</v>
      </c>
      <c r="CN12">
        <v>40</v>
      </c>
      <c r="CO12">
        <v>0.73407515</v>
      </c>
      <c r="CP12">
        <v>1.01924126</v>
      </c>
      <c r="CQ12">
        <v>40</v>
      </c>
      <c r="CR12">
        <v>0.8502563</v>
      </c>
      <c r="CS12">
        <v>1.4954732</v>
      </c>
      <c r="CT12">
        <v>40</v>
      </c>
      <c r="CU12">
        <v>0.77786322</v>
      </c>
      <c r="CV12">
        <v>1.21248037</v>
      </c>
      <c r="CW12">
        <v>40</v>
      </c>
      <c r="CX12">
        <v>0.82990907</v>
      </c>
      <c r="CY12">
        <v>1.38058919</v>
      </c>
      <c r="DB12">
        <v>30</v>
      </c>
      <c r="DD12">
        <v>2.585</v>
      </c>
      <c r="DL12">
        <v>3.79129514742964e-5</v>
      </c>
      <c r="DN12">
        <v>20.5</v>
      </c>
    </row>
    <row r="13" spans="4:121">
      <c r="T13">
        <v>5.988</v>
      </c>
      <c r="U13">
        <v>1.08300618808152</v>
      </c>
      <c r="V13">
        <v>5.988</v>
      </c>
      <c r="W13">
        <v>1.08908537494736</v>
      </c>
      <c r="X13">
        <v>5.988</v>
      </c>
      <c r="Y13">
        <v>1.08999600263164</v>
      </c>
      <c r="Z13">
        <v>5.988</v>
      </c>
      <c r="AA13">
        <v>1.08723874232232</v>
      </c>
      <c r="AB13">
        <v>5.988</v>
      </c>
      <c r="AC13">
        <v>1.09116838305702</v>
      </c>
      <c r="AE13">
        <v>5.988</v>
      </c>
      <c r="AF13">
        <v>-1765.54280672207</v>
      </c>
      <c r="AG13">
        <v>-1815.49673949363</v>
      </c>
      <c r="AH13">
        <v>-1747.75985858944</v>
      </c>
      <c r="AI13">
        <v>-1849.13137683416</v>
      </c>
      <c r="AJ13">
        <v>-1680.70050718431</v>
      </c>
      <c r="AM13">
        <v>55</v>
      </c>
      <c r="AN13">
        <v>5.20949161</v>
      </c>
      <c r="AO13">
        <v>5.72157863</v>
      </c>
      <c r="AP13">
        <v>4.82968149</v>
      </c>
      <c r="AQ13">
        <v>4.5525629</v>
      </c>
      <c r="AR13">
        <v>4.45254847</v>
      </c>
      <c r="BF13">
        <v>0.475</v>
      </c>
      <c r="BG13">
        <v>0</v>
      </c>
      <c r="BH13">
        <v>0.475</v>
      </c>
      <c r="BI13">
        <v>0</v>
      </c>
      <c r="BJ13">
        <v>0.475</v>
      </c>
      <c r="BK13">
        <v>0</v>
      </c>
      <c r="BL13">
        <v>0.475</v>
      </c>
      <c r="BM13">
        <v>0</v>
      </c>
      <c r="BN13">
        <v>0.475</v>
      </c>
      <c r="BO13">
        <v>0</v>
      </c>
      <c r="BP13">
        <v>0.475</v>
      </c>
      <c r="BQ13">
        <v>0</v>
      </c>
      <c r="BR13">
        <v>0.475</v>
      </c>
      <c r="BS13">
        <v>0</v>
      </c>
      <c r="BT13">
        <v>0.475</v>
      </c>
      <c r="BU13">
        <v>0</v>
      </c>
      <c r="BV13">
        <v>0.475</v>
      </c>
      <c r="BW13">
        <v>0</v>
      </c>
      <c r="BX13">
        <v>0.475</v>
      </c>
      <c r="BY13">
        <v>0</v>
      </c>
      <c r="CB13">
        <v>0.475</v>
      </c>
      <c r="CC13">
        <v>0</v>
      </c>
      <c r="CD13">
        <v>0</v>
      </c>
      <c r="CE13">
        <v>0</v>
      </c>
      <c r="CF13">
        <v>0</v>
      </c>
      <c r="CG13">
        <v>0</v>
      </c>
      <c r="CK13">
        <v>45</v>
      </c>
      <c r="CL13">
        <v>0.88336717</v>
      </c>
      <c r="CM13">
        <v>1.54824948</v>
      </c>
      <c r="CN13">
        <v>45</v>
      </c>
      <c r="CO13">
        <v>0.7714871</v>
      </c>
      <c r="CP13">
        <v>1.0534259</v>
      </c>
      <c r="CQ13">
        <v>45</v>
      </c>
      <c r="CR13">
        <v>0.8982905</v>
      </c>
      <c r="CS13">
        <v>1.57181259</v>
      </c>
      <c r="CT13">
        <v>45</v>
      </c>
      <c r="CU13">
        <v>0.80433089</v>
      </c>
      <c r="CV13">
        <v>1.25307526</v>
      </c>
      <c r="CW13">
        <v>45</v>
      </c>
      <c r="CX13">
        <v>0.87698338</v>
      </c>
      <c r="CY13">
        <v>1.4449731</v>
      </c>
      <c r="DB13">
        <v>50</v>
      </c>
      <c r="DD13">
        <v>6.395</v>
      </c>
      <c r="DL13">
        <v>9.36629467912928e-5</v>
      </c>
      <c r="DN13">
        <v>6.39166666666667</v>
      </c>
    </row>
    <row r="14" spans="4:121">
      <c r="T14">
        <v>6.487</v>
      </c>
      <c r="U14">
        <v>1.08112693817442</v>
      </c>
      <c r="V14">
        <v>6.487</v>
      </c>
      <c r="W14">
        <v>1.09559837203525</v>
      </c>
      <c r="X14">
        <v>6.487</v>
      </c>
      <c r="Y14">
        <v>1.09180722558294</v>
      </c>
      <c r="Z14">
        <v>6.487</v>
      </c>
      <c r="AA14">
        <v>1.08180876923196</v>
      </c>
      <c r="AB14">
        <v>6.487</v>
      </c>
      <c r="AC14">
        <v>1.09072505513906</v>
      </c>
      <c r="AE14">
        <v>6.487</v>
      </c>
      <c r="AF14">
        <v>-1790.35651566485</v>
      </c>
      <c r="AG14">
        <v>-1770.22862668853</v>
      </c>
      <c r="AH14">
        <v>-1563.95157439023</v>
      </c>
      <c r="AI14">
        <v>-1935.66358582194</v>
      </c>
      <c r="AJ14">
        <v>-1893.81270836395</v>
      </c>
      <c r="AM14">
        <v>60</v>
      </c>
      <c r="AN14">
        <v>5.20778851</v>
      </c>
      <c r="AO14">
        <v>5.69313322</v>
      </c>
      <c r="AP14">
        <v>4.78688177</v>
      </c>
      <c r="AQ14">
        <v>4.54156295</v>
      </c>
      <c r="AR14">
        <v>4.44090385</v>
      </c>
      <c r="BF14">
        <v>0.525</v>
      </c>
      <c r="BG14">
        <v>0</v>
      </c>
      <c r="BH14">
        <v>0.525</v>
      </c>
      <c r="BI14">
        <v>0</v>
      </c>
      <c r="BJ14">
        <v>0.525</v>
      </c>
      <c r="BK14">
        <v>0</v>
      </c>
      <c r="BL14">
        <v>0.525</v>
      </c>
      <c r="BM14">
        <v>0</v>
      </c>
      <c r="BN14">
        <v>0.525</v>
      </c>
      <c r="BO14">
        <v>0</v>
      </c>
      <c r="BP14">
        <v>0.525</v>
      </c>
      <c r="BQ14">
        <v>0</v>
      </c>
      <c r="BR14">
        <v>0.525</v>
      </c>
      <c r="BS14">
        <v>0</v>
      </c>
      <c r="BT14">
        <v>0.525</v>
      </c>
      <c r="BU14">
        <v>0</v>
      </c>
      <c r="BV14">
        <v>0.525</v>
      </c>
      <c r="BW14">
        <v>0</v>
      </c>
      <c r="BX14">
        <v>0.525</v>
      </c>
      <c r="BY14">
        <v>0</v>
      </c>
      <c r="CB14">
        <v>0.525</v>
      </c>
      <c r="CC14">
        <v>0</v>
      </c>
      <c r="CD14">
        <v>0</v>
      </c>
      <c r="CE14">
        <v>0</v>
      </c>
      <c r="CF14">
        <v>0</v>
      </c>
      <c r="CG14">
        <v>0</v>
      </c>
      <c r="CK14">
        <v>50</v>
      </c>
      <c r="CL14">
        <v>0.92546164</v>
      </c>
      <c r="CM14">
        <v>1.59312528</v>
      </c>
      <c r="CN14">
        <v>50</v>
      </c>
      <c r="CO14">
        <v>0.7985569</v>
      </c>
      <c r="CP14">
        <v>1.06941444</v>
      </c>
      <c r="CQ14">
        <v>50</v>
      </c>
      <c r="CR14">
        <v>0.94436934</v>
      </c>
      <c r="CS14">
        <v>1.64687028</v>
      </c>
      <c r="CT14">
        <v>50</v>
      </c>
      <c r="CU14">
        <v>0.83246831</v>
      </c>
      <c r="CV14">
        <v>1.30809898</v>
      </c>
      <c r="CW14">
        <v>50</v>
      </c>
      <c r="CX14">
        <v>0.92008365</v>
      </c>
      <c r="CY14">
        <v>1.54674907</v>
      </c>
      <c r="DB14">
        <v>60</v>
      </c>
      <c r="DD14">
        <v>9.19833333333333</v>
      </c>
      <c r="DL14">
        <v>0.000135144955868131</v>
      </c>
      <c r="DN14">
        <v>16.9166666666667</v>
      </c>
    </row>
    <row r="15" spans="4:121">
      <c r="T15">
        <v>6.986</v>
      </c>
      <c r="U15">
        <v>1.08134954072327</v>
      </c>
      <c r="V15">
        <v>6.986</v>
      </c>
      <c r="W15">
        <v>1.08933025969266</v>
      </c>
      <c r="X15">
        <v>6.986</v>
      </c>
      <c r="Y15">
        <v>1.10310360144706</v>
      </c>
      <c r="Z15">
        <v>6.986</v>
      </c>
      <c r="AA15">
        <v>1.08095669536283</v>
      </c>
      <c r="AB15">
        <v>6.986</v>
      </c>
      <c r="AC15">
        <v>1.0876309496626</v>
      </c>
      <c r="AE15">
        <v>6.986</v>
      </c>
      <c r="AF15">
        <v>-1737.9993697863</v>
      </c>
      <c r="AG15">
        <v>-1783.58227108197</v>
      </c>
      <c r="AH15">
        <v>-1643.05486364996</v>
      </c>
      <c r="AI15">
        <v>-1783.35797533142</v>
      </c>
      <c r="AJ15">
        <v>-1956.88727618513</v>
      </c>
      <c r="AM15">
        <v>65</v>
      </c>
      <c r="AN15">
        <v>5.19942898</v>
      </c>
      <c r="AO15">
        <v>5.7039955</v>
      </c>
      <c r="AP15">
        <v>4.79898938</v>
      </c>
      <c r="AQ15">
        <v>4.5531808</v>
      </c>
      <c r="AR15">
        <v>4.45597705</v>
      </c>
      <c r="BF15">
        <v>0.575</v>
      </c>
      <c r="BG15">
        <v>0</v>
      </c>
      <c r="BH15">
        <v>0.575</v>
      </c>
      <c r="BI15">
        <v>0</v>
      </c>
      <c r="BJ15">
        <v>0.575</v>
      </c>
      <c r="BK15">
        <v>0</v>
      </c>
      <c r="BL15">
        <v>0.575</v>
      </c>
      <c r="BM15">
        <v>0</v>
      </c>
      <c r="BN15">
        <v>0.575</v>
      </c>
      <c r="BO15">
        <v>0</v>
      </c>
      <c r="BP15">
        <v>0.575</v>
      </c>
      <c r="BQ15">
        <v>0</v>
      </c>
      <c r="BR15">
        <v>0.575</v>
      </c>
      <c r="BS15">
        <v>0</v>
      </c>
      <c r="BT15">
        <v>0.575</v>
      </c>
      <c r="BU15">
        <v>0</v>
      </c>
      <c r="BV15">
        <v>0.575</v>
      </c>
      <c r="BW15">
        <v>0</v>
      </c>
      <c r="BX15">
        <v>0.575</v>
      </c>
      <c r="BY15">
        <v>0</v>
      </c>
      <c r="CB15">
        <v>0.575</v>
      </c>
      <c r="CC15">
        <v>0</v>
      </c>
      <c r="CD15">
        <v>0</v>
      </c>
      <c r="CE15">
        <v>0</v>
      </c>
      <c r="CF15">
        <v>0</v>
      </c>
      <c r="CG15">
        <v>0</v>
      </c>
      <c r="CK15">
        <v>55</v>
      </c>
      <c r="CL15">
        <v>0.93835936</v>
      </c>
      <c r="CM15">
        <v>1.62910791</v>
      </c>
      <c r="CN15">
        <v>55</v>
      </c>
      <c r="CO15">
        <v>0.79914687</v>
      </c>
      <c r="CP15">
        <v>1.08999833</v>
      </c>
      <c r="CQ15">
        <v>55</v>
      </c>
      <c r="CR15">
        <v>0.96696354</v>
      </c>
      <c r="CS15">
        <v>1.64818674</v>
      </c>
      <c r="CT15">
        <v>55</v>
      </c>
      <c r="CU15">
        <v>0.89522386</v>
      </c>
      <c r="CV15">
        <v>1.40030598</v>
      </c>
      <c r="CW15">
        <v>55</v>
      </c>
      <c r="CX15">
        <v>0.95759392</v>
      </c>
      <c r="CY15">
        <v>1.62360325</v>
      </c>
      <c r="DB15">
        <v>100</v>
      </c>
      <c r="DD15">
        <v>15.6983333333333</v>
      </c>
      <c r="DL15">
        <v>0.000232899390457352</v>
      </c>
      <c r="DN15">
        <v>20.9166666666667</v>
      </c>
    </row>
    <row r="16" spans="4:121">
      <c r="T16">
        <v>7.485</v>
      </c>
      <c r="U16">
        <v>1.08869010951223</v>
      </c>
      <c r="V16">
        <v>7.485</v>
      </c>
      <c r="W16">
        <v>1.10442957128169</v>
      </c>
      <c r="X16">
        <v>7.485</v>
      </c>
      <c r="Y16">
        <v>1.10600477312916</v>
      </c>
      <c r="Z16">
        <v>7.485</v>
      </c>
      <c r="AA16">
        <v>1.07272901838948</v>
      </c>
      <c r="AB16">
        <v>7.485</v>
      </c>
      <c r="AC16">
        <v>1.08525809734967</v>
      </c>
      <c r="AE16">
        <v>7.485</v>
      </c>
      <c r="AF16">
        <v>-1657.1768767008</v>
      </c>
      <c r="AG16">
        <v>-1937.14456475221</v>
      </c>
      <c r="AH16">
        <v>-1762.06400751003</v>
      </c>
      <c r="AI16">
        <v>-1627.85794776858</v>
      </c>
      <c r="AJ16">
        <v>-1853.56225561349</v>
      </c>
      <c r="AM16">
        <v>70</v>
      </c>
      <c r="AN16">
        <v>5.18931159</v>
      </c>
      <c r="AO16">
        <v>5.6599025</v>
      </c>
      <c r="AP16">
        <v>4.80070139</v>
      </c>
      <c r="AQ16">
        <v>4.53786071</v>
      </c>
      <c r="AR16">
        <v>4.43993467</v>
      </c>
      <c r="BF16">
        <v>0.625</v>
      </c>
      <c r="BG16">
        <v>0</v>
      </c>
      <c r="BH16">
        <v>0.625</v>
      </c>
      <c r="BI16">
        <v>0</v>
      </c>
      <c r="BJ16">
        <v>0.625</v>
      </c>
      <c r="BK16">
        <v>0</v>
      </c>
      <c r="BL16">
        <v>0.625</v>
      </c>
      <c r="BM16">
        <v>0</v>
      </c>
      <c r="BN16">
        <v>0.625</v>
      </c>
      <c r="BO16">
        <v>0</v>
      </c>
      <c r="BP16">
        <v>0.625</v>
      </c>
      <c r="BQ16">
        <v>0</v>
      </c>
      <c r="BR16">
        <v>0.625</v>
      </c>
      <c r="BS16">
        <v>0</v>
      </c>
      <c r="BT16">
        <v>0.625</v>
      </c>
      <c r="BU16">
        <v>0</v>
      </c>
      <c r="BV16">
        <v>0.625</v>
      </c>
      <c r="BW16">
        <v>0</v>
      </c>
      <c r="BX16">
        <v>0.625</v>
      </c>
      <c r="BY16">
        <v>0</v>
      </c>
      <c r="CB16">
        <v>0.625</v>
      </c>
      <c r="CC16">
        <v>0</v>
      </c>
      <c r="CD16">
        <v>0</v>
      </c>
      <c r="CE16">
        <v>0</v>
      </c>
      <c r="CF16">
        <v>0</v>
      </c>
      <c r="CG16">
        <v>0</v>
      </c>
      <c r="CK16">
        <v>60</v>
      </c>
      <c r="CL16">
        <v>0.9853827</v>
      </c>
      <c r="CM16">
        <v>1.72693569</v>
      </c>
      <c r="CN16">
        <v>60</v>
      </c>
      <c r="CO16">
        <v>0.84338681</v>
      </c>
      <c r="CP16">
        <v>1.11401623</v>
      </c>
      <c r="CQ16">
        <v>60</v>
      </c>
      <c r="CR16">
        <v>1.02333729</v>
      </c>
      <c r="CS16">
        <v>1.74896614</v>
      </c>
      <c r="CT16">
        <v>60</v>
      </c>
      <c r="CU16">
        <v>0.91958289</v>
      </c>
      <c r="CV16">
        <v>1.44912874</v>
      </c>
      <c r="CW16">
        <v>60</v>
      </c>
      <c r="CX16">
        <v>1.00868202</v>
      </c>
      <c r="CY16">
        <v>1.69823138</v>
      </c>
      <c r="DB16">
        <v>200</v>
      </c>
      <c r="DD16">
        <v>16.8166666666667</v>
      </c>
      <c r="DL16">
        <v>0.000247488949885936</v>
      </c>
      <c r="DN16">
        <v>27.5666666666667</v>
      </c>
    </row>
    <row r="17" spans="20:103">
      <c r="T17">
        <v>7.984</v>
      </c>
      <c r="U17">
        <v>1.0941068331977</v>
      </c>
      <c r="V17">
        <v>7.984</v>
      </c>
      <c r="W17">
        <v>1.10553423204537</v>
      </c>
      <c r="X17">
        <v>7.984</v>
      </c>
      <c r="Y17">
        <v>1.09921295581316</v>
      </c>
      <c r="Z17">
        <v>7.984</v>
      </c>
      <c r="AA17">
        <v>1.07551514664896</v>
      </c>
      <c r="AB17">
        <v>7.984</v>
      </c>
      <c r="AC17">
        <v>1.0886566725758</v>
      </c>
      <c r="AE17">
        <v>7.984</v>
      </c>
      <c r="AF17">
        <v>-1687.71236406587</v>
      </c>
      <c r="AG17">
        <v>-1929.60257034224</v>
      </c>
      <c r="AH17">
        <v>-1883.64637817149</v>
      </c>
      <c r="AI17">
        <v>-1685.73451145984</v>
      </c>
      <c r="AJ17">
        <v>-1706.0920065098</v>
      </c>
      <c r="AM17">
        <v>75</v>
      </c>
      <c r="AN17">
        <v>5.22491995</v>
      </c>
      <c r="AO17">
        <v>5.67051287</v>
      </c>
      <c r="AP17">
        <v>4.81461405</v>
      </c>
      <c r="AQ17">
        <v>4.56277155</v>
      </c>
      <c r="AR17">
        <v>4.45153821</v>
      </c>
      <c r="BF17">
        <v>0.675</v>
      </c>
      <c r="BG17">
        <v>0</v>
      </c>
      <c r="BH17">
        <v>0.675</v>
      </c>
      <c r="BI17">
        <v>0</v>
      </c>
      <c r="BJ17">
        <v>0.675</v>
      </c>
      <c r="BK17">
        <v>0</v>
      </c>
      <c r="BL17">
        <v>0.675</v>
      </c>
      <c r="BM17">
        <v>0</v>
      </c>
      <c r="BN17">
        <v>0.675</v>
      </c>
      <c r="BO17">
        <v>0</v>
      </c>
      <c r="BP17">
        <v>0.675</v>
      </c>
      <c r="BQ17">
        <v>0</v>
      </c>
      <c r="BR17">
        <v>0.675</v>
      </c>
      <c r="BS17">
        <v>0</v>
      </c>
      <c r="BT17">
        <v>0.675</v>
      </c>
      <c r="BU17">
        <v>0</v>
      </c>
      <c r="BV17">
        <v>0.675</v>
      </c>
      <c r="BW17">
        <v>0</v>
      </c>
      <c r="BX17">
        <v>0.675</v>
      </c>
      <c r="BY17">
        <v>0</v>
      </c>
      <c r="CB17">
        <v>0.675</v>
      </c>
      <c r="CC17">
        <v>0</v>
      </c>
      <c r="CD17">
        <v>0</v>
      </c>
      <c r="CE17">
        <v>0</v>
      </c>
      <c r="CF17">
        <v>0</v>
      </c>
      <c r="CG17">
        <v>0</v>
      </c>
      <c r="CK17">
        <v>65</v>
      </c>
      <c r="CL17">
        <v>1.00836748</v>
      </c>
      <c r="CM17">
        <v>1.79254343</v>
      </c>
      <c r="CN17">
        <v>65</v>
      </c>
      <c r="CO17">
        <v>0.83906843</v>
      </c>
      <c r="CP17">
        <v>1.14756161</v>
      </c>
      <c r="CQ17">
        <v>65</v>
      </c>
      <c r="CR17">
        <v>1.07209147</v>
      </c>
      <c r="CS17">
        <v>1.77526679</v>
      </c>
      <c r="CT17">
        <v>65</v>
      </c>
      <c r="CU17">
        <v>0.93456752</v>
      </c>
      <c r="CV17">
        <v>1.49323472</v>
      </c>
      <c r="CW17">
        <v>65</v>
      </c>
      <c r="CX17">
        <v>1.05687227</v>
      </c>
      <c r="CY17">
        <v>1.78574624</v>
      </c>
    </row>
    <row r="18" spans="20:103">
      <c r="T18">
        <v>8.483</v>
      </c>
      <c r="U18">
        <v>1.09483335586906</v>
      </c>
      <c r="V18">
        <v>8.483</v>
      </c>
      <c r="W18">
        <v>1.09109698317773</v>
      </c>
      <c r="X18">
        <v>8.483</v>
      </c>
      <c r="Y18">
        <v>1.09924820881211</v>
      </c>
      <c r="Z18">
        <v>8.483</v>
      </c>
      <c r="AA18">
        <v>1.07771263451805</v>
      </c>
      <c r="AB18">
        <v>8.483</v>
      </c>
      <c r="AC18">
        <v>1.0908556853688</v>
      </c>
      <c r="AE18">
        <v>8.483</v>
      </c>
      <c r="AF18">
        <v>-1753.0930435198</v>
      </c>
      <c r="AG18">
        <v>-1797.58172464689</v>
      </c>
      <c r="AH18">
        <v>-1792.95751430363</v>
      </c>
      <c r="AI18">
        <v>-1830.16762824095</v>
      </c>
      <c r="AJ18">
        <v>-1838.08247702222</v>
      </c>
      <c r="AM18">
        <v>80</v>
      </c>
      <c r="AN18">
        <v>5.2029852</v>
      </c>
      <c r="AO18">
        <v>5.6942144</v>
      </c>
      <c r="AP18">
        <v>4.79353557</v>
      </c>
      <c r="AQ18">
        <v>4.55227744</v>
      </c>
      <c r="AR18">
        <v>4.4508119</v>
      </c>
      <c r="BF18">
        <v>0.725</v>
      </c>
      <c r="BG18">
        <v>0</v>
      </c>
      <c r="BH18">
        <v>0.725</v>
      </c>
      <c r="BI18">
        <v>0</v>
      </c>
      <c r="BJ18">
        <v>0.725</v>
      </c>
      <c r="BK18">
        <v>0</v>
      </c>
      <c r="BL18">
        <v>0.725</v>
      </c>
      <c r="BM18">
        <v>0</v>
      </c>
      <c r="BN18">
        <v>0.725</v>
      </c>
      <c r="BO18">
        <v>0</v>
      </c>
      <c r="BP18">
        <v>0.725</v>
      </c>
      <c r="BQ18">
        <v>0</v>
      </c>
      <c r="BR18">
        <v>0.725</v>
      </c>
      <c r="BS18">
        <v>0</v>
      </c>
      <c r="BT18">
        <v>0.725</v>
      </c>
      <c r="BU18">
        <v>0</v>
      </c>
      <c r="BV18">
        <v>0.725</v>
      </c>
      <c r="BW18">
        <v>0</v>
      </c>
      <c r="BX18">
        <v>0.725</v>
      </c>
      <c r="BY18">
        <v>0</v>
      </c>
      <c r="CB18">
        <v>0.725</v>
      </c>
      <c r="CC18">
        <v>0</v>
      </c>
      <c r="CD18">
        <v>0</v>
      </c>
      <c r="CE18">
        <v>0</v>
      </c>
      <c r="CF18">
        <v>0</v>
      </c>
      <c r="CG18">
        <v>0</v>
      </c>
      <c r="CK18">
        <v>70</v>
      </c>
      <c r="CL18">
        <v>1.03441451</v>
      </c>
      <c r="CM18">
        <v>1.82009615</v>
      </c>
      <c r="CN18">
        <v>70</v>
      </c>
      <c r="CO18">
        <v>0.86119062</v>
      </c>
      <c r="CP18">
        <v>1.15557548</v>
      </c>
      <c r="CQ18">
        <v>70</v>
      </c>
      <c r="CR18">
        <v>1.14444018</v>
      </c>
      <c r="CS18">
        <v>1.89186064</v>
      </c>
      <c r="CT18">
        <v>70</v>
      </c>
      <c r="CU18">
        <v>0.9443722</v>
      </c>
      <c r="CV18">
        <v>1.54135923</v>
      </c>
      <c r="CW18">
        <v>70</v>
      </c>
      <c r="CX18">
        <v>1.10574371</v>
      </c>
      <c r="CY18">
        <v>1.87607542</v>
      </c>
    </row>
    <row r="19" spans="20:103">
      <c r="T19">
        <v>8.982</v>
      </c>
      <c r="U19">
        <v>1.09148344699078</v>
      </c>
      <c r="V19">
        <v>8.982</v>
      </c>
      <c r="W19">
        <v>1.1010236481774</v>
      </c>
      <c r="X19">
        <v>8.982</v>
      </c>
      <c r="Y19">
        <v>1.09699397028078</v>
      </c>
      <c r="Z19">
        <v>8.982</v>
      </c>
      <c r="AA19">
        <v>1.07881855644967</v>
      </c>
      <c r="AB19">
        <v>8.982</v>
      </c>
      <c r="AC19">
        <v>1.09433317926165</v>
      </c>
      <c r="AE19">
        <v>8.982</v>
      </c>
      <c r="AF19">
        <v>-1799.08502323829</v>
      </c>
      <c r="AG19">
        <v>-1769.92476918104</v>
      </c>
      <c r="AH19">
        <v>-1613.41771198284</v>
      </c>
      <c r="AI19">
        <v>-1908.7426843968</v>
      </c>
      <c r="AJ19">
        <v>-1849.86104945839</v>
      </c>
      <c r="AM19">
        <v>85</v>
      </c>
      <c r="AN19">
        <v>5.22786515</v>
      </c>
      <c r="AO19">
        <v>5.69090791</v>
      </c>
      <c r="AP19">
        <v>4.81163879</v>
      </c>
      <c r="AQ19">
        <v>4.56710239</v>
      </c>
      <c r="AR19">
        <v>4.44578091</v>
      </c>
      <c r="BF19">
        <v>0.775</v>
      </c>
      <c r="BG19">
        <v>0</v>
      </c>
      <c r="BH19">
        <v>0.775</v>
      </c>
      <c r="BI19">
        <v>0</v>
      </c>
      <c r="BJ19">
        <v>0.775</v>
      </c>
      <c r="BK19">
        <v>0</v>
      </c>
      <c r="BL19">
        <v>0.775</v>
      </c>
      <c r="BM19">
        <v>0</v>
      </c>
      <c r="BN19">
        <v>0.775</v>
      </c>
      <c r="BO19">
        <v>0</v>
      </c>
      <c r="BP19">
        <v>0.775</v>
      </c>
      <c r="BQ19">
        <v>0</v>
      </c>
      <c r="BR19">
        <v>0.775</v>
      </c>
      <c r="BS19">
        <v>0</v>
      </c>
      <c r="BT19">
        <v>0.775</v>
      </c>
      <c r="BU19">
        <v>0</v>
      </c>
      <c r="BV19">
        <v>0.775</v>
      </c>
      <c r="BW19">
        <v>0</v>
      </c>
      <c r="BX19">
        <v>0.775</v>
      </c>
      <c r="BY19">
        <v>0</v>
      </c>
      <c r="CB19">
        <v>0.775</v>
      </c>
      <c r="CC19">
        <v>0</v>
      </c>
      <c r="CD19">
        <v>0</v>
      </c>
      <c r="CE19">
        <v>0</v>
      </c>
      <c r="CF19">
        <v>0</v>
      </c>
      <c r="CG19">
        <v>0</v>
      </c>
      <c r="CK19">
        <v>75</v>
      </c>
      <c r="CL19">
        <v>1.08918813</v>
      </c>
      <c r="CM19">
        <v>1.85414065</v>
      </c>
      <c r="CN19">
        <v>75</v>
      </c>
      <c r="CO19">
        <v>0.89086097</v>
      </c>
      <c r="CP19">
        <v>1.18435032</v>
      </c>
      <c r="CQ19">
        <v>75</v>
      </c>
      <c r="CR19">
        <v>1.16430808</v>
      </c>
      <c r="CS19">
        <v>1.919286</v>
      </c>
      <c r="CT19">
        <v>75</v>
      </c>
      <c r="CU19">
        <v>0.98418646</v>
      </c>
      <c r="CV19">
        <v>1.59279961</v>
      </c>
      <c r="CW19">
        <v>75</v>
      </c>
      <c r="CX19">
        <v>1.1438919</v>
      </c>
      <c r="CY19">
        <v>1.96066703</v>
      </c>
    </row>
    <row r="20" spans="20:103">
      <c r="T20">
        <v>9.481</v>
      </c>
      <c r="U20">
        <v>1.0920626448834</v>
      </c>
      <c r="V20">
        <v>9.481</v>
      </c>
      <c r="W20">
        <v>1.1137775097697</v>
      </c>
      <c r="X20">
        <v>9.481</v>
      </c>
      <c r="Y20">
        <v>1.1132850261317</v>
      </c>
      <c r="Z20">
        <v>9.481</v>
      </c>
      <c r="AA20">
        <v>1.08159508841152</v>
      </c>
      <c r="AB20">
        <v>9.481</v>
      </c>
      <c r="AC20">
        <v>1.09128561211052</v>
      </c>
      <c r="AE20">
        <v>9.481</v>
      </c>
      <c r="AF20">
        <v>-1747.84611852589</v>
      </c>
      <c r="AG20">
        <v>-1831.75911399879</v>
      </c>
      <c r="AH20">
        <v>-1634.74639969564</v>
      </c>
      <c r="AI20">
        <v>-1749.88662260383</v>
      </c>
      <c r="AJ20">
        <v>-1860.0615755991</v>
      </c>
      <c r="AM20">
        <v>90</v>
      </c>
      <c r="AN20">
        <v>5.22403465</v>
      </c>
      <c r="AO20">
        <v>5.67415927</v>
      </c>
      <c r="AP20">
        <v>4.80269259</v>
      </c>
      <c r="AQ20">
        <v>4.55357603</v>
      </c>
      <c r="AR20">
        <v>4.45240238</v>
      </c>
      <c r="BF20">
        <v>0.825</v>
      </c>
      <c r="BG20">
        <v>0</v>
      </c>
      <c r="BH20">
        <v>0.825</v>
      </c>
      <c r="BI20">
        <v>0</v>
      </c>
      <c r="BJ20">
        <v>0.825</v>
      </c>
      <c r="BK20">
        <v>0</v>
      </c>
      <c r="BL20">
        <v>0.825</v>
      </c>
      <c r="BM20">
        <v>0</v>
      </c>
      <c r="BN20">
        <v>0.825</v>
      </c>
      <c r="BO20">
        <v>0</v>
      </c>
      <c r="BP20">
        <v>0.825</v>
      </c>
      <c r="BQ20">
        <v>0</v>
      </c>
      <c r="BR20">
        <v>0.825</v>
      </c>
      <c r="BS20">
        <v>0</v>
      </c>
      <c r="BT20">
        <v>0.825</v>
      </c>
      <c r="BU20">
        <v>0</v>
      </c>
      <c r="BV20">
        <v>0.825</v>
      </c>
      <c r="BW20">
        <v>0</v>
      </c>
      <c r="BX20">
        <v>0.825</v>
      </c>
      <c r="BY20">
        <v>0</v>
      </c>
      <c r="CB20">
        <v>0.825</v>
      </c>
      <c r="CC20">
        <v>0</v>
      </c>
      <c r="CD20">
        <v>0</v>
      </c>
      <c r="CE20">
        <v>0</v>
      </c>
      <c r="CF20">
        <v>0</v>
      </c>
      <c r="CG20">
        <v>0</v>
      </c>
      <c r="CK20">
        <v>80</v>
      </c>
      <c r="CL20">
        <v>1.09380733</v>
      </c>
      <c r="CM20">
        <v>1.87733492</v>
      </c>
      <c r="CN20">
        <v>80</v>
      </c>
      <c r="CO20">
        <v>0.90104856</v>
      </c>
      <c r="CP20">
        <v>1.22170747</v>
      </c>
      <c r="CQ20">
        <v>80</v>
      </c>
      <c r="CR20">
        <v>1.18232326</v>
      </c>
      <c r="CS20">
        <v>1.98739109</v>
      </c>
      <c r="CT20">
        <v>80</v>
      </c>
      <c r="CU20">
        <v>1.02051793</v>
      </c>
      <c r="CV20">
        <v>1.63444551</v>
      </c>
      <c r="CW20">
        <v>80</v>
      </c>
      <c r="CX20">
        <v>1.19923842</v>
      </c>
      <c r="CY20">
        <v>2.03155583</v>
      </c>
    </row>
    <row r="21" spans="20:103">
      <c r="T21">
        <v>9.98</v>
      </c>
      <c r="U21">
        <v>1.10089754983452</v>
      </c>
      <c r="V21">
        <v>9.98</v>
      </c>
      <c r="W21">
        <v>1.11378199995627</v>
      </c>
      <c r="X21">
        <v>9.98</v>
      </c>
      <c r="Y21">
        <v>1.11777618630246</v>
      </c>
      <c r="Z21">
        <v>9.98</v>
      </c>
      <c r="AA21">
        <v>1.07504167628761</v>
      </c>
      <c r="AB21">
        <v>9.98</v>
      </c>
      <c r="AC21">
        <v>1.0955207903806</v>
      </c>
      <c r="AE21">
        <v>9.98</v>
      </c>
      <c r="AF21">
        <v>-1732.55063211885</v>
      </c>
      <c r="AG21">
        <v>-1937.40621546676</v>
      </c>
      <c r="AH21">
        <v>-1710.59804173736</v>
      </c>
      <c r="AI21">
        <v>-1712.68956229574</v>
      </c>
      <c r="AJ21">
        <v>-1837.73376025196</v>
      </c>
      <c r="AM21">
        <v>95</v>
      </c>
      <c r="AN21">
        <v>5.22085098</v>
      </c>
      <c r="AO21">
        <v>5.69352891</v>
      </c>
      <c r="AP21">
        <v>4.80253475</v>
      </c>
      <c r="AQ21">
        <v>4.54922052</v>
      </c>
      <c r="AR21">
        <v>4.43239551</v>
      </c>
      <c r="BF21">
        <v>0.875</v>
      </c>
      <c r="BG21">
        <v>0</v>
      </c>
      <c r="BH21">
        <v>0.875</v>
      </c>
      <c r="BI21">
        <v>0</v>
      </c>
      <c r="BJ21">
        <v>0.875</v>
      </c>
      <c r="BK21">
        <v>0</v>
      </c>
      <c r="BL21">
        <v>0.875</v>
      </c>
      <c r="BM21">
        <v>0</v>
      </c>
      <c r="BN21">
        <v>0.875</v>
      </c>
      <c r="BO21">
        <v>0</v>
      </c>
      <c r="BP21">
        <v>0.875</v>
      </c>
      <c r="BQ21">
        <v>0</v>
      </c>
      <c r="BR21">
        <v>0.875</v>
      </c>
      <c r="BS21">
        <v>0</v>
      </c>
      <c r="BT21">
        <v>0.875</v>
      </c>
      <c r="BU21">
        <v>0</v>
      </c>
      <c r="BV21">
        <v>0.875</v>
      </c>
      <c r="BW21">
        <v>0</v>
      </c>
      <c r="BX21">
        <v>0.875</v>
      </c>
      <c r="BY21">
        <v>0</v>
      </c>
      <c r="CB21">
        <v>0.875</v>
      </c>
      <c r="CC21">
        <v>0</v>
      </c>
      <c r="CD21">
        <v>0</v>
      </c>
      <c r="CE21">
        <v>0</v>
      </c>
      <c r="CF21">
        <v>0</v>
      </c>
      <c r="CG21">
        <v>0</v>
      </c>
      <c r="CK21">
        <v>85</v>
      </c>
      <c r="CL21">
        <v>1.12630864</v>
      </c>
      <c r="CM21">
        <v>1.94159056</v>
      </c>
      <c r="CN21">
        <v>85</v>
      </c>
      <c r="CO21">
        <v>0.93216316</v>
      </c>
      <c r="CP21">
        <v>1.23621978</v>
      </c>
      <c r="CQ21">
        <v>85</v>
      </c>
      <c r="CR21">
        <v>1.22975417</v>
      </c>
      <c r="CS21">
        <v>2.02367013</v>
      </c>
      <c r="CT21">
        <v>85</v>
      </c>
      <c r="CU21">
        <v>1.05606054</v>
      </c>
      <c r="CV21">
        <v>1.69017946</v>
      </c>
      <c r="CW21">
        <v>85</v>
      </c>
      <c r="CX21">
        <v>1.25924869</v>
      </c>
      <c r="CY21">
        <v>2.1246357</v>
      </c>
    </row>
    <row r="22" spans="20:103">
      <c r="T22">
        <v>10.479</v>
      </c>
      <c r="U22">
        <v>1.10473846855192</v>
      </c>
      <c r="V22">
        <v>10.479</v>
      </c>
      <c r="W22">
        <v>1.10362841496886</v>
      </c>
      <c r="X22">
        <v>10.479</v>
      </c>
      <c r="Y22">
        <v>1.12010380300783</v>
      </c>
      <c r="Z22">
        <v>10.479</v>
      </c>
      <c r="AA22">
        <v>1.06926094354052</v>
      </c>
      <c r="AB22">
        <v>10.479</v>
      </c>
      <c r="AC22">
        <v>1.0897515635445</v>
      </c>
      <c r="AE22">
        <v>10.479</v>
      </c>
      <c r="AF22">
        <v>-1744.84059777894</v>
      </c>
      <c r="AG22">
        <v>-1950.83643874165</v>
      </c>
      <c r="AH22">
        <v>-1863.06370488731</v>
      </c>
      <c r="AI22">
        <v>-1748.20828337465</v>
      </c>
      <c r="AJ22">
        <v>-1742.96850391361</v>
      </c>
      <c r="AM22">
        <v>100</v>
      </c>
      <c r="AN22">
        <v>5.22136016</v>
      </c>
      <c r="AO22">
        <v>5.66986659</v>
      </c>
      <c r="AP22">
        <v>4.81244696</v>
      </c>
      <c r="AQ22">
        <v>4.55027883</v>
      </c>
      <c r="AR22">
        <v>4.4271029</v>
      </c>
      <c r="BF22">
        <v>0.925</v>
      </c>
      <c r="BG22">
        <v>0</v>
      </c>
      <c r="BH22">
        <v>0.925</v>
      </c>
      <c r="BI22">
        <v>0</v>
      </c>
      <c r="BJ22">
        <v>0.925</v>
      </c>
      <c r="BK22">
        <v>0</v>
      </c>
      <c r="BL22">
        <v>0.925</v>
      </c>
      <c r="BM22">
        <v>0</v>
      </c>
      <c r="BN22">
        <v>0.925</v>
      </c>
      <c r="BO22">
        <v>0</v>
      </c>
      <c r="BP22">
        <v>0.925</v>
      </c>
      <c r="BQ22">
        <v>0</v>
      </c>
      <c r="BR22">
        <v>0.925</v>
      </c>
      <c r="BS22">
        <v>0</v>
      </c>
      <c r="BT22">
        <v>0.925</v>
      </c>
      <c r="BU22">
        <v>0</v>
      </c>
      <c r="BV22">
        <v>0.925</v>
      </c>
      <c r="BW22">
        <v>0</v>
      </c>
      <c r="BX22">
        <v>0.925</v>
      </c>
      <c r="BY22">
        <v>0</v>
      </c>
      <c r="CB22">
        <v>0.925</v>
      </c>
      <c r="CC22">
        <v>0</v>
      </c>
      <c r="CD22">
        <v>0</v>
      </c>
      <c r="CE22">
        <v>0</v>
      </c>
      <c r="CF22">
        <v>0</v>
      </c>
      <c r="CG22">
        <v>0</v>
      </c>
      <c r="CK22">
        <v>90</v>
      </c>
      <c r="CL22">
        <v>1.15962551</v>
      </c>
      <c r="CM22">
        <v>1.99177518</v>
      </c>
      <c r="CN22">
        <v>90</v>
      </c>
      <c r="CO22">
        <v>0.9530911</v>
      </c>
      <c r="CP22">
        <v>1.25221869</v>
      </c>
      <c r="CQ22">
        <v>90</v>
      </c>
      <c r="CR22">
        <v>1.26473351</v>
      </c>
      <c r="CS22">
        <v>2.1035648</v>
      </c>
      <c r="CT22">
        <v>90</v>
      </c>
      <c r="CU22">
        <v>1.0903046</v>
      </c>
      <c r="CV22">
        <v>1.71686339</v>
      </c>
      <c r="CW22">
        <v>90</v>
      </c>
      <c r="CX22">
        <v>1.28986716</v>
      </c>
      <c r="CY22">
        <v>2.23302467</v>
      </c>
    </row>
    <row r="23" spans="20:103">
      <c r="T23">
        <v>10.978</v>
      </c>
      <c r="U23">
        <v>1.10288335175046</v>
      </c>
      <c r="V23">
        <v>10.978</v>
      </c>
      <c r="W23">
        <v>1.10390194003858</v>
      </c>
      <c r="X23">
        <v>10.978</v>
      </c>
      <c r="Y23">
        <v>1.1209496603438</v>
      </c>
      <c r="Z23">
        <v>10.978</v>
      </c>
      <c r="AA23">
        <v>1.06682208530453</v>
      </c>
      <c r="AB23">
        <v>10.978</v>
      </c>
      <c r="AC23">
        <v>1.09081935747905</v>
      </c>
      <c r="AE23">
        <v>10.978</v>
      </c>
      <c r="AF23">
        <v>-1723.73283123357</v>
      </c>
      <c r="AG23">
        <v>-1891.21016000637</v>
      </c>
      <c r="AH23">
        <v>-1811.428933835</v>
      </c>
      <c r="AI23">
        <v>-1840.18457919308</v>
      </c>
      <c r="AJ23">
        <v>-1854.51843779003</v>
      </c>
      <c r="AM23">
        <v>105</v>
      </c>
      <c r="AN23">
        <v>5.19615069</v>
      </c>
      <c r="AO23">
        <v>5.67820533</v>
      </c>
      <c r="AP23">
        <v>4.81097649</v>
      </c>
      <c r="AQ23">
        <v>4.55697691</v>
      </c>
      <c r="AR23">
        <v>4.43123857</v>
      </c>
      <c r="BF23">
        <v>0.975</v>
      </c>
      <c r="BG23">
        <v>0</v>
      </c>
      <c r="BH23">
        <v>0.975</v>
      </c>
      <c r="BI23">
        <v>0</v>
      </c>
      <c r="BJ23">
        <v>0.975</v>
      </c>
      <c r="BK23">
        <v>0</v>
      </c>
      <c r="BL23">
        <v>0.975</v>
      </c>
      <c r="BM23">
        <v>0</v>
      </c>
      <c r="BN23">
        <v>0.975</v>
      </c>
      <c r="BO23">
        <v>0</v>
      </c>
      <c r="BP23">
        <v>0.975</v>
      </c>
      <c r="BQ23">
        <v>0</v>
      </c>
      <c r="BR23">
        <v>0.975</v>
      </c>
      <c r="BS23">
        <v>0</v>
      </c>
      <c r="BT23">
        <v>0.975</v>
      </c>
      <c r="BU23">
        <v>0</v>
      </c>
      <c r="BV23">
        <v>0.975</v>
      </c>
      <c r="BW23">
        <v>0</v>
      </c>
      <c r="BX23">
        <v>0.975</v>
      </c>
      <c r="BY23">
        <v>0</v>
      </c>
      <c r="CB23">
        <v>0.975</v>
      </c>
      <c r="CC23">
        <v>0</v>
      </c>
      <c r="CD23">
        <v>0</v>
      </c>
      <c r="CE23">
        <v>0</v>
      </c>
      <c r="CF23">
        <v>0</v>
      </c>
      <c r="CG23">
        <v>0</v>
      </c>
      <c r="CK23">
        <v>95</v>
      </c>
      <c r="CL23">
        <v>1.19005073</v>
      </c>
      <c r="CM23">
        <v>2.05469701</v>
      </c>
      <c r="CN23">
        <v>95</v>
      </c>
      <c r="CO23">
        <v>0.98310601</v>
      </c>
      <c r="CP23">
        <v>1.29277107</v>
      </c>
      <c r="CQ23">
        <v>95</v>
      </c>
      <c r="CR23">
        <v>1.29584119</v>
      </c>
      <c r="CS23">
        <v>2.14479619</v>
      </c>
      <c r="CT23">
        <v>95</v>
      </c>
      <c r="CU23">
        <v>1.13199052</v>
      </c>
      <c r="CV23">
        <v>1.77479441</v>
      </c>
      <c r="CW23">
        <v>95</v>
      </c>
      <c r="CX23">
        <v>1.33129911</v>
      </c>
      <c r="CY23">
        <v>2.30955737</v>
      </c>
    </row>
    <row r="24" spans="20:103">
      <c r="T24">
        <v>11.477</v>
      </c>
      <c r="U24">
        <v>1.10355618362003</v>
      </c>
      <c r="V24">
        <v>11.477</v>
      </c>
      <c r="W24">
        <v>1.105195876765</v>
      </c>
      <c r="X24">
        <v>11.477</v>
      </c>
      <c r="Y24">
        <v>1.11406929118786</v>
      </c>
      <c r="Z24">
        <v>11.477</v>
      </c>
      <c r="AA24">
        <v>1.07297471873071</v>
      </c>
      <c r="AB24">
        <v>11.477</v>
      </c>
      <c r="AC24">
        <v>1.10157183084094</v>
      </c>
      <c r="AE24">
        <v>11.477</v>
      </c>
      <c r="AF24">
        <v>-1720.2621244</v>
      </c>
      <c r="AG24">
        <v>-1740.91982439414</v>
      </c>
      <c r="AH24">
        <v>-1696.53253271969</v>
      </c>
      <c r="AI24">
        <v>-1872.72840173513</v>
      </c>
      <c r="AJ24">
        <v>-1887.0589632918</v>
      </c>
      <c r="AM24">
        <v>110</v>
      </c>
      <c r="AN24">
        <v>5.21583654</v>
      </c>
      <c r="AO24">
        <v>5.67964035</v>
      </c>
      <c r="AP24">
        <v>4.78827126</v>
      </c>
      <c r="AQ24">
        <v>4.55285587</v>
      </c>
      <c r="AR24">
        <v>4.43975881</v>
      </c>
      <c r="BF24">
        <v>1.025</v>
      </c>
      <c r="BG24">
        <v>0</v>
      </c>
      <c r="BH24">
        <v>1.025</v>
      </c>
      <c r="BI24">
        <v>0</v>
      </c>
      <c r="BJ24">
        <v>1.025</v>
      </c>
      <c r="BK24">
        <v>0</v>
      </c>
      <c r="BL24">
        <v>1.025</v>
      </c>
      <c r="BM24">
        <v>0</v>
      </c>
      <c r="BN24">
        <v>1.025</v>
      </c>
      <c r="BO24">
        <v>0</v>
      </c>
      <c r="BP24">
        <v>1.025</v>
      </c>
      <c r="BQ24">
        <v>0</v>
      </c>
      <c r="BR24">
        <v>1.025</v>
      </c>
      <c r="BS24">
        <v>0</v>
      </c>
      <c r="BT24">
        <v>1.025</v>
      </c>
      <c r="BU24">
        <v>0</v>
      </c>
      <c r="BV24">
        <v>1.025</v>
      </c>
      <c r="BW24">
        <v>0</v>
      </c>
      <c r="BX24">
        <v>1.025</v>
      </c>
      <c r="BY24">
        <v>0</v>
      </c>
      <c r="CB24">
        <v>1.025</v>
      </c>
      <c r="CC24">
        <v>0</v>
      </c>
      <c r="CD24">
        <v>0</v>
      </c>
      <c r="CE24">
        <v>0</v>
      </c>
      <c r="CF24">
        <v>0</v>
      </c>
      <c r="CG24">
        <v>0</v>
      </c>
      <c r="CK24">
        <v>100</v>
      </c>
      <c r="CL24">
        <v>1.21025742</v>
      </c>
      <c r="CM24">
        <v>2.05297991</v>
      </c>
      <c r="CN24">
        <v>100</v>
      </c>
      <c r="CO24">
        <v>0.98099618</v>
      </c>
      <c r="CP24">
        <v>1.29441794</v>
      </c>
      <c r="CQ24">
        <v>100</v>
      </c>
      <c r="CR24">
        <v>1.32438834</v>
      </c>
      <c r="CS24">
        <v>2.18363255</v>
      </c>
      <c r="CT24">
        <v>100</v>
      </c>
      <c r="CU24">
        <v>1.15261558</v>
      </c>
      <c r="CV24">
        <v>1.79707823</v>
      </c>
      <c r="CW24">
        <v>100</v>
      </c>
      <c r="CX24">
        <v>1.37359716</v>
      </c>
      <c r="CY24">
        <v>2.40076628</v>
      </c>
    </row>
    <row r="25" spans="20:103">
      <c r="T25">
        <v>11.976</v>
      </c>
      <c r="U25">
        <v>1.10554553723744</v>
      </c>
      <c r="V25">
        <v>11.976</v>
      </c>
      <c r="W25">
        <v>1.11460151263521</v>
      </c>
      <c r="X25">
        <v>11.976</v>
      </c>
      <c r="Y25">
        <v>1.11927912536631</v>
      </c>
      <c r="Z25">
        <v>11.976</v>
      </c>
      <c r="AA25">
        <v>1.0753981454552</v>
      </c>
      <c r="AB25">
        <v>11.976</v>
      </c>
      <c r="AC25">
        <v>1.10181287346584</v>
      </c>
      <c r="AE25">
        <v>11.976</v>
      </c>
      <c r="AF25">
        <v>-1776.28063297665</v>
      </c>
      <c r="AG25">
        <v>-1847.15285846115</v>
      </c>
      <c r="AH25">
        <v>-1744.67238221863</v>
      </c>
      <c r="AI25">
        <v>-1790.83871105128</v>
      </c>
      <c r="AJ25">
        <v>-1790.88522553492</v>
      </c>
      <c r="AM25">
        <v>115</v>
      </c>
      <c r="AN25">
        <v>5.20228014</v>
      </c>
      <c r="AO25">
        <v>5.67409486</v>
      </c>
      <c r="AP25">
        <v>4.79786188</v>
      </c>
      <c r="AQ25">
        <v>4.53778925</v>
      </c>
      <c r="AR25">
        <v>4.43697016</v>
      </c>
      <c r="BF25">
        <v>1.075</v>
      </c>
      <c r="BG25">
        <v>0</v>
      </c>
      <c r="BH25">
        <v>1.075</v>
      </c>
      <c r="BI25">
        <v>0</v>
      </c>
      <c r="BJ25">
        <v>1.075</v>
      </c>
      <c r="BK25">
        <v>0</v>
      </c>
      <c r="BL25">
        <v>1.075</v>
      </c>
      <c r="BM25">
        <v>0</v>
      </c>
      <c r="BN25">
        <v>1.075</v>
      </c>
      <c r="BO25">
        <v>0</v>
      </c>
      <c r="BP25">
        <v>1.075</v>
      </c>
      <c r="BQ25">
        <v>0</v>
      </c>
      <c r="BR25">
        <v>1.075</v>
      </c>
      <c r="BS25">
        <v>0</v>
      </c>
      <c r="BT25">
        <v>1.075</v>
      </c>
      <c r="BU25">
        <v>0</v>
      </c>
      <c r="BV25">
        <v>1.075</v>
      </c>
      <c r="BW25">
        <v>0</v>
      </c>
      <c r="BX25">
        <v>1.075</v>
      </c>
      <c r="BY25">
        <v>0</v>
      </c>
      <c r="CB25">
        <v>1.075</v>
      </c>
      <c r="CC25">
        <v>0</v>
      </c>
      <c r="CD25">
        <v>0</v>
      </c>
      <c r="CE25">
        <v>0</v>
      </c>
      <c r="CF25">
        <v>0</v>
      </c>
      <c r="CG25">
        <v>0</v>
      </c>
      <c r="CK25">
        <v>105</v>
      </c>
      <c r="CL25">
        <v>1.23460978</v>
      </c>
      <c r="CM25">
        <v>2.09005512</v>
      </c>
      <c r="CN25">
        <v>105</v>
      </c>
      <c r="CO25">
        <v>1.01268511</v>
      </c>
      <c r="CP25">
        <v>1.31897558</v>
      </c>
      <c r="CQ25">
        <v>105</v>
      </c>
      <c r="CR25">
        <v>1.33840551</v>
      </c>
      <c r="CS25">
        <v>2.27347254</v>
      </c>
      <c r="CT25">
        <v>105</v>
      </c>
      <c r="CU25">
        <v>1.180219</v>
      </c>
      <c r="CV25">
        <v>1.81387432</v>
      </c>
      <c r="CW25">
        <v>105</v>
      </c>
      <c r="CX25">
        <v>1.39848986</v>
      </c>
      <c r="CY25">
        <v>2.46423419</v>
      </c>
    </row>
    <row r="26" spans="20:103">
      <c r="T26">
        <v>12.475</v>
      </c>
      <c r="U26">
        <v>1.09772171942826</v>
      </c>
      <c r="V26">
        <v>12.475</v>
      </c>
      <c r="W26">
        <v>1.10649791451054</v>
      </c>
      <c r="X26">
        <v>12.475</v>
      </c>
      <c r="Y26">
        <v>1.11755635983128</v>
      </c>
      <c r="Z26">
        <v>12.475</v>
      </c>
      <c r="AA26">
        <v>1.06792540761569</v>
      </c>
      <c r="AB26">
        <v>12.475</v>
      </c>
      <c r="AC26">
        <v>1.10933029156713</v>
      </c>
      <c r="AE26">
        <v>12.475</v>
      </c>
      <c r="AF26">
        <v>-1730.90280026014</v>
      </c>
      <c r="AG26">
        <v>-1874.61818870812</v>
      </c>
      <c r="AH26">
        <v>-1807.91211347432</v>
      </c>
      <c r="AI26">
        <v>-1700.61577086348</v>
      </c>
      <c r="AJ26">
        <v>-1815.1262397696</v>
      </c>
      <c r="AM26">
        <v>120</v>
      </c>
      <c r="AN26">
        <v>5.20973976</v>
      </c>
      <c r="AO26">
        <v>5.7058618</v>
      </c>
      <c r="AP26">
        <v>4.77652769</v>
      </c>
      <c r="AQ26">
        <v>4.53446876</v>
      </c>
      <c r="AR26">
        <v>4.43060463</v>
      </c>
      <c r="BF26">
        <v>1.125</v>
      </c>
      <c r="BG26">
        <v>0</v>
      </c>
      <c r="BH26">
        <v>1.125</v>
      </c>
      <c r="BI26">
        <v>0</v>
      </c>
      <c r="BJ26">
        <v>1.125</v>
      </c>
      <c r="BK26">
        <v>0</v>
      </c>
      <c r="BL26">
        <v>1.125</v>
      </c>
      <c r="BM26">
        <v>0</v>
      </c>
      <c r="BN26">
        <v>1.125</v>
      </c>
      <c r="BO26">
        <v>0</v>
      </c>
      <c r="BP26">
        <v>1.125</v>
      </c>
      <c r="BQ26">
        <v>0</v>
      </c>
      <c r="BR26">
        <v>1.125</v>
      </c>
      <c r="BS26">
        <v>0</v>
      </c>
      <c r="BT26">
        <v>1.125</v>
      </c>
      <c r="BU26">
        <v>0</v>
      </c>
      <c r="BV26">
        <v>1.125</v>
      </c>
      <c r="BW26">
        <v>0</v>
      </c>
      <c r="BX26">
        <v>1.125</v>
      </c>
      <c r="BY26">
        <v>0</v>
      </c>
      <c r="CB26">
        <v>1.125</v>
      </c>
      <c r="CC26">
        <v>0</v>
      </c>
      <c r="CD26">
        <v>0</v>
      </c>
      <c r="CE26">
        <v>0</v>
      </c>
      <c r="CF26">
        <v>0</v>
      </c>
      <c r="CG26">
        <v>0</v>
      </c>
      <c r="CK26">
        <v>110</v>
      </c>
      <c r="CL26">
        <v>1.27366281</v>
      </c>
      <c r="CM26">
        <v>2.15429398</v>
      </c>
      <c r="CN26">
        <v>110</v>
      </c>
      <c r="CO26">
        <v>1.0263094</v>
      </c>
      <c r="CP26">
        <v>1.33564472</v>
      </c>
      <c r="CQ26">
        <v>110</v>
      </c>
      <c r="CR26">
        <v>1.37596214</v>
      </c>
      <c r="CS26">
        <v>2.30513739</v>
      </c>
      <c r="CT26">
        <v>110</v>
      </c>
      <c r="CU26">
        <v>1.21927925</v>
      </c>
      <c r="CV26">
        <v>1.84946745</v>
      </c>
      <c r="CW26">
        <v>110</v>
      </c>
      <c r="CX26">
        <v>1.45011724</v>
      </c>
      <c r="CY26">
        <v>2.54516515</v>
      </c>
    </row>
    <row r="27" spans="20:103">
      <c r="T27">
        <v>12.974</v>
      </c>
      <c r="U27">
        <v>1.09751922201901</v>
      </c>
      <c r="V27">
        <v>12.974</v>
      </c>
      <c r="W27">
        <v>1.11037613523596</v>
      </c>
      <c r="X27">
        <v>12.974</v>
      </c>
      <c r="Y27">
        <v>1.11229894950829</v>
      </c>
      <c r="Z27">
        <v>12.974</v>
      </c>
      <c r="AA27">
        <v>1.07689147391606</v>
      </c>
      <c r="AB27">
        <v>12.974</v>
      </c>
      <c r="AC27">
        <v>1.11126538890561</v>
      </c>
      <c r="AE27">
        <v>12.974</v>
      </c>
      <c r="AF27">
        <v>-1731.54088402119</v>
      </c>
      <c r="AG27">
        <v>-1969.80902937895</v>
      </c>
      <c r="AH27">
        <v>-1695.61287955438</v>
      </c>
      <c r="AI27">
        <v>-1817.48002282366</v>
      </c>
      <c r="AJ27">
        <v>-1939.54187262817</v>
      </c>
      <c r="AM27">
        <v>125</v>
      </c>
      <c r="AN27">
        <v>5.20811891</v>
      </c>
      <c r="AO27">
        <v>5.70661087</v>
      </c>
      <c r="AP27">
        <v>4.78453581</v>
      </c>
      <c r="AQ27">
        <v>4.54061403</v>
      </c>
      <c r="AR27">
        <v>4.41958562</v>
      </c>
      <c r="BF27">
        <v>1.175</v>
      </c>
      <c r="BG27">
        <v>0</v>
      </c>
      <c r="BH27">
        <v>1.175</v>
      </c>
      <c r="BI27">
        <v>0</v>
      </c>
      <c r="BJ27">
        <v>1.175</v>
      </c>
      <c r="BK27">
        <v>0</v>
      </c>
      <c r="BL27">
        <v>1.175</v>
      </c>
      <c r="BM27">
        <v>0</v>
      </c>
      <c r="BN27">
        <v>1.175</v>
      </c>
      <c r="BO27">
        <v>0</v>
      </c>
      <c r="BP27">
        <v>1.175</v>
      </c>
      <c r="BQ27">
        <v>0</v>
      </c>
      <c r="BR27">
        <v>1.175</v>
      </c>
      <c r="BS27">
        <v>0</v>
      </c>
      <c r="BT27">
        <v>1.175</v>
      </c>
      <c r="BU27">
        <v>0</v>
      </c>
      <c r="BV27">
        <v>1.175</v>
      </c>
      <c r="BW27">
        <v>0</v>
      </c>
      <c r="BX27">
        <v>1.175</v>
      </c>
      <c r="BY27">
        <v>0</v>
      </c>
      <c r="CB27">
        <v>1.175</v>
      </c>
      <c r="CC27">
        <v>0</v>
      </c>
      <c r="CD27">
        <v>0</v>
      </c>
      <c r="CE27">
        <v>0</v>
      </c>
      <c r="CF27">
        <v>0</v>
      </c>
      <c r="CG27">
        <v>0</v>
      </c>
      <c r="CK27">
        <v>115</v>
      </c>
      <c r="CL27">
        <v>1.3170089</v>
      </c>
      <c r="CM27">
        <v>2.20383184</v>
      </c>
      <c r="CN27">
        <v>115</v>
      </c>
      <c r="CO27">
        <v>1.04285322</v>
      </c>
      <c r="CP27">
        <v>1.35194351</v>
      </c>
      <c r="CQ27">
        <v>115</v>
      </c>
      <c r="CR27">
        <v>1.37231169</v>
      </c>
      <c r="CS27">
        <v>2.33082138</v>
      </c>
      <c r="CT27">
        <v>115</v>
      </c>
      <c r="CU27">
        <v>1.21284075</v>
      </c>
      <c r="CV27">
        <v>1.89205869</v>
      </c>
      <c r="CW27">
        <v>115</v>
      </c>
      <c r="CX27">
        <v>1.48136745</v>
      </c>
      <c r="CY27">
        <v>2.64995121</v>
      </c>
    </row>
    <row r="28" spans="20:103">
      <c r="T28">
        <v>13.473</v>
      </c>
      <c r="U28">
        <v>1.09639202991871</v>
      </c>
      <c r="V28">
        <v>13.473</v>
      </c>
      <c r="W28">
        <v>1.11887064479888</v>
      </c>
      <c r="X28">
        <v>13.473</v>
      </c>
      <c r="Y28">
        <v>1.12760736937201</v>
      </c>
      <c r="Z28">
        <v>13.473</v>
      </c>
      <c r="AA28">
        <v>1.0760831946025</v>
      </c>
      <c r="AB28">
        <v>13.473</v>
      </c>
      <c r="AC28">
        <v>1.10591729154754</v>
      </c>
      <c r="AE28">
        <v>13.473</v>
      </c>
      <c r="AF28">
        <v>-1720.92515159056</v>
      </c>
      <c r="AG28">
        <v>-1870.09363867189</v>
      </c>
      <c r="AH28">
        <v>-1752.11159316157</v>
      </c>
      <c r="AI28">
        <v>-1859.97648249884</v>
      </c>
      <c r="AJ28">
        <v>-1880.4185969113</v>
      </c>
      <c r="AM28">
        <v>130</v>
      </c>
      <c r="AN28">
        <v>5.25463507</v>
      </c>
      <c r="AO28">
        <v>5.68879308</v>
      </c>
      <c r="AP28">
        <v>4.78419657</v>
      </c>
      <c r="AQ28">
        <v>4.53068604</v>
      </c>
      <c r="AR28">
        <v>4.41956065</v>
      </c>
      <c r="BF28">
        <v>1.225</v>
      </c>
      <c r="BG28">
        <v>0</v>
      </c>
      <c r="BH28">
        <v>1.225</v>
      </c>
      <c r="BI28">
        <v>0</v>
      </c>
      <c r="BJ28">
        <v>1.225</v>
      </c>
      <c r="BK28">
        <v>0</v>
      </c>
      <c r="BL28">
        <v>1.225</v>
      </c>
      <c r="BM28">
        <v>0</v>
      </c>
      <c r="BN28">
        <v>1.225</v>
      </c>
      <c r="BO28">
        <v>0</v>
      </c>
      <c r="BP28">
        <v>1.225</v>
      </c>
      <c r="BQ28">
        <v>0</v>
      </c>
      <c r="BR28">
        <v>1.225</v>
      </c>
      <c r="BS28">
        <v>0</v>
      </c>
      <c r="BT28">
        <v>1.225</v>
      </c>
      <c r="BU28">
        <v>0</v>
      </c>
      <c r="BV28">
        <v>1.225</v>
      </c>
      <c r="BW28">
        <v>0</v>
      </c>
      <c r="BX28">
        <v>1.225</v>
      </c>
      <c r="BY28">
        <v>0</v>
      </c>
      <c r="CB28">
        <v>1.225</v>
      </c>
      <c r="CC28">
        <v>0</v>
      </c>
      <c r="CD28">
        <v>0</v>
      </c>
      <c r="CE28">
        <v>0</v>
      </c>
      <c r="CF28">
        <v>0</v>
      </c>
      <c r="CG28">
        <v>0</v>
      </c>
      <c r="CK28">
        <v>120</v>
      </c>
      <c r="CL28">
        <v>1.33866735</v>
      </c>
      <c r="CM28">
        <v>2.24555923</v>
      </c>
      <c r="CN28">
        <v>120</v>
      </c>
      <c r="CO28">
        <v>1.05310664</v>
      </c>
      <c r="CP28">
        <v>1.37497408</v>
      </c>
      <c r="CQ28">
        <v>120</v>
      </c>
      <c r="CR28">
        <v>1.39554044</v>
      </c>
      <c r="CS28">
        <v>2.37990883</v>
      </c>
      <c r="CT28">
        <v>120</v>
      </c>
      <c r="CU28">
        <v>1.23007317</v>
      </c>
      <c r="CV28">
        <v>1.92511764</v>
      </c>
      <c r="CW28">
        <v>120</v>
      </c>
      <c r="CX28">
        <v>1.54851698</v>
      </c>
      <c r="CY28">
        <v>2.72149656</v>
      </c>
    </row>
    <row r="29" spans="20:103">
      <c r="T29">
        <v>13.972</v>
      </c>
      <c r="U29">
        <v>1.09750464112323</v>
      </c>
      <c r="V29">
        <v>13.972</v>
      </c>
      <c r="W29">
        <v>1.12405429114307</v>
      </c>
      <c r="X29">
        <v>13.972</v>
      </c>
      <c r="Y29">
        <v>1.11758654015037</v>
      </c>
      <c r="Z29">
        <v>13.972</v>
      </c>
      <c r="AA29">
        <v>1.07918702664148</v>
      </c>
      <c r="AB29">
        <v>13.972</v>
      </c>
      <c r="AC29">
        <v>1.10658181806177</v>
      </c>
      <c r="AE29">
        <v>13.972</v>
      </c>
      <c r="AF29">
        <v>-1648.4450764211</v>
      </c>
      <c r="AG29">
        <v>-1760.63100489912</v>
      </c>
      <c r="AH29">
        <v>-1716.53443528814</v>
      </c>
      <c r="AI29">
        <v>-1804.28871533359</v>
      </c>
      <c r="AJ29">
        <v>-1821.61285279341</v>
      </c>
      <c r="AM29">
        <v>135</v>
      </c>
      <c r="AN29">
        <v>5.19881845</v>
      </c>
      <c r="AO29">
        <v>5.69922369</v>
      </c>
      <c r="AP29">
        <v>4.78587651</v>
      </c>
      <c r="AQ29">
        <v>4.55029298</v>
      </c>
      <c r="AR29">
        <v>4.39687443</v>
      </c>
      <c r="BF29">
        <v>1.275</v>
      </c>
      <c r="BG29">
        <v>0</v>
      </c>
      <c r="BH29">
        <v>1.275</v>
      </c>
      <c r="BI29">
        <v>0</v>
      </c>
      <c r="BJ29">
        <v>1.275</v>
      </c>
      <c r="BK29">
        <v>0</v>
      </c>
      <c r="BL29">
        <v>1.275</v>
      </c>
      <c r="BM29">
        <v>0</v>
      </c>
      <c r="BN29">
        <v>1.275</v>
      </c>
      <c r="BO29">
        <v>0</v>
      </c>
      <c r="BP29">
        <v>1.275</v>
      </c>
      <c r="BQ29">
        <v>0</v>
      </c>
      <c r="BR29">
        <v>1.275</v>
      </c>
      <c r="BS29">
        <v>0</v>
      </c>
      <c r="BT29">
        <v>1.275</v>
      </c>
      <c r="BU29">
        <v>0</v>
      </c>
      <c r="BV29">
        <v>1.275</v>
      </c>
      <c r="BW29">
        <v>0</v>
      </c>
      <c r="BX29">
        <v>1.275</v>
      </c>
      <c r="BY29">
        <v>0</v>
      </c>
      <c r="CB29">
        <v>1.275</v>
      </c>
      <c r="CC29">
        <v>0</v>
      </c>
      <c r="CD29">
        <v>0</v>
      </c>
      <c r="CE29">
        <v>0</v>
      </c>
      <c r="CF29">
        <v>0</v>
      </c>
      <c r="CG29">
        <v>0</v>
      </c>
      <c r="CK29">
        <v>125</v>
      </c>
      <c r="CL29">
        <v>1.36165794</v>
      </c>
      <c r="CM29">
        <v>2.33636681</v>
      </c>
      <c r="CN29">
        <v>125</v>
      </c>
      <c r="CO29">
        <v>1.09825884</v>
      </c>
      <c r="CP29">
        <v>1.41878846</v>
      </c>
      <c r="CQ29">
        <v>125</v>
      </c>
      <c r="CR29">
        <v>1.41956002</v>
      </c>
      <c r="CS29">
        <v>2.40296638</v>
      </c>
      <c r="CT29">
        <v>125</v>
      </c>
      <c r="CU29">
        <v>1.26357175</v>
      </c>
      <c r="CV29">
        <v>1.94659613</v>
      </c>
      <c r="CW29">
        <v>125</v>
      </c>
      <c r="CX29">
        <v>1.59664699</v>
      </c>
      <c r="CY29">
        <v>2.83543991</v>
      </c>
    </row>
    <row r="30" spans="20:103">
      <c r="T30">
        <v>14.471</v>
      </c>
      <c r="U30">
        <v>1.10263153728128</v>
      </c>
      <c r="V30">
        <v>14.471</v>
      </c>
      <c r="W30">
        <v>1.13059286177891</v>
      </c>
      <c r="X30">
        <v>14.471</v>
      </c>
      <c r="Y30">
        <v>1.12076829641883</v>
      </c>
      <c r="Z30">
        <v>14.471</v>
      </c>
      <c r="AA30">
        <v>1.07657051748419</v>
      </c>
      <c r="AB30">
        <v>14.471</v>
      </c>
      <c r="AC30">
        <v>1.10347296821243</v>
      </c>
      <c r="AE30">
        <v>14.471</v>
      </c>
      <c r="AF30">
        <v>-1661.61883072878</v>
      </c>
      <c r="AG30">
        <v>-1942.26181698263</v>
      </c>
      <c r="AH30">
        <v>-1735.85827368225</v>
      </c>
      <c r="AI30">
        <v>-1756.8675193273</v>
      </c>
      <c r="AJ30">
        <v>-1740.62992709887</v>
      </c>
      <c r="AM30">
        <v>140</v>
      </c>
      <c r="AN30">
        <v>5.21850065</v>
      </c>
      <c r="AO30">
        <v>5.67210704</v>
      </c>
      <c r="AP30">
        <v>4.805081</v>
      </c>
      <c r="AQ30">
        <v>4.53507769</v>
      </c>
      <c r="AR30">
        <v>4.41451384</v>
      </c>
      <c r="BF30">
        <v>1.325</v>
      </c>
      <c r="BG30">
        <v>0</v>
      </c>
      <c r="BH30">
        <v>1.325</v>
      </c>
      <c r="BI30">
        <v>0</v>
      </c>
      <c r="BJ30">
        <v>1.325</v>
      </c>
      <c r="BK30">
        <v>0</v>
      </c>
      <c r="BL30">
        <v>1.325</v>
      </c>
      <c r="BM30">
        <v>0</v>
      </c>
      <c r="BN30">
        <v>1.325</v>
      </c>
      <c r="BO30">
        <v>0</v>
      </c>
      <c r="BP30">
        <v>1.325</v>
      </c>
      <c r="BQ30">
        <v>0</v>
      </c>
      <c r="BR30">
        <v>1.325</v>
      </c>
      <c r="BS30">
        <v>0</v>
      </c>
      <c r="BT30">
        <v>1.325</v>
      </c>
      <c r="BU30">
        <v>0</v>
      </c>
      <c r="BV30">
        <v>1.325</v>
      </c>
      <c r="BW30">
        <v>0</v>
      </c>
      <c r="BX30">
        <v>1.325</v>
      </c>
      <c r="BY30">
        <v>0</v>
      </c>
      <c r="CB30">
        <v>1.325</v>
      </c>
      <c r="CC30">
        <v>0</v>
      </c>
      <c r="CD30">
        <v>0</v>
      </c>
      <c r="CE30">
        <v>0</v>
      </c>
      <c r="CF30">
        <v>0</v>
      </c>
      <c r="CG30">
        <v>0</v>
      </c>
      <c r="CK30">
        <v>130</v>
      </c>
      <c r="CL30">
        <v>1.38146056</v>
      </c>
      <c r="CM30">
        <v>2.37584526</v>
      </c>
      <c r="CN30">
        <v>130</v>
      </c>
      <c r="CO30">
        <v>1.13791813</v>
      </c>
      <c r="CP30">
        <v>1.44007539</v>
      </c>
      <c r="CQ30">
        <v>130</v>
      </c>
      <c r="CR30">
        <v>1.43843143</v>
      </c>
      <c r="CS30">
        <v>2.42914449</v>
      </c>
      <c r="CT30">
        <v>130</v>
      </c>
      <c r="CU30">
        <v>1.29440474</v>
      </c>
      <c r="CV30">
        <v>1.99970248</v>
      </c>
      <c r="CW30">
        <v>130</v>
      </c>
      <c r="CX30">
        <v>1.64594284</v>
      </c>
      <c r="CY30">
        <v>2.89124004</v>
      </c>
    </row>
    <row r="31" spans="20:103">
      <c r="T31">
        <v>14.97</v>
      </c>
      <c r="U31">
        <v>1.10766833410023</v>
      </c>
      <c r="V31">
        <v>14.97</v>
      </c>
      <c r="W31">
        <v>1.12830498806791</v>
      </c>
      <c r="X31">
        <v>14.97</v>
      </c>
      <c r="Y31">
        <v>1.1192379052583</v>
      </c>
      <c r="Z31">
        <v>14.97</v>
      </c>
      <c r="AA31">
        <v>1.08199121915703</v>
      </c>
      <c r="AB31">
        <v>14.97</v>
      </c>
      <c r="AC31">
        <v>1.11170684687004</v>
      </c>
      <c r="AE31">
        <v>14.97</v>
      </c>
      <c r="AF31">
        <v>-1838.42165359913</v>
      </c>
      <c r="AG31">
        <v>-2031.9951319537</v>
      </c>
      <c r="AH31">
        <v>-1687.25927117002</v>
      </c>
      <c r="AI31">
        <v>-1761.85542194675</v>
      </c>
      <c r="AJ31">
        <v>-1759.45410677408</v>
      </c>
      <c r="AM31">
        <v>145</v>
      </c>
      <c r="AN31">
        <v>5.2381308</v>
      </c>
      <c r="AO31">
        <v>5.66093151</v>
      </c>
      <c r="AP31">
        <v>4.80666444</v>
      </c>
      <c r="AQ31">
        <v>4.55046003</v>
      </c>
      <c r="AR31">
        <v>4.41273992</v>
      </c>
      <c r="BF31">
        <v>1.375</v>
      </c>
      <c r="BG31">
        <v>0</v>
      </c>
      <c r="BH31">
        <v>1.375</v>
      </c>
      <c r="BI31">
        <v>0</v>
      </c>
      <c r="BJ31">
        <v>1.375</v>
      </c>
      <c r="BK31">
        <v>0</v>
      </c>
      <c r="BL31">
        <v>1.375</v>
      </c>
      <c r="BM31">
        <v>0</v>
      </c>
      <c r="BN31">
        <v>1.375</v>
      </c>
      <c r="BO31">
        <v>0</v>
      </c>
      <c r="BP31">
        <v>1.375</v>
      </c>
      <c r="BQ31">
        <v>0</v>
      </c>
      <c r="BR31">
        <v>1.375</v>
      </c>
      <c r="BS31">
        <v>0</v>
      </c>
      <c r="BT31">
        <v>1.375</v>
      </c>
      <c r="BU31">
        <v>0</v>
      </c>
      <c r="BV31">
        <v>1.375</v>
      </c>
      <c r="BW31">
        <v>0</v>
      </c>
      <c r="BX31">
        <v>1.375</v>
      </c>
      <c r="BY31">
        <v>0</v>
      </c>
      <c r="CB31">
        <v>1.375</v>
      </c>
      <c r="CC31">
        <v>0</v>
      </c>
      <c r="CD31">
        <v>0</v>
      </c>
      <c r="CE31">
        <v>0</v>
      </c>
      <c r="CF31">
        <v>0</v>
      </c>
      <c r="CG31">
        <v>0</v>
      </c>
      <c r="CK31">
        <v>135</v>
      </c>
      <c r="CL31">
        <v>1.42135255</v>
      </c>
      <c r="CM31">
        <v>2.41628228</v>
      </c>
      <c r="CN31">
        <v>135</v>
      </c>
      <c r="CO31">
        <v>1.13483791</v>
      </c>
      <c r="CP31">
        <v>1.47455822</v>
      </c>
      <c r="CQ31">
        <v>135</v>
      </c>
      <c r="CR31">
        <v>1.46057129</v>
      </c>
      <c r="CS31">
        <v>2.47107211</v>
      </c>
      <c r="CT31">
        <v>135</v>
      </c>
      <c r="CU31">
        <v>1.28215227</v>
      </c>
      <c r="CV31">
        <v>2.00549865</v>
      </c>
      <c r="CW31">
        <v>135</v>
      </c>
      <c r="CX31">
        <v>1.70730982</v>
      </c>
      <c r="CY31">
        <v>3.00984252</v>
      </c>
    </row>
    <row r="32" spans="20:103">
      <c r="T32">
        <v>15.469</v>
      </c>
      <c r="U32">
        <v>1.10921522321193</v>
      </c>
      <c r="V32">
        <v>15.469</v>
      </c>
      <c r="W32">
        <v>1.12752033564908</v>
      </c>
      <c r="X32">
        <v>15.469</v>
      </c>
      <c r="Y32">
        <v>1.12446112016783</v>
      </c>
      <c r="Z32">
        <v>15.469</v>
      </c>
      <c r="AA32">
        <v>1.08710962728285</v>
      </c>
      <c r="AB32">
        <v>15.469</v>
      </c>
      <c r="AC32">
        <v>1.10942798798255</v>
      </c>
      <c r="AE32">
        <v>15.469</v>
      </c>
      <c r="AF32">
        <v>-1839.10406508078</v>
      </c>
      <c r="AG32">
        <v>-1880.53883327123</v>
      </c>
      <c r="AH32">
        <v>-1776.56950014016</v>
      </c>
      <c r="AI32">
        <v>-1837.7650528119</v>
      </c>
      <c r="AJ32">
        <v>-1941.72051953848</v>
      </c>
      <c r="AM32">
        <v>150</v>
      </c>
      <c r="AN32">
        <v>5.24233803</v>
      </c>
      <c r="AO32">
        <v>5.68069795</v>
      </c>
      <c r="AP32">
        <v>4.80771158</v>
      </c>
      <c r="AQ32">
        <v>4.53730478</v>
      </c>
      <c r="AR32">
        <v>4.41452695</v>
      </c>
      <c r="BF32">
        <v>1.425</v>
      </c>
      <c r="BG32">
        <v>0</v>
      </c>
      <c r="BH32">
        <v>1.425</v>
      </c>
      <c r="BI32">
        <v>0</v>
      </c>
      <c r="BJ32">
        <v>1.425</v>
      </c>
      <c r="BK32">
        <v>0</v>
      </c>
      <c r="BL32">
        <v>1.425</v>
      </c>
      <c r="BM32">
        <v>0</v>
      </c>
      <c r="BN32">
        <v>1.425</v>
      </c>
      <c r="BO32">
        <v>0</v>
      </c>
      <c r="BP32">
        <v>1.425</v>
      </c>
      <c r="BQ32">
        <v>0</v>
      </c>
      <c r="BR32">
        <v>1.425</v>
      </c>
      <c r="BS32">
        <v>0</v>
      </c>
      <c r="BT32">
        <v>1.425</v>
      </c>
      <c r="BU32">
        <v>0</v>
      </c>
      <c r="BV32">
        <v>1.425</v>
      </c>
      <c r="BW32">
        <v>0</v>
      </c>
      <c r="BX32">
        <v>1.425</v>
      </c>
      <c r="BY32">
        <v>0</v>
      </c>
      <c r="CB32">
        <v>1.425</v>
      </c>
      <c r="CC32">
        <v>0</v>
      </c>
      <c r="CD32">
        <v>0</v>
      </c>
      <c r="CE32">
        <v>0</v>
      </c>
      <c r="CF32">
        <v>0</v>
      </c>
      <c r="CG32">
        <v>0</v>
      </c>
      <c r="CK32">
        <v>140</v>
      </c>
      <c r="CL32">
        <v>1.45370709</v>
      </c>
      <c r="CM32">
        <v>2.51814962</v>
      </c>
      <c r="CN32">
        <v>140</v>
      </c>
      <c r="CO32">
        <v>1.17982339</v>
      </c>
      <c r="CP32">
        <v>1.47403888</v>
      </c>
      <c r="CQ32">
        <v>140</v>
      </c>
      <c r="CR32">
        <v>1.47969441</v>
      </c>
      <c r="CS32">
        <v>2.50408157</v>
      </c>
      <c r="CT32">
        <v>140</v>
      </c>
      <c r="CU32">
        <v>1.32061956</v>
      </c>
      <c r="CV32">
        <v>2.02663257</v>
      </c>
      <c r="CW32">
        <v>140</v>
      </c>
      <c r="CX32">
        <v>1.74565635</v>
      </c>
      <c r="CY32">
        <v>3.08633508</v>
      </c>
    </row>
    <row r="33" spans="20:103">
      <c r="T33">
        <v>15.968</v>
      </c>
      <c r="U33">
        <v>1.10755864590066</v>
      </c>
      <c r="V33">
        <v>15.968</v>
      </c>
      <c r="W33">
        <v>1.13197236995875</v>
      </c>
      <c r="X33">
        <v>15.968</v>
      </c>
      <c r="Y33">
        <v>1.12582859639825</v>
      </c>
      <c r="Z33">
        <v>15.968</v>
      </c>
      <c r="AA33">
        <v>1.09076845616501</v>
      </c>
      <c r="AB33">
        <v>15.968</v>
      </c>
      <c r="AC33">
        <v>1.11453248107127</v>
      </c>
      <c r="AE33">
        <v>15.968</v>
      </c>
      <c r="AF33">
        <v>-1741.91759031872</v>
      </c>
      <c r="AG33">
        <v>-1759.6499142788</v>
      </c>
      <c r="AH33">
        <v>-1771.313103618</v>
      </c>
      <c r="AI33">
        <v>-1829.40407768241</v>
      </c>
      <c r="AJ33">
        <v>-1978.66393435703</v>
      </c>
      <c r="AM33">
        <v>155</v>
      </c>
      <c r="AN33">
        <v>5.24335818</v>
      </c>
      <c r="AO33">
        <v>5.67360091</v>
      </c>
      <c r="AP33">
        <v>4.78932039</v>
      </c>
      <c r="AQ33">
        <v>4.54865843</v>
      </c>
      <c r="AR33">
        <v>4.39154313</v>
      </c>
      <c r="BF33">
        <v>1.475</v>
      </c>
      <c r="BG33">
        <v>0</v>
      </c>
      <c r="BH33">
        <v>1.475</v>
      </c>
      <c r="BI33">
        <v>0</v>
      </c>
      <c r="BJ33">
        <v>1.475</v>
      </c>
      <c r="BK33">
        <v>0</v>
      </c>
      <c r="BL33">
        <v>1.475</v>
      </c>
      <c r="BM33">
        <v>0</v>
      </c>
      <c r="BN33">
        <v>1.475</v>
      </c>
      <c r="BO33">
        <v>0</v>
      </c>
      <c r="BP33">
        <v>1.475</v>
      </c>
      <c r="BQ33">
        <v>0</v>
      </c>
      <c r="BR33">
        <v>1.475</v>
      </c>
      <c r="BS33">
        <v>0</v>
      </c>
      <c r="BT33">
        <v>1.475</v>
      </c>
      <c r="BU33">
        <v>0</v>
      </c>
      <c r="BV33">
        <v>1.475</v>
      </c>
      <c r="BW33">
        <v>0</v>
      </c>
      <c r="BX33">
        <v>1.475</v>
      </c>
      <c r="BY33">
        <v>0</v>
      </c>
      <c r="CB33">
        <v>1.475</v>
      </c>
      <c r="CC33">
        <v>0</v>
      </c>
      <c r="CD33">
        <v>0</v>
      </c>
      <c r="CE33">
        <v>0</v>
      </c>
      <c r="CF33">
        <v>0</v>
      </c>
      <c r="CG33">
        <v>0</v>
      </c>
      <c r="CK33">
        <v>145</v>
      </c>
      <c r="CL33">
        <v>1.49903414</v>
      </c>
      <c r="CM33">
        <v>2.57510156</v>
      </c>
      <c r="CN33">
        <v>145</v>
      </c>
      <c r="CO33">
        <v>1.19618559</v>
      </c>
      <c r="CP33">
        <v>1.50531387</v>
      </c>
      <c r="CQ33">
        <v>145</v>
      </c>
      <c r="CR33">
        <v>1.49490115</v>
      </c>
      <c r="CS33">
        <v>2.54904597</v>
      </c>
      <c r="CT33">
        <v>145</v>
      </c>
      <c r="CU33">
        <v>1.31679087</v>
      </c>
      <c r="CV33">
        <v>2.07314178</v>
      </c>
      <c r="CW33">
        <v>145</v>
      </c>
      <c r="CX33">
        <v>1.80614087</v>
      </c>
      <c r="CY33">
        <v>3.1883987</v>
      </c>
    </row>
    <row r="34" spans="20:103">
      <c r="T34">
        <v>16.467</v>
      </c>
      <c r="U34">
        <v>1.10715368493282</v>
      </c>
      <c r="V34">
        <v>16.467</v>
      </c>
      <c r="W34">
        <v>1.13372730614157</v>
      </c>
      <c r="X34">
        <v>16.467</v>
      </c>
      <c r="Y34">
        <v>1.13031514773468</v>
      </c>
      <c r="Z34">
        <v>16.467</v>
      </c>
      <c r="AA34">
        <v>1.08448597600388</v>
      </c>
      <c r="AB34">
        <v>16.467</v>
      </c>
      <c r="AC34">
        <v>1.11507632299586</v>
      </c>
      <c r="AE34">
        <v>16.467</v>
      </c>
      <c r="AF34">
        <v>-1561.1540591056</v>
      </c>
      <c r="AG34">
        <v>-1796.96061504186</v>
      </c>
      <c r="AH34">
        <v>-1852.38371737529</v>
      </c>
      <c r="AI34">
        <v>-1787.04806321365</v>
      </c>
      <c r="AJ34">
        <v>-1836.36814909203</v>
      </c>
      <c r="AM34">
        <v>160</v>
      </c>
      <c r="AN34">
        <v>5.24016299</v>
      </c>
      <c r="AO34">
        <v>5.66123978</v>
      </c>
      <c r="AP34">
        <v>4.80308848</v>
      </c>
      <c r="AQ34">
        <v>4.54495463</v>
      </c>
      <c r="AR34">
        <v>4.40723907</v>
      </c>
      <c r="BF34">
        <v>1.525</v>
      </c>
      <c r="BG34">
        <v>0</v>
      </c>
      <c r="BH34">
        <v>1.525</v>
      </c>
      <c r="BI34">
        <v>0</v>
      </c>
      <c r="BJ34">
        <v>1.525</v>
      </c>
      <c r="BK34">
        <v>0</v>
      </c>
      <c r="BL34">
        <v>1.525</v>
      </c>
      <c r="BM34">
        <v>0</v>
      </c>
      <c r="BN34">
        <v>1.525</v>
      </c>
      <c r="BO34">
        <v>0</v>
      </c>
      <c r="BP34">
        <v>1.525</v>
      </c>
      <c r="BQ34">
        <v>0</v>
      </c>
      <c r="BR34">
        <v>1.525</v>
      </c>
      <c r="BS34">
        <v>0</v>
      </c>
      <c r="BT34">
        <v>1.525</v>
      </c>
      <c r="BU34">
        <v>0</v>
      </c>
      <c r="BV34">
        <v>1.525</v>
      </c>
      <c r="BW34">
        <v>0</v>
      </c>
      <c r="BX34">
        <v>1.525</v>
      </c>
      <c r="BY34">
        <v>0</v>
      </c>
      <c r="CB34">
        <v>1.525</v>
      </c>
      <c r="CC34">
        <v>0</v>
      </c>
      <c r="CD34">
        <v>0</v>
      </c>
      <c r="CE34">
        <v>0</v>
      </c>
      <c r="CF34">
        <v>0</v>
      </c>
      <c r="CG34">
        <v>0</v>
      </c>
      <c r="CK34">
        <v>150</v>
      </c>
      <c r="CL34">
        <v>1.52539273</v>
      </c>
      <c r="CM34">
        <v>2.64131021</v>
      </c>
      <c r="CN34">
        <v>150</v>
      </c>
      <c r="CO34">
        <v>1.2154859</v>
      </c>
      <c r="CP34">
        <v>1.54209049</v>
      </c>
      <c r="CQ34">
        <v>150</v>
      </c>
      <c r="CR34">
        <v>1.52515337</v>
      </c>
      <c r="CS34">
        <v>2.5953102</v>
      </c>
      <c r="CT34">
        <v>150</v>
      </c>
      <c r="CU34">
        <v>1.37259397</v>
      </c>
      <c r="CV34">
        <v>2.1201341</v>
      </c>
      <c r="CW34">
        <v>150</v>
      </c>
      <c r="CX34">
        <v>1.8434865</v>
      </c>
      <c r="CY34">
        <v>3.25436256</v>
      </c>
    </row>
    <row r="35" spans="20:103">
      <c r="T35">
        <v>16.966</v>
      </c>
      <c r="U35">
        <v>1.113767593531</v>
      </c>
      <c r="V35">
        <v>16.966</v>
      </c>
      <c r="W35">
        <v>1.139295577524</v>
      </c>
      <c r="X35">
        <v>16.966</v>
      </c>
      <c r="Y35">
        <v>1.12771854898551</v>
      </c>
      <c r="Z35">
        <v>16.966</v>
      </c>
      <c r="AA35">
        <v>1.0844211581258</v>
      </c>
      <c r="AB35">
        <v>16.966</v>
      </c>
      <c r="AC35">
        <v>1.10982131264493</v>
      </c>
      <c r="AE35">
        <v>16.966</v>
      </c>
      <c r="AF35">
        <v>-1729.40023882245</v>
      </c>
      <c r="AG35">
        <v>-1955.80222437282</v>
      </c>
      <c r="AH35">
        <v>-1823.48364661032</v>
      </c>
      <c r="AI35">
        <v>-1778.1421127102</v>
      </c>
      <c r="AJ35">
        <v>-1761.4114700526</v>
      </c>
      <c r="AM35">
        <v>165</v>
      </c>
      <c r="AN35">
        <v>5.24823721</v>
      </c>
      <c r="AO35">
        <v>5.65487342</v>
      </c>
      <c r="AP35">
        <v>4.80927934</v>
      </c>
      <c r="AQ35">
        <v>4.53342146</v>
      </c>
      <c r="AR35">
        <v>4.40771675</v>
      </c>
      <c r="BF35">
        <v>1.575</v>
      </c>
      <c r="BG35">
        <v>0</v>
      </c>
      <c r="BH35">
        <v>1.575</v>
      </c>
      <c r="BI35">
        <v>0</v>
      </c>
      <c r="BJ35">
        <v>1.575</v>
      </c>
      <c r="BK35">
        <v>0</v>
      </c>
      <c r="BL35">
        <v>1.575</v>
      </c>
      <c r="BM35">
        <v>0</v>
      </c>
      <c r="BN35">
        <v>1.575</v>
      </c>
      <c r="BO35">
        <v>0</v>
      </c>
      <c r="BP35">
        <v>1.575</v>
      </c>
      <c r="BQ35">
        <v>0</v>
      </c>
      <c r="BR35">
        <v>1.575</v>
      </c>
      <c r="BS35">
        <v>0</v>
      </c>
      <c r="BT35">
        <v>1.575</v>
      </c>
      <c r="BU35">
        <v>0</v>
      </c>
      <c r="BV35">
        <v>1.575</v>
      </c>
      <c r="BW35">
        <v>0</v>
      </c>
      <c r="BX35">
        <v>1.575</v>
      </c>
      <c r="BY35">
        <v>0</v>
      </c>
      <c r="CB35">
        <v>1.575</v>
      </c>
      <c r="CC35">
        <v>0</v>
      </c>
      <c r="CD35">
        <v>0</v>
      </c>
      <c r="CE35">
        <v>0</v>
      </c>
      <c r="CF35">
        <v>0</v>
      </c>
      <c r="CG35">
        <v>0</v>
      </c>
      <c r="CK35">
        <v>155</v>
      </c>
      <c r="CL35">
        <v>1.57566702</v>
      </c>
      <c r="CM35">
        <v>2.70215732</v>
      </c>
      <c r="CN35">
        <v>155</v>
      </c>
      <c r="CO35">
        <v>1.2334884</v>
      </c>
      <c r="CP35">
        <v>1.54057668</v>
      </c>
      <c r="CQ35">
        <v>155</v>
      </c>
      <c r="CR35">
        <v>1.55137661</v>
      </c>
      <c r="CS35">
        <v>2.60694043</v>
      </c>
      <c r="CT35">
        <v>155</v>
      </c>
      <c r="CU35">
        <v>1.36455012</v>
      </c>
      <c r="CV35">
        <v>2.12437432</v>
      </c>
      <c r="CW35">
        <v>155</v>
      </c>
      <c r="CX35">
        <v>1.88737679</v>
      </c>
      <c r="CY35">
        <v>3.37861669</v>
      </c>
    </row>
    <row r="36" spans="20:103">
      <c r="T36">
        <v>17.465</v>
      </c>
      <c r="U36">
        <v>1.11309743172107</v>
      </c>
      <c r="V36">
        <v>17.465</v>
      </c>
      <c r="W36">
        <v>1.13309560519844</v>
      </c>
      <c r="X36">
        <v>17.465</v>
      </c>
      <c r="Y36">
        <v>1.1341877416866</v>
      </c>
      <c r="Z36">
        <v>17.465</v>
      </c>
      <c r="AA36">
        <v>1.08067536010355</v>
      </c>
      <c r="AB36">
        <v>17.465</v>
      </c>
      <c r="AC36">
        <v>1.11204666808977</v>
      </c>
      <c r="AE36">
        <v>17.465</v>
      </c>
      <c r="AF36">
        <v>-1888.91715504047</v>
      </c>
      <c r="AG36">
        <v>-1960.84175292269</v>
      </c>
      <c r="AH36">
        <v>-1742.55066708087</v>
      </c>
      <c r="AI36">
        <v>-1801.07156859062</v>
      </c>
      <c r="AJ36">
        <v>-1885.84213611509</v>
      </c>
      <c r="AM36">
        <v>170</v>
      </c>
      <c r="AN36">
        <v>5.24325754</v>
      </c>
      <c r="AO36">
        <v>5.68025843</v>
      </c>
      <c r="AP36">
        <v>4.81967425</v>
      </c>
      <c r="AQ36">
        <v>4.53534852</v>
      </c>
      <c r="AR36">
        <v>4.39872649</v>
      </c>
      <c r="AW36">
        <v>0.0104967119274376</v>
      </c>
      <c r="AX36">
        <v>0.011347351201814</v>
      </c>
      <c r="AY36">
        <v>0.00779332961451262</v>
      </c>
      <c r="AZ36">
        <v>0.00711977473922924</v>
      </c>
      <c r="BA36">
        <v>0.00600576077097506</v>
      </c>
      <c r="BF36">
        <v>1.625</v>
      </c>
      <c r="BG36">
        <v>0</v>
      </c>
      <c r="BH36">
        <v>1.625</v>
      </c>
      <c r="BI36">
        <v>0</v>
      </c>
      <c r="BJ36">
        <v>1.625</v>
      </c>
      <c r="BK36">
        <v>0</v>
      </c>
      <c r="BL36">
        <v>1.625</v>
      </c>
      <c r="BM36">
        <v>0</v>
      </c>
      <c r="BN36">
        <v>1.625</v>
      </c>
      <c r="BO36">
        <v>0</v>
      </c>
      <c r="BP36">
        <v>1.625</v>
      </c>
      <c r="BQ36">
        <v>0</v>
      </c>
      <c r="BR36">
        <v>1.625</v>
      </c>
      <c r="BS36">
        <v>0</v>
      </c>
      <c r="BT36">
        <v>1.625</v>
      </c>
      <c r="BU36">
        <v>0</v>
      </c>
      <c r="BV36">
        <v>1.625</v>
      </c>
      <c r="BW36">
        <v>0</v>
      </c>
      <c r="BX36">
        <v>1.625</v>
      </c>
      <c r="BY36">
        <v>0</v>
      </c>
      <c r="CB36">
        <v>1.625</v>
      </c>
      <c r="CC36">
        <v>0</v>
      </c>
      <c r="CD36">
        <v>0</v>
      </c>
      <c r="CE36">
        <v>0</v>
      </c>
      <c r="CF36">
        <v>0</v>
      </c>
      <c r="CG36">
        <v>0</v>
      </c>
      <c r="CK36">
        <v>160</v>
      </c>
      <c r="CL36">
        <v>1.58124226</v>
      </c>
      <c r="CM36">
        <v>2.75065615</v>
      </c>
      <c r="CN36">
        <v>160</v>
      </c>
      <c r="CO36">
        <v>1.26182951</v>
      </c>
      <c r="CP36">
        <v>1.57139017</v>
      </c>
      <c r="CQ36">
        <v>160</v>
      </c>
      <c r="CR36">
        <v>1.54449819</v>
      </c>
      <c r="CS36">
        <v>2.63558192</v>
      </c>
      <c r="CT36">
        <v>160</v>
      </c>
      <c r="CU36">
        <v>1.3797014</v>
      </c>
      <c r="CV36">
        <v>2.14693249</v>
      </c>
      <c r="CW36">
        <v>160</v>
      </c>
      <c r="CX36">
        <v>1.9398573</v>
      </c>
      <c r="CY36">
        <v>3.42925018</v>
      </c>
    </row>
    <row r="37" spans="20:103">
      <c r="T37">
        <v>17.964</v>
      </c>
      <c r="U37">
        <v>1.11064009777731</v>
      </c>
      <c r="V37">
        <v>17.964</v>
      </c>
      <c r="W37">
        <v>1.12550431950301</v>
      </c>
      <c r="X37">
        <v>17.964</v>
      </c>
      <c r="Y37">
        <v>1.13924134999241</v>
      </c>
      <c r="Z37">
        <v>17.964</v>
      </c>
      <c r="AA37">
        <v>1.09258771633998</v>
      </c>
      <c r="AB37">
        <v>17.964</v>
      </c>
      <c r="AC37">
        <v>1.10815907494754</v>
      </c>
      <c r="AE37">
        <v>17.964</v>
      </c>
      <c r="AF37">
        <v>-1854.78081336086</v>
      </c>
      <c r="AG37">
        <v>-1888.1557832414</v>
      </c>
      <c r="AH37">
        <v>-1782.53057519559</v>
      </c>
      <c r="AI37">
        <v>-1851.51852197817</v>
      </c>
      <c r="AJ37">
        <v>-1906.41567597308</v>
      </c>
      <c r="AM37">
        <v>175</v>
      </c>
      <c r="AN37">
        <v>5.2396612</v>
      </c>
      <c r="AO37">
        <v>5.68870704</v>
      </c>
      <c r="AP37">
        <v>4.80063269</v>
      </c>
      <c r="AQ37">
        <v>4.53175024</v>
      </c>
      <c r="AR37">
        <v>4.41386279</v>
      </c>
      <c r="AW37">
        <v>5.23719049952381</v>
      </c>
      <c r="AX37">
        <v>5.67723518523809</v>
      </c>
      <c r="AY37">
        <v>4.78563460238095</v>
      </c>
      <c r="AZ37">
        <v>4.52309933809524</v>
      </c>
      <c r="BA37">
        <v>4.37240753380952</v>
      </c>
      <c r="BF37">
        <v>1.675</v>
      </c>
      <c r="BG37">
        <v>0.19700386</v>
      </c>
      <c r="BH37">
        <v>1.675</v>
      </c>
      <c r="BI37">
        <v>0</v>
      </c>
      <c r="BJ37">
        <v>1.675</v>
      </c>
      <c r="BK37">
        <v>0</v>
      </c>
      <c r="BL37">
        <v>1.675</v>
      </c>
      <c r="BM37">
        <v>0</v>
      </c>
      <c r="BN37">
        <v>1.675</v>
      </c>
      <c r="BO37">
        <v>0.08006436</v>
      </c>
      <c r="BP37">
        <v>1.675</v>
      </c>
      <c r="BQ37">
        <v>0</v>
      </c>
      <c r="BR37">
        <v>1.675</v>
      </c>
      <c r="BS37">
        <v>0.15969118</v>
      </c>
      <c r="BT37">
        <v>1.675</v>
      </c>
      <c r="BU37">
        <v>0</v>
      </c>
      <c r="BV37">
        <v>1.675</v>
      </c>
      <c r="BW37">
        <v>0.08101297</v>
      </c>
      <c r="BX37">
        <v>1.675</v>
      </c>
      <c r="BY37">
        <v>0</v>
      </c>
      <c r="CB37">
        <v>1.675</v>
      </c>
      <c r="CC37">
        <v>0</v>
      </c>
      <c r="CD37">
        <v>0</v>
      </c>
      <c r="CE37">
        <v>0</v>
      </c>
      <c r="CF37">
        <v>0</v>
      </c>
      <c r="CG37">
        <v>0</v>
      </c>
      <c r="CK37">
        <v>165</v>
      </c>
      <c r="CL37">
        <v>1.61659167</v>
      </c>
      <c r="CM37">
        <v>2.80809681</v>
      </c>
      <c r="CN37">
        <v>165</v>
      </c>
      <c r="CO37">
        <v>1.25379571</v>
      </c>
      <c r="CP37">
        <v>1.5600111</v>
      </c>
      <c r="CQ37">
        <v>165</v>
      </c>
      <c r="CR37">
        <v>1.55741383</v>
      </c>
      <c r="CS37">
        <v>2.67714181</v>
      </c>
      <c r="CT37">
        <v>165</v>
      </c>
      <c r="CU37">
        <v>1.40779457</v>
      </c>
      <c r="CV37">
        <v>2.18699741</v>
      </c>
      <c r="CW37">
        <v>165</v>
      </c>
      <c r="CX37">
        <v>2.00211192</v>
      </c>
      <c r="CY37">
        <v>3.53869087</v>
      </c>
    </row>
    <row r="38" spans="20:103">
      <c r="T38">
        <v>18.463</v>
      </c>
      <c r="U38">
        <v>1.12388144341214</v>
      </c>
      <c r="V38">
        <v>18.463</v>
      </c>
      <c r="W38">
        <v>1.13003901236564</v>
      </c>
      <c r="X38">
        <v>18.463</v>
      </c>
      <c r="Y38">
        <v>1.14522701269762</v>
      </c>
      <c r="Z38">
        <v>18.463</v>
      </c>
      <c r="AA38">
        <v>1.0942294224678</v>
      </c>
      <c r="AB38">
        <v>18.463</v>
      </c>
      <c r="AC38">
        <v>1.10726833712197</v>
      </c>
      <c r="AE38">
        <v>18.463</v>
      </c>
      <c r="AF38">
        <v>-1669.52315350771</v>
      </c>
      <c r="AG38">
        <v>-1901.40154222161</v>
      </c>
      <c r="AH38">
        <v>-1784.23544399387</v>
      </c>
      <c r="AI38">
        <v>-1878.28324207275</v>
      </c>
      <c r="AJ38">
        <v>-1774.49035858683</v>
      </c>
      <c r="AM38">
        <v>180</v>
      </c>
      <c r="AN38">
        <v>5.21115105</v>
      </c>
      <c r="AO38">
        <v>5.659791</v>
      </c>
      <c r="AP38">
        <v>4.80721309</v>
      </c>
      <c r="AQ38">
        <v>4.51862241</v>
      </c>
      <c r="AR38">
        <v>4.41205284</v>
      </c>
      <c r="BF38">
        <v>1.725</v>
      </c>
      <c r="BG38">
        <v>0.92874823</v>
      </c>
      <c r="BH38">
        <v>1.725</v>
      </c>
      <c r="BI38">
        <v>1.1516478</v>
      </c>
      <c r="BJ38">
        <v>1.725</v>
      </c>
      <c r="BK38">
        <v>0.78808863</v>
      </c>
      <c r="BL38">
        <v>1.725</v>
      </c>
      <c r="BM38">
        <v>3.44507316</v>
      </c>
      <c r="BN38">
        <v>1.725</v>
      </c>
      <c r="BO38">
        <v>1.05686753</v>
      </c>
      <c r="BP38">
        <v>1.725</v>
      </c>
      <c r="BQ38">
        <v>0.57561535</v>
      </c>
      <c r="BR38">
        <v>1.725</v>
      </c>
      <c r="BS38">
        <v>0.90341118</v>
      </c>
      <c r="BT38">
        <v>1.725</v>
      </c>
      <c r="BU38">
        <v>2.85139152</v>
      </c>
      <c r="BV38">
        <v>1.725</v>
      </c>
      <c r="BW38">
        <v>0.95481189</v>
      </c>
      <c r="BX38">
        <v>1.725</v>
      </c>
      <c r="BY38">
        <v>1.72725472</v>
      </c>
      <c r="CB38">
        <v>1.725</v>
      </c>
      <c r="CC38">
        <v>0</v>
      </c>
      <c r="CD38">
        <v>0</v>
      </c>
      <c r="CE38">
        <v>0</v>
      </c>
      <c r="CF38">
        <v>0</v>
      </c>
      <c r="CG38">
        <v>0</v>
      </c>
      <c r="CK38">
        <v>170</v>
      </c>
      <c r="CL38">
        <v>1.66835447</v>
      </c>
      <c r="CM38">
        <v>2.88127788</v>
      </c>
      <c r="CN38">
        <v>170</v>
      </c>
      <c r="CO38">
        <v>1.25831202</v>
      </c>
      <c r="CP38">
        <v>1.57447014</v>
      </c>
      <c r="CQ38">
        <v>170</v>
      </c>
      <c r="CR38">
        <v>1.58667758</v>
      </c>
      <c r="CS38">
        <v>2.76128693</v>
      </c>
      <c r="CT38">
        <v>170</v>
      </c>
      <c r="CU38">
        <v>1.45564336</v>
      </c>
      <c r="CV38">
        <v>2.24930803</v>
      </c>
      <c r="CW38">
        <v>170</v>
      </c>
      <c r="CX38">
        <v>2.04449906</v>
      </c>
      <c r="CY38">
        <v>3.62929123</v>
      </c>
    </row>
    <row r="39" spans="20:103">
      <c r="T39">
        <v>18.962</v>
      </c>
      <c r="U39">
        <v>1.12158311409762</v>
      </c>
      <c r="V39">
        <v>18.962</v>
      </c>
      <c r="W39">
        <v>1.12955710362763</v>
      </c>
      <c r="X39">
        <v>18.962</v>
      </c>
      <c r="Y39">
        <v>1.14568688658372</v>
      </c>
      <c r="Z39">
        <v>18.962</v>
      </c>
      <c r="AA39">
        <v>1.09452586475282</v>
      </c>
      <c r="AB39">
        <v>18.962</v>
      </c>
      <c r="AC39">
        <v>1.11303505479973</v>
      </c>
      <c r="AE39">
        <v>18.962</v>
      </c>
      <c r="AF39">
        <v>-1684.88446187649</v>
      </c>
      <c r="AG39">
        <v>-1861.43756535078</v>
      </c>
      <c r="AH39">
        <v>-1782.52914039955</v>
      </c>
      <c r="AI39">
        <v>-1832.66799547916</v>
      </c>
      <c r="AJ39">
        <v>-1762.95169967321</v>
      </c>
      <c r="AM39">
        <v>185</v>
      </c>
      <c r="AN39">
        <v>5.25965911</v>
      </c>
      <c r="AO39">
        <v>5.69150166</v>
      </c>
      <c r="AP39">
        <v>4.79514014</v>
      </c>
      <c r="AQ39">
        <v>4.53382602</v>
      </c>
      <c r="AR39">
        <v>4.40324701</v>
      </c>
      <c r="BF39">
        <v>1.775</v>
      </c>
      <c r="BG39">
        <v>4.42091035</v>
      </c>
      <c r="BH39">
        <v>1.775</v>
      </c>
      <c r="BI39">
        <v>10.87684292</v>
      </c>
      <c r="BJ39">
        <v>1.775</v>
      </c>
      <c r="BK39">
        <v>3.29626326</v>
      </c>
      <c r="BL39">
        <v>1.775</v>
      </c>
      <c r="BM39">
        <v>26.02984663</v>
      </c>
      <c r="BN39">
        <v>1.775</v>
      </c>
      <c r="BO39">
        <v>3.74313073</v>
      </c>
      <c r="BP39">
        <v>1.775</v>
      </c>
      <c r="BQ39">
        <v>22.83309746</v>
      </c>
      <c r="BR39">
        <v>1.775</v>
      </c>
      <c r="BS39">
        <v>3.3773883</v>
      </c>
      <c r="BT39">
        <v>1.775</v>
      </c>
      <c r="BU39">
        <v>22.62139135</v>
      </c>
      <c r="BV39">
        <v>1.775</v>
      </c>
      <c r="BW39">
        <v>2.41677259</v>
      </c>
      <c r="BX39">
        <v>1.775</v>
      </c>
      <c r="BY39">
        <v>19.57585801</v>
      </c>
      <c r="CB39">
        <v>1.775</v>
      </c>
      <c r="CC39">
        <v>0</v>
      </c>
      <c r="CD39">
        <v>0</v>
      </c>
      <c r="CE39">
        <v>0</v>
      </c>
      <c r="CF39">
        <v>0</v>
      </c>
      <c r="CG39">
        <v>0</v>
      </c>
      <c r="CK39">
        <v>175</v>
      </c>
      <c r="CL39">
        <v>1.71716708</v>
      </c>
      <c r="CM39">
        <v>2.9653686</v>
      </c>
      <c r="CN39">
        <v>175</v>
      </c>
      <c r="CO39">
        <v>1.27112772</v>
      </c>
      <c r="CP39">
        <v>1.57833845</v>
      </c>
      <c r="CQ39">
        <v>175</v>
      </c>
      <c r="CR39">
        <v>1.59594373</v>
      </c>
      <c r="CS39">
        <v>2.77728394</v>
      </c>
      <c r="CT39">
        <v>175</v>
      </c>
      <c r="CU39">
        <v>1.43201643</v>
      </c>
      <c r="CV39">
        <v>2.27245448</v>
      </c>
      <c r="CW39">
        <v>175</v>
      </c>
      <c r="CX39">
        <v>2.10745373</v>
      </c>
      <c r="CY39">
        <v>3.74510889</v>
      </c>
    </row>
    <row r="40" spans="20:103">
      <c r="T40">
        <v>19.461</v>
      </c>
      <c r="U40">
        <v>1.12368226754363</v>
      </c>
      <c r="V40">
        <v>19.461</v>
      </c>
      <c r="W40">
        <v>1.1309002769253</v>
      </c>
      <c r="X40">
        <v>19.461</v>
      </c>
      <c r="Y40">
        <v>1.14077292341874</v>
      </c>
      <c r="Z40">
        <v>19.461</v>
      </c>
      <c r="AA40">
        <v>1.09815926240877</v>
      </c>
      <c r="AB40">
        <v>19.461</v>
      </c>
      <c r="AC40">
        <v>1.11658666630346</v>
      </c>
      <c r="AE40">
        <v>19.461</v>
      </c>
      <c r="AF40">
        <v>-1858.80890444117</v>
      </c>
      <c r="AG40">
        <v>-1910.89774711516</v>
      </c>
      <c r="AH40">
        <v>-1794.11876723369</v>
      </c>
      <c r="AI40">
        <v>-1799.98271042458</v>
      </c>
      <c r="AJ40">
        <v>-1928.55306568282</v>
      </c>
      <c r="AM40">
        <v>190</v>
      </c>
      <c r="AN40">
        <v>5.24503882</v>
      </c>
      <c r="AO40">
        <v>5.66866158</v>
      </c>
      <c r="AP40">
        <v>4.79950225</v>
      </c>
      <c r="AQ40">
        <v>4.52372395</v>
      </c>
      <c r="AR40">
        <v>4.40391277</v>
      </c>
      <c r="AW40">
        <v>0.0104967119274376</v>
      </c>
      <c r="AX40">
        <v>5.23719049952381</v>
      </c>
      <c r="BF40">
        <v>1.825</v>
      </c>
      <c r="BG40">
        <v>8.69590894</v>
      </c>
      <c r="BH40">
        <v>1.825</v>
      </c>
      <c r="BI40">
        <v>36.01168397</v>
      </c>
      <c r="BJ40">
        <v>1.825</v>
      </c>
      <c r="BK40">
        <v>7.20858344</v>
      </c>
      <c r="BL40">
        <v>1.825</v>
      </c>
      <c r="BM40">
        <v>55.91513773</v>
      </c>
      <c r="BN40">
        <v>1.825</v>
      </c>
      <c r="BO40">
        <v>7.92475944</v>
      </c>
      <c r="BP40">
        <v>1.825</v>
      </c>
      <c r="BQ40">
        <v>70.45448362</v>
      </c>
      <c r="BR40">
        <v>1.825</v>
      </c>
      <c r="BS40">
        <v>6.35611466</v>
      </c>
      <c r="BT40">
        <v>1.825</v>
      </c>
      <c r="BU40">
        <v>73.36772353</v>
      </c>
      <c r="BV40">
        <v>1.825</v>
      </c>
      <c r="BW40">
        <v>8.93994414</v>
      </c>
      <c r="BX40">
        <v>1.825</v>
      </c>
      <c r="BY40">
        <v>51.43880072</v>
      </c>
      <c r="CB40">
        <v>1.825</v>
      </c>
      <c r="CC40">
        <v>0</v>
      </c>
      <c r="CD40">
        <v>0</v>
      </c>
      <c r="CE40">
        <v>0</v>
      </c>
      <c r="CF40">
        <v>0</v>
      </c>
      <c r="CG40">
        <v>0</v>
      </c>
      <c r="CK40">
        <v>180</v>
      </c>
      <c r="CL40">
        <v>1.72558667</v>
      </c>
      <c r="CM40">
        <v>3.039701</v>
      </c>
      <c r="CN40">
        <v>180</v>
      </c>
      <c r="CO40">
        <v>1.24343888</v>
      </c>
      <c r="CP40">
        <v>1.59247287</v>
      </c>
      <c r="CQ40">
        <v>180</v>
      </c>
      <c r="CR40">
        <v>1.61391214</v>
      </c>
      <c r="CS40">
        <v>2.80553955</v>
      </c>
      <c r="CT40">
        <v>180</v>
      </c>
      <c r="CU40">
        <v>1.46036682</v>
      </c>
      <c r="CV40">
        <v>2.3227726</v>
      </c>
      <c r="CW40">
        <v>180</v>
      </c>
      <c r="CX40">
        <v>2.15436255</v>
      </c>
      <c r="CY40">
        <v>3.85658299</v>
      </c>
    </row>
    <row r="41" spans="20:103">
      <c r="T41">
        <v>19.96</v>
      </c>
      <c r="U41">
        <v>1.12837444186097</v>
      </c>
      <c r="V41">
        <v>19.96</v>
      </c>
      <c r="W41">
        <v>1.12679707559778</v>
      </c>
      <c r="X41">
        <v>19.96</v>
      </c>
      <c r="Y41">
        <v>1.1400409315292</v>
      </c>
      <c r="Z41">
        <v>19.96</v>
      </c>
      <c r="AA41">
        <v>1.10385174794935</v>
      </c>
      <c r="AB41">
        <v>19.96</v>
      </c>
      <c r="AC41">
        <v>1.10809871629664</v>
      </c>
      <c r="AE41">
        <v>19.96</v>
      </c>
      <c r="AF41">
        <v>-1898.31018688014</v>
      </c>
      <c r="AG41">
        <v>-1911.40205027268</v>
      </c>
      <c r="AH41">
        <v>-1796.21246693685</v>
      </c>
      <c r="AI41">
        <v>-1819.62656532478</v>
      </c>
      <c r="AJ41">
        <v>-1955.05906652528</v>
      </c>
      <c r="AM41">
        <v>195</v>
      </c>
      <c r="AN41">
        <v>5.23796753</v>
      </c>
      <c r="AO41">
        <v>5.68479524</v>
      </c>
      <c r="AP41">
        <v>4.7955611</v>
      </c>
      <c r="AQ41">
        <v>4.52380231</v>
      </c>
      <c r="AR41">
        <v>4.40588154</v>
      </c>
      <c r="AW41">
        <v>0.011347351201814</v>
      </c>
      <c r="AX41">
        <v>5.67723518523809</v>
      </c>
      <c r="BF41">
        <v>1.875</v>
      </c>
      <c r="BG41">
        <v>13.20649604</v>
      </c>
      <c r="BH41">
        <v>1.875</v>
      </c>
      <c r="BI41">
        <v>75.05691914</v>
      </c>
      <c r="BJ41">
        <v>1.875</v>
      </c>
      <c r="BK41">
        <v>11.62564825</v>
      </c>
      <c r="BL41">
        <v>1.875</v>
      </c>
      <c r="BM41">
        <v>110.80576869</v>
      </c>
      <c r="BN41">
        <v>1.875</v>
      </c>
      <c r="BO41">
        <v>12.20411275</v>
      </c>
      <c r="BP41">
        <v>1.875</v>
      </c>
      <c r="BQ41">
        <v>112.05739648</v>
      </c>
      <c r="BR41">
        <v>1.875</v>
      </c>
      <c r="BS41">
        <v>10.80075811</v>
      </c>
      <c r="BT41">
        <v>1.875</v>
      </c>
      <c r="BU41">
        <v>119.7068094</v>
      </c>
      <c r="BV41">
        <v>1.875</v>
      </c>
      <c r="BW41">
        <v>12.44568676</v>
      </c>
      <c r="BX41">
        <v>1.875</v>
      </c>
      <c r="BY41">
        <v>89.17981092</v>
      </c>
      <c r="CB41">
        <v>1.875</v>
      </c>
      <c r="CC41">
        <v>0</v>
      </c>
      <c r="CD41">
        <v>0</v>
      </c>
      <c r="CE41">
        <v>0</v>
      </c>
      <c r="CF41">
        <v>0</v>
      </c>
      <c r="CG41">
        <v>0</v>
      </c>
      <c r="CK41">
        <v>185</v>
      </c>
      <c r="CL41">
        <v>1.73327965</v>
      </c>
      <c r="CM41">
        <v>3.08102343</v>
      </c>
      <c r="CN41">
        <v>185</v>
      </c>
      <c r="CO41">
        <v>1.256216</v>
      </c>
      <c r="CP41">
        <v>1.60855622</v>
      </c>
      <c r="CQ41">
        <v>185</v>
      </c>
      <c r="CR41">
        <v>1.65038099</v>
      </c>
      <c r="CS41">
        <v>2.89623178</v>
      </c>
      <c r="CT41">
        <v>185</v>
      </c>
      <c r="CU41">
        <v>1.46093643</v>
      </c>
      <c r="CV41">
        <v>2.34027537</v>
      </c>
      <c r="CW41">
        <v>185</v>
      </c>
      <c r="CX41">
        <v>2.23045308</v>
      </c>
      <c r="CY41">
        <v>3.9991742</v>
      </c>
    </row>
    <row r="42" spans="20:103">
      <c r="T42">
        <v>20.459</v>
      </c>
      <c r="U42">
        <v>1.12034312019119</v>
      </c>
      <c r="V42">
        <v>20.459</v>
      </c>
      <c r="W42">
        <v>1.1361502730896</v>
      </c>
      <c r="X42">
        <v>20.459</v>
      </c>
      <c r="Y42">
        <v>1.14247923174133</v>
      </c>
      <c r="Z42">
        <v>20.459</v>
      </c>
      <c r="AA42">
        <v>1.09577833630388</v>
      </c>
      <c r="AB42">
        <v>20.459</v>
      </c>
      <c r="AC42">
        <v>1.10536318512849</v>
      </c>
      <c r="AE42">
        <v>20.459</v>
      </c>
      <c r="AF42">
        <v>-1669.09976428915</v>
      </c>
      <c r="AG42">
        <v>-1954.41263764384</v>
      </c>
      <c r="AH42">
        <v>-1727.38740726783</v>
      </c>
      <c r="AI42">
        <v>-1842.2316350129</v>
      </c>
      <c r="AJ42">
        <v>-1838.08865105633</v>
      </c>
      <c r="AM42">
        <v>200</v>
      </c>
      <c r="AN42">
        <v>5.2522231</v>
      </c>
      <c r="AO42">
        <v>5.68013821</v>
      </c>
      <c r="AP42">
        <v>4.80588351</v>
      </c>
      <c r="AQ42">
        <v>4.51824569</v>
      </c>
      <c r="AR42">
        <v>4.39704203</v>
      </c>
      <c r="AW42">
        <v>0.00779332961451262</v>
      </c>
      <c r="AX42">
        <v>4.78563460238095</v>
      </c>
      <c r="BF42">
        <v>1.925</v>
      </c>
      <c r="BG42">
        <v>14.40880094</v>
      </c>
      <c r="BH42">
        <v>1.925</v>
      </c>
      <c r="BI42">
        <v>97.56518319</v>
      </c>
      <c r="BJ42">
        <v>1.925</v>
      </c>
      <c r="BK42">
        <v>12.77745457</v>
      </c>
      <c r="BL42">
        <v>1.925</v>
      </c>
      <c r="BM42">
        <v>127.71728827</v>
      </c>
      <c r="BN42">
        <v>1.925</v>
      </c>
      <c r="BO42">
        <v>14.39722705</v>
      </c>
      <c r="BP42">
        <v>1.925</v>
      </c>
      <c r="BQ42">
        <v>124.80122608</v>
      </c>
      <c r="BR42">
        <v>1.925</v>
      </c>
      <c r="BS42">
        <v>11.66767282</v>
      </c>
      <c r="BT42">
        <v>1.925</v>
      </c>
      <c r="BU42">
        <v>127.76555149</v>
      </c>
      <c r="BV42">
        <v>1.925</v>
      </c>
      <c r="BW42">
        <v>14.87449641</v>
      </c>
      <c r="BX42">
        <v>1.925</v>
      </c>
      <c r="BY42">
        <v>103.5632979</v>
      </c>
      <c r="CB42">
        <v>1.925</v>
      </c>
      <c r="CC42">
        <v>0</v>
      </c>
      <c r="CD42">
        <v>0</v>
      </c>
      <c r="CE42">
        <v>0</v>
      </c>
      <c r="CF42">
        <v>0</v>
      </c>
      <c r="CG42">
        <v>0</v>
      </c>
      <c r="CK42">
        <v>190</v>
      </c>
      <c r="CL42">
        <v>1.77269249</v>
      </c>
      <c r="CM42">
        <v>3.0911053</v>
      </c>
      <c r="CN42">
        <v>190</v>
      </c>
      <c r="CO42">
        <v>1.26944696</v>
      </c>
      <c r="CP42">
        <v>1.624294</v>
      </c>
      <c r="CQ42">
        <v>190</v>
      </c>
      <c r="CR42">
        <v>1.6517745</v>
      </c>
      <c r="CS42">
        <v>2.93413636</v>
      </c>
      <c r="CT42">
        <v>190</v>
      </c>
      <c r="CU42">
        <v>1.5073925</v>
      </c>
      <c r="CV42">
        <v>2.39943601</v>
      </c>
      <c r="CW42">
        <v>190</v>
      </c>
      <c r="CX42">
        <v>2.2937979</v>
      </c>
      <c r="CY42">
        <v>4.12694398</v>
      </c>
    </row>
    <row r="43" spans="20:103">
      <c r="T43">
        <v>20.958</v>
      </c>
      <c r="U43">
        <v>1.12760251963395</v>
      </c>
      <c r="V43">
        <v>20.958</v>
      </c>
      <c r="W43">
        <v>1.12493685510053</v>
      </c>
      <c r="X43">
        <v>20.958</v>
      </c>
      <c r="Y43">
        <v>1.13908991136202</v>
      </c>
      <c r="Z43">
        <v>20.958</v>
      </c>
      <c r="AA43">
        <v>1.09941619187415</v>
      </c>
      <c r="AB43">
        <v>20.958</v>
      </c>
      <c r="AC43">
        <v>1.10169535505219</v>
      </c>
      <c r="AE43">
        <v>20.958</v>
      </c>
      <c r="AF43">
        <v>-1692.82512877002</v>
      </c>
      <c r="AG43">
        <v>-1881.56769053286</v>
      </c>
      <c r="AH43">
        <v>-1812.67539878042</v>
      </c>
      <c r="AI43">
        <v>-1755.69123404561</v>
      </c>
      <c r="AJ43">
        <v>-1773.69987348224</v>
      </c>
      <c r="AM43">
        <v>205</v>
      </c>
      <c r="AN43">
        <v>5.25062775</v>
      </c>
      <c r="AO43">
        <v>5.69489721</v>
      </c>
      <c r="AP43">
        <v>4.78694899</v>
      </c>
      <c r="AQ43">
        <v>4.52540056</v>
      </c>
      <c r="AR43">
        <v>4.39106376</v>
      </c>
      <c r="AW43">
        <v>0.00711977473922924</v>
      </c>
      <c r="AX43">
        <v>4.52309933809524</v>
      </c>
      <c r="BF43">
        <v>1.975</v>
      </c>
      <c r="BG43">
        <v>14.00026152</v>
      </c>
      <c r="BH43">
        <v>1.975</v>
      </c>
      <c r="BI43">
        <v>105.42707053</v>
      </c>
      <c r="BJ43">
        <v>1.975</v>
      </c>
      <c r="BK43">
        <v>12.36775075</v>
      </c>
      <c r="BL43">
        <v>1.975</v>
      </c>
      <c r="BM43">
        <v>137.53969477</v>
      </c>
      <c r="BN43">
        <v>1.975</v>
      </c>
      <c r="BO43">
        <v>14.97328449</v>
      </c>
      <c r="BP43">
        <v>1.975</v>
      </c>
      <c r="BQ43">
        <v>119.0016182</v>
      </c>
      <c r="BR43">
        <v>1.975</v>
      </c>
      <c r="BS43">
        <v>10.59624015</v>
      </c>
      <c r="BT43">
        <v>1.975</v>
      </c>
      <c r="BU43">
        <v>120.07349199</v>
      </c>
      <c r="BV43">
        <v>1.975</v>
      </c>
      <c r="BW43">
        <v>14.83019301</v>
      </c>
      <c r="BX43">
        <v>1.975</v>
      </c>
      <c r="BY43">
        <v>84.33106218</v>
      </c>
      <c r="CB43">
        <v>1.975</v>
      </c>
      <c r="CC43">
        <v>0</v>
      </c>
      <c r="CD43">
        <v>0</v>
      </c>
      <c r="CE43">
        <v>0</v>
      </c>
      <c r="CF43">
        <v>0</v>
      </c>
      <c r="CG43">
        <v>0</v>
      </c>
      <c r="CK43">
        <v>195</v>
      </c>
      <c r="CL43">
        <v>1.78371709</v>
      </c>
      <c r="CM43">
        <v>3.15560847</v>
      </c>
      <c r="CN43">
        <v>195</v>
      </c>
      <c r="CO43">
        <v>1.27548243</v>
      </c>
      <c r="CP43">
        <v>1.64654227</v>
      </c>
      <c r="CQ43">
        <v>195</v>
      </c>
      <c r="CR43">
        <v>1.69924615</v>
      </c>
      <c r="CS43">
        <v>2.99827586</v>
      </c>
      <c r="CT43">
        <v>195</v>
      </c>
      <c r="CU43">
        <v>1.50984685</v>
      </c>
      <c r="CV43">
        <v>2.45931957</v>
      </c>
      <c r="CW43">
        <v>195</v>
      </c>
      <c r="CX43">
        <v>2.37550823</v>
      </c>
      <c r="CY43">
        <v>4.25265745</v>
      </c>
    </row>
    <row r="44" spans="20:103">
      <c r="T44">
        <v>21.457</v>
      </c>
      <c r="U44">
        <v>1.12777542160353</v>
      </c>
      <c r="V44">
        <v>21.457</v>
      </c>
      <c r="W44">
        <v>1.1294811455274</v>
      </c>
      <c r="X44">
        <v>21.457</v>
      </c>
      <c r="Y44">
        <v>1.13320848675392</v>
      </c>
      <c r="Z44">
        <v>21.457</v>
      </c>
      <c r="AA44">
        <v>1.10302130247263</v>
      </c>
      <c r="AB44">
        <v>21.457</v>
      </c>
      <c r="AC44">
        <v>1.10664771785086</v>
      </c>
      <c r="AE44">
        <v>21.457</v>
      </c>
      <c r="AF44">
        <v>-1920.43735842137</v>
      </c>
      <c r="AG44">
        <v>-1830.43790079872</v>
      </c>
      <c r="AH44">
        <v>-1809.9782242207</v>
      </c>
      <c r="AI44">
        <v>-1753.12198109196</v>
      </c>
      <c r="AJ44">
        <v>-1922.09666808429</v>
      </c>
      <c r="AM44">
        <v>210</v>
      </c>
      <c r="AN44">
        <v>5.22323499</v>
      </c>
      <c r="AO44">
        <v>5.7059549</v>
      </c>
      <c r="AP44">
        <v>4.78398572</v>
      </c>
      <c r="AQ44">
        <v>4.53011268</v>
      </c>
      <c r="AR44">
        <v>4.38115911</v>
      </c>
      <c r="AW44">
        <v>0.00600576077097506</v>
      </c>
      <c r="AX44">
        <v>4.37240753380952</v>
      </c>
      <c r="BF44">
        <v>2.025</v>
      </c>
      <c r="BG44">
        <v>11.32253745</v>
      </c>
      <c r="BH44">
        <v>2.025</v>
      </c>
      <c r="BI44">
        <v>62.67833229</v>
      </c>
      <c r="BJ44">
        <v>2.025</v>
      </c>
      <c r="BK44">
        <v>10.56632535</v>
      </c>
      <c r="BL44">
        <v>2.025</v>
      </c>
      <c r="BM44">
        <v>83.74902152</v>
      </c>
      <c r="BN44">
        <v>2.025</v>
      </c>
      <c r="BO44">
        <v>12.32569799</v>
      </c>
      <c r="BP44">
        <v>2.025</v>
      </c>
      <c r="BQ44">
        <v>76.43987039</v>
      </c>
      <c r="BR44">
        <v>2.025</v>
      </c>
      <c r="BS44">
        <v>9.64240586</v>
      </c>
      <c r="BT44">
        <v>2.025</v>
      </c>
      <c r="BU44">
        <v>87.73223555</v>
      </c>
      <c r="BV44">
        <v>2.025</v>
      </c>
      <c r="BW44">
        <v>13.96834116</v>
      </c>
      <c r="BX44">
        <v>2.025</v>
      </c>
      <c r="BY44">
        <v>58.07462553</v>
      </c>
      <c r="CB44">
        <v>2.025</v>
      </c>
      <c r="CC44">
        <v>0</v>
      </c>
      <c r="CD44">
        <v>0</v>
      </c>
      <c r="CE44">
        <v>0</v>
      </c>
      <c r="CF44">
        <v>0</v>
      </c>
      <c r="CG44">
        <v>0</v>
      </c>
      <c r="CK44">
        <v>200</v>
      </c>
      <c r="CL44">
        <v>1.81509293</v>
      </c>
      <c r="CM44">
        <v>3.16812675</v>
      </c>
      <c r="CN44">
        <v>200</v>
      </c>
      <c r="CO44">
        <v>1.30045148</v>
      </c>
      <c r="CP44">
        <v>1.6782833</v>
      </c>
      <c r="CQ44">
        <v>200</v>
      </c>
      <c r="CR44">
        <v>1.70392833</v>
      </c>
      <c r="CS44">
        <v>3.05291887</v>
      </c>
      <c r="CT44">
        <v>200</v>
      </c>
      <c r="CU44">
        <v>1.5370016</v>
      </c>
      <c r="CV44">
        <v>2.50703082</v>
      </c>
      <c r="CW44">
        <v>200</v>
      </c>
      <c r="CX44">
        <v>2.42886303</v>
      </c>
      <c r="CY44">
        <v>4.35435512</v>
      </c>
    </row>
    <row r="45" spans="20:103">
      <c r="T45">
        <v>21.956</v>
      </c>
      <c r="U45">
        <v>1.11737672157369</v>
      </c>
      <c r="V45">
        <v>21.956</v>
      </c>
      <c r="W45">
        <v>1.13055484819692</v>
      </c>
      <c r="X45">
        <v>21.956</v>
      </c>
      <c r="Y45">
        <v>1.13068585819566</v>
      </c>
      <c r="Z45">
        <v>21.956</v>
      </c>
      <c r="AA45">
        <v>1.10193528634183</v>
      </c>
      <c r="AB45">
        <v>21.956</v>
      </c>
      <c r="AC45">
        <v>1.10393794365335</v>
      </c>
      <c r="AE45">
        <v>21.956</v>
      </c>
      <c r="AF45">
        <v>-1877.45376336607</v>
      </c>
      <c r="AG45">
        <v>-1861.04702359497</v>
      </c>
      <c r="AH45">
        <v>-1744.9118742302</v>
      </c>
      <c r="AI45">
        <v>-1839.31070220866</v>
      </c>
      <c r="AJ45">
        <v>-1973.02847392231</v>
      </c>
      <c r="AM45">
        <v>215</v>
      </c>
      <c r="AN45">
        <v>5.25201072</v>
      </c>
      <c r="AO45">
        <v>5.68386093</v>
      </c>
      <c r="AP45">
        <v>4.7944196</v>
      </c>
      <c r="AQ45">
        <v>4.52549788</v>
      </c>
      <c r="AR45">
        <v>4.38298751</v>
      </c>
      <c r="BF45">
        <v>2.075</v>
      </c>
      <c r="BG45">
        <v>9.49972652</v>
      </c>
      <c r="BH45">
        <v>2.075</v>
      </c>
      <c r="BI45">
        <v>34.62265192</v>
      </c>
      <c r="BJ45">
        <v>2.075</v>
      </c>
      <c r="BK45">
        <v>8.63677072</v>
      </c>
      <c r="BL45">
        <v>2.075</v>
      </c>
      <c r="BM45">
        <v>60.71416388</v>
      </c>
      <c r="BN45">
        <v>2.075</v>
      </c>
      <c r="BO45">
        <v>9.49544441</v>
      </c>
      <c r="BP45">
        <v>2.075</v>
      </c>
      <c r="BQ45">
        <v>50.5228076</v>
      </c>
      <c r="BR45">
        <v>2.075</v>
      </c>
      <c r="BS45">
        <v>7.70047148</v>
      </c>
      <c r="BT45">
        <v>2.075</v>
      </c>
      <c r="BU45">
        <v>65.42539097</v>
      </c>
      <c r="BV45">
        <v>2.075</v>
      </c>
      <c r="BW45">
        <v>10.90132412</v>
      </c>
      <c r="BX45">
        <v>2.075</v>
      </c>
      <c r="BY45">
        <v>39.39324127</v>
      </c>
      <c r="CB45">
        <v>2.075</v>
      </c>
      <c r="CC45">
        <v>0</v>
      </c>
      <c r="CD45">
        <v>0</v>
      </c>
      <c r="CE45">
        <v>0</v>
      </c>
      <c r="CF45">
        <v>0</v>
      </c>
      <c r="CG45">
        <v>0</v>
      </c>
      <c r="CK45">
        <v>205</v>
      </c>
      <c r="CL45">
        <v>1.84330831</v>
      </c>
      <c r="CM45">
        <v>3.22663395</v>
      </c>
      <c r="CN45">
        <v>205</v>
      </c>
      <c r="CO45">
        <v>1.30230351</v>
      </c>
      <c r="CP45">
        <v>1.6842494</v>
      </c>
      <c r="CQ45">
        <v>205</v>
      </c>
      <c r="CR45">
        <v>1.78390689</v>
      </c>
      <c r="CS45">
        <v>3.09864162</v>
      </c>
      <c r="CT45">
        <v>205</v>
      </c>
      <c r="CU45">
        <v>1.53766272</v>
      </c>
      <c r="CV45">
        <v>2.57459334</v>
      </c>
      <c r="CW45">
        <v>205</v>
      </c>
      <c r="CX45">
        <v>2.48718283</v>
      </c>
      <c r="CY45">
        <v>4.49256187</v>
      </c>
    </row>
    <row r="46" spans="20:103">
      <c r="T46">
        <v>22.455</v>
      </c>
      <c r="U46">
        <v>1.121596024797</v>
      </c>
      <c r="V46">
        <v>22.455</v>
      </c>
      <c r="W46">
        <v>1.13582129611809</v>
      </c>
      <c r="X46">
        <v>22.455</v>
      </c>
      <c r="Y46">
        <v>1.13484052251527</v>
      </c>
      <c r="Z46">
        <v>22.455</v>
      </c>
      <c r="AA46">
        <v>1.09765956682571</v>
      </c>
      <c r="AB46">
        <v>22.455</v>
      </c>
      <c r="AC46">
        <v>1.11164984461953</v>
      </c>
      <c r="AE46">
        <v>22.455</v>
      </c>
      <c r="AF46">
        <v>-1730.38558654442</v>
      </c>
      <c r="AG46">
        <v>-1924.07394223389</v>
      </c>
      <c r="AH46">
        <v>-1793.43906613448</v>
      </c>
      <c r="AI46">
        <v>-1924.27429241512</v>
      </c>
      <c r="AJ46">
        <v>-1878.51510558626</v>
      </c>
      <c r="AM46">
        <v>220</v>
      </c>
      <c r="AN46">
        <v>5.24664362</v>
      </c>
      <c r="AO46">
        <v>5.70078345</v>
      </c>
      <c r="AP46">
        <v>4.78621002</v>
      </c>
      <c r="AQ46">
        <v>4.53352951</v>
      </c>
      <c r="AR46">
        <v>4.38939605</v>
      </c>
      <c r="BF46">
        <v>2.125</v>
      </c>
      <c r="BG46">
        <v>7.44221604</v>
      </c>
      <c r="BH46">
        <v>2.125</v>
      </c>
      <c r="BI46">
        <v>27.32076677</v>
      </c>
      <c r="BJ46">
        <v>2.125</v>
      </c>
      <c r="BK46">
        <v>6.10834307</v>
      </c>
      <c r="BL46">
        <v>2.125</v>
      </c>
      <c r="BM46">
        <v>31.40479701</v>
      </c>
      <c r="BN46">
        <v>2.125</v>
      </c>
      <c r="BO46">
        <v>7.2630005</v>
      </c>
      <c r="BP46">
        <v>2.125</v>
      </c>
      <c r="BQ46">
        <v>28.44882473</v>
      </c>
      <c r="BR46">
        <v>2.125</v>
      </c>
      <c r="BS46">
        <v>6.49899507</v>
      </c>
      <c r="BT46">
        <v>2.125</v>
      </c>
      <c r="BU46">
        <v>37.95586758</v>
      </c>
      <c r="BV46">
        <v>2.125</v>
      </c>
      <c r="BW46">
        <v>7.6007326</v>
      </c>
      <c r="BX46">
        <v>2.125</v>
      </c>
      <c r="BY46">
        <v>16.3145195</v>
      </c>
      <c r="CB46">
        <v>2.125</v>
      </c>
      <c r="CC46">
        <v>0</v>
      </c>
      <c r="CD46">
        <v>0</v>
      </c>
      <c r="CE46">
        <v>0</v>
      </c>
      <c r="CF46">
        <v>0</v>
      </c>
      <c r="CG46">
        <v>0</v>
      </c>
      <c r="CK46">
        <v>210</v>
      </c>
      <c r="CL46">
        <v>1.8584245</v>
      </c>
      <c r="CM46">
        <v>3.24953072</v>
      </c>
      <c r="CN46">
        <v>210</v>
      </c>
      <c r="CO46">
        <v>1.30924877</v>
      </c>
      <c r="CP46">
        <v>1.70317354</v>
      </c>
      <c r="CQ46">
        <v>210</v>
      </c>
      <c r="CR46">
        <v>1.82534666</v>
      </c>
      <c r="CS46">
        <v>3.18217027</v>
      </c>
      <c r="CT46">
        <v>210</v>
      </c>
      <c r="CU46">
        <v>1.58432072</v>
      </c>
      <c r="CV46">
        <v>2.64452818</v>
      </c>
      <c r="CW46">
        <v>210</v>
      </c>
      <c r="CX46">
        <v>2.53855093</v>
      </c>
      <c r="CY46">
        <v>4.62674878</v>
      </c>
    </row>
    <row r="47" spans="20:103">
      <c r="T47">
        <v>22.954</v>
      </c>
      <c r="U47">
        <v>1.12346505187384</v>
      </c>
      <c r="V47">
        <v>22.954</v>
      </c>
      <c r="W47">
        <v>1.1349195198206</v>
      </c>
      <c r="X47">
        <v>22.954</v>
      </c>
      <c r="Y47">
        <v>1.13520213830205</v>
      </c>
      <c r="Z47">
        <v>22.954</v>
      </c>
      <c r="AA47">
        <v>1.10846128009432</v>
      </c>
      <c r="AB47">
        <v>22.954</v>
      </c>
      <c r="AC47">
        <v>1.12065766301223</v>
      </c>
      <c r="AE47">
        <v>22.954</v>
      </c>
      <c r="AF47">
        <v>-1712.08882427873</v>
      </c>
      <c r="AG47">
        <v>-1939.78229590211</v>
      </c>
      <c r="AH47">
        <v>-1829.21883448518</v>
      </c>
      <c r="AI47">
        <v>-1927.08085718612</v>
      </c>
      <c r="AJ47">
        <v>-1858.12723061541</v>
      </c>
      <c r="AM47">
        <v>225</v>
      </c>
      <c r="AN47">
        <v>5.23270456</v>
      </c>
      <c r="AO47">
        <v>5.70295439</v>
      </c>
      <c r="AP47">
        <v>4.78987072</v>
      </c>
      <c r="AQ47">
        <v>4.52251672</v>
      </c>
      <c r="AR47">
        <v>4.38186881</v>
      </c>
      <c r="BF47">
        <v>2.175</v>
      </c>
      <c r="BG47">
        <v>5.86546797</v>
      </c>
      <c r="BH47">
        <v>2.175</v>
      </c>
      <c r="BI47">
        <v>20.28376971</v>
      </c>
      <c r="BJ47">
        <v>2.175</v>
      </c>
      <c r="BK47">
        <v>4.72124698</v>
      </c>
      <c r="BL47">
        <v>2.175</v>
      </c>
      <c r="BM47">
        <v>15.89171733</v>
      </c>
      <c r="BN47">
        <v>2.175</v>
      </c>
      <c r="BO47">
        <v>6.03069266</v>
      </c>
      <c r="BP47">
        <v>2.175</v>
      </c>
      <c r="BQ47">
        <v>21.36266031</v>
      </c>
      <c r="BR47">
        <v>2.175</v>
      </c>
      <c r="BS47">
        <v>4.68824569</v>
      </c>
      <c r="BT47">
        <v>2.175</v>
      </c>
      <c r="BU47">
        <v>29.05646819</v>
      </c>
      <c r="BV47">
        <v>2.175</v>
      </c>
      <c r="BW47">
        <v>7.35140238</v>
      </c>
      <c r="BX47">
        <v>2.175</v>
      </c>
      <c r="BY47">
        <v>10.14061092</v>
      </c>
      <c r="CB47">
        <v>2.175</v>
      </c>
      <c r="CC47">
        <v>0</v>
      </c>
      <c r="CD47">
        <v>0</v>
      </c>
      <c r="CE47">
        <v>0</v>
      </c>
      <c r="CF47">
        <v>0</v>
      </c>
      <c r="CG47">
        <v>0</v>
      </c>
      <c r="CK47">
        <v>215</v>
      </c>
      <c r="CL47">
        <v>1.85468382</v>
      </c>
      <c r="CM47">
        <v>3.27696466</v>
      </c>
      <c r="CN47">
        <v>215</v>
      </c>
      <c r="CO47">
        <v>1.3235382</v>
      </c>
      <c r="CP47">
        <v>1.74041036</v>
      </c>
      <c r="CQ47">
        <v>215</v>
      </c>
      <c r="CR47">
        <v>1.8711307</v>
      </c>
      <c r="CS47">
        <v>3.23635128</v>
      </c>
      <c r="CT47">
        <v>215</v>
      </c>
      <c r="CU47">
        <v>1.60840802</v>
      </c>
      <c r="CV47">
        <v>2.69661601</v>
      </c>
      <c r="CW47">
        <v>215</v>
      </c>
      <c r="CX47">
        <v>2.64458536</v>
      </c>
      <c r="CY47">
        <v>4.80868267</v>
      </c>
    </row>
    <row r="48" spans="20:103">
      <c r="T48">
        <v>23.453</v>
      </c>
      <c r="U48">
        <v>1.12030867937265</v>
      </c>
      <c r="V48">
        <v>23.453</v>
      </c>
      <c r="W48">
        <v>1.13187683124489</v>
      </c>
      <c r="X48">
        <v>23.453</v>
      </c>
      <c r="Y48">
        <v>1.13829644390913</v>
      </c>
      <c r="Z48">
        <v>23.453</v>
      </c>
      <c r="AA48">
        <v>1.1054935566706</v>
      </c>
      <c r="AB48">
        <v>23.453</v>
      </c>
      <c r="AC48">
        <v>1.11295018899931</v>
      </c>
      <c r="AE48">
        <v>23.453</v>
      </c>
      <c r="AF48">
        <v>-1798.36164200148</v>
      </c>
      <c r="AG48">
        <v>-1920.85149203432</v>
      </c>
      <c r="AH48">
        <v>-1811.52498931893</v>
      </c>
      <c r="AI48">
        <v>-1733.10438358108</v>
      </c>
      <c r="AJ48">
        <v>-1828.43595466341</v>
      </c>
      <c r="AM48">
        <v>230</v>
      </c>
      <c r="AN48">
        <v>5.22600464</v>
      </c>
      <c r="AO48">
        <v>5.69268974</v>
      </c>
      <c r="AP48">
        <v>4.78883041</v>
      </c>
      <c r="AQ48">
        <v>4.53776961</v>
      </c>
      <c r="AR48">
        <v>4.38991972</v>
      </c>
      <c r="BF48">
        <v>2.225</v>
      </c>
      <c r="BG48">
        <v>3.61745638</v>
      </c>
      <c r="BH48">
        <v>2.225</v>
      </c>
      <c r="BI48">
        <v>11.0756689</v>
      </c>
      <c r="BJ48">
        <v>2.225</v>
      </c>
      <c r="BK48">
        <v>3.90240347</v>
      </c>
      <c r="BL48">
        <v>2.225</v>
      </c>
      <c r="BM48">
        <v>8.97327226</v>
      </c>
      <c r="BN48">
        <v>2.225</v>
      </c>
      <c r="BO48">
        <v>4.31068633</v>
      </c>
      <c r="BP48">
        <v>2.225</v>
      </c>
      <c r="BQ48">
        <v>7.95775384</v>
      </c>
      <c r="BR48">
        <v>2.225</v>
      </c>
      <c r="BS48">
        <v>3.75588774</v>
      </c>
      <c r="BT48">
        <v>2.225</v>
      </c>
      <c r="BU48">
        <v>12.34012754</v>
      </c>
      <c r="BV48">
        <v>2.225</v>
      </c>
      <c r="BW48">
        <v>6.15237649</v>
      </c>
      <c r="BX48">
        <v>2.225</v>
      </c>
      <c r="BY48">
        <v>6.92142355</v>
      </c>
      <c r="CB48">
        <v>2.225</v>
      </c>
      <c r="CC48">
        <v>0</v>
      </c>
      <c r="CD48">
        <v>0</v>
      </c>
      <c r="CE48">
        <v>0</v>
      </c>
      <c r="CF48">
        <v>0</v>
      </c>
      <c r="CG48">
        <v>0</v>
      </c>
      <c r="CK48">
        <v>220</v>
      </c>
      <c r="CL48">
        <v>1.85053605</v>
      </c>
      <c r="CM48">
        <v>3.28396551</v>
      </c>
      <c r="CN48">
        <v>220</v>
      </c>
      <c r="CO48">
        <v>1.34128395</v>
      </c>
      <c r="CP48">
        <v>1.76621999</v>
      </c>
      <c r="CQ48">
        <v>220</v>
      </c>
      <c r="CR48">
        <v>1.91975857</v>
      </c>
      <c r="CS48">
        <v>3.29194828</v>
      </c>
      <c r="CT48">
        <v>220</v>
      </c>
      <c r="CU48">
        <v>1.62396033</v>
      </c>
      <c r="CV48">
        <v>2.73471537</v>
      </c>
      <c r="CW48">
        <v>220</v>
      </c>
      <c r="CX48">
        <v>2.72225492</v>
      </c>
      <c r="CY48">
        <v>4.96883188</v>
      </c>
    </row>
    <row r="49" spans="20:103">
      <c r="T49">
        <v>23.952</v>
      </c>
      <c r="U49">
        <v>1.10870906345453</v>
      </c>
      <c r="V49">
        <v>23.952</v>
      </c>
      <c r="W49">
        <v>1.1384685859344</v>
      </c>
      <c r="X49">
        <v>23.952</v>
      </c>
      <c r="Y49">
        <v>1.13435701081913</v>
      </c>
      <c r="Z49">
        <v>23.952</v>
      </c>
      <c r="AA49">
        <v>1.10881586583221</v>
      </c>
      <c r="AB49">
        <v>23.952</v>
      </c>
      <c r="AC49">
        <v>1.11260720981608</v>
      </c>
      <c r="AE49">
        <v>23.952</v>
      </c>
      <c r="AF49">
        <v>-1809.90307312173</v>
      </c>
      <c r="AG49">
        <v>-1890.42841522414</v>
      </c>
      <c r="AH49">
        <v>-1694.44015412023</v>
      </c>
      <c r="AI49">
        <v>-1632.20987456821</v>
      </c>
      <c r="AJ49">
        <v>-1831.74347570442</v>
      </c>
      <c r="AM49">
        <v>235</v>
      </c>
      <c r="AN49">
        <v>5.21651774</v>
      </c>
      <c r="AO49">
        <v>5.70040817</v>
      </c>
      <c r="AP49">
        <v>4.78524194</v>
      </c>
      <c r="AQ49">
        <v>4.53500372</v>
      </c>
      <c r="AR49">
        <v>4.37962603</v>
      </c>
      <c r="BF49">
        <v>2.275</v>
      </c>
      <c r="BG49">
        <v>3.22524907</v>
      </c>
      <c r="BH49">
        <v>2.275</v>
      </c>
      <c r="BI49">
        <v>7.94564671</v>
      </c>
      <c r="BJ49">
        <v>2.275</v>
      </c>
      <c r="BK49">
        <v>2.82654162</v>
      </c>
      <c r="BL49">
        <v>2.275</v>
      </c>
      <c r="BM49">
        <v>5.2819648</v>
      </c>
      <c r="BN49">
        <v>2.275</v>
      </c>
      <c r="BO49">
        <v>3.53735339</v>
      </c>
      <c r="BP49">
        <v>2.275</v>
      </c>
      <c r="BQ49">
        <v>7.28087154</v>
      </c>
      <c r="BR49">
        <v>2.275</v>
      </c>
      <c r="BS49">
        <v>2.57542851</v>
      </c>
      <c r="BT49">
        <v>2.275</v>
      </c>
      <c r="BU49">
        <v>11.14792627</v>
      </c>
      <c r="BV49">
        <v>2.275</v>
      </c>
      <c r="BW49">
        <v>4.21606562</v>
      </c>
      <c r="BX49">
        <v>2.275</v>
      </c>
      <c r="BY49">
        <v>3.6412973</v>
      </c>
      <c r="CB49">
        <v>2.275</v>
      </c>
      <c r="CC49">
        <v>0</v>
      </c>
      <c r="CD49">
        <v>0</v>
      </c>
      <c r="CE49">
        <v>0</v>
      </c>
      <c r="CF49">
        <v>0</v>
      </c>
      <c r="CG49">
        <v>0</v>
      </c>
      <c r="CK49">
        <v>225</v>
      </c>
      <c r="CL49">
        <v>1.87871743</v>
      </c>
      <c r="CM49">
        <v>3.33706812</v>
      </c>
      <c r="CN49">
        <v>225</v>
      </c>
      <c r="CO49">
        <v>1.35565509</v>
      </c>
      <c r="CP49">
        <v>1.77041235</v>
      </c>
      <c r="CQ49">
        <v>225</v>
      </c>
      <c r="CR49">
        <v>1.94228156</v>
      </c>
      <c r="CS49">
        <v>3.34306028</v>
      </c>
      <c r="CT49">
        <v>225</v>
      </c>
      <c r="CU49">
        <v>1.64690771</v>
      </c>
      <c r="CV49">
        <v>2.74889021</v>
      </c>
      <c r="CW49">
        <v>225</v>
      </c>
      <c r="CX49">
        <v>2.83657357</v>
      </c>
      <c r="CY49">
        <v>5.13492784</v>
      </c>
    </row>
    <row r="50" spans="20:103">
      <c r="T50">
        <v>24.451</v>
      </c>
      <c r="U50">
        <v>1.11797300643678</v>
      </c>
      <c r="V50">
        <v>24.451</v>
      </c>
      <c r="W50">
        <v>1.14038266314423</v>
      </c>
      <c r="X50">
        <v>24.451</v>
      </c>
      <c r="Y50">
        <v>1.13294681387281</v>
      </c>
      <c r="Z50">
        <v>24.451</v>
      </c>
      <c r="AA50">
        <v>1.10803734117774</v>
      </c>
      <c r="AB50">
        <v>24.451</v>
      </c>
      <c r="AC50">
        <v>1.1057260634279</v>
      </c>
      <c r="AE50">
        <v>24.451</v>
      </c>
      <c r="AF50">
        <v>-1836.77848339224</v>
      </c>
      <c r="AG50">
        <v>-1824.2763308273</v>
      </c>
      <c r="AH50">
        <v>-1776.74814008869</v>
      </c>
      <c r="AI50">
        <v>-1791.06708976847</v>
      </c>
      <c r="AJ50">
        <v>-1851.39234911001</v>
      </c>
      <c r="AM50">
        <v>240</v>
      </c>
      <c r="AN50">
        <v>5.2303251</v>
      </c>
      <c r="AO50">
        <v>5.6901614</v>
      </c>
      <c r="AP50">
        <v>4.77249635</v>
      </c>
      <c r="AQ50">
        <v>4.53889932</v>
      </c>
      <c r="AR50">
        <v>4.37732514</v>
      </c>
      <c r="BF50">
        <v>2.325</v>
      </c>
      <c r="BG50">
        <v>2.51541157</v>
      </c>
      <c r="BH50">
        <v>2.325</v>
      </c>
      <c r="BI50">
        <v>3.8037931</v>
      </c>
      <c r="BJ50">
        <v>2.325</v>
      </c>
      <c r="BK50">
        <v>2.21047444</v>
      </c>
      <c r="BL50">
        <v>2.325</v>
      </c>
      <c r="BM50">
        <v>0.94823156</v>
      </c>
      <c r="BN50">
        <v>2.325</v>
      </c>
      <c r="BO50">
        <v>2.7427259</v>
      </c>
      <c r="BP50">
        <v>2.325</v>
      </c>
      <c r="BQ50">
        <v>4.1192834</v>
      </c>
      <c r="BR50">
        <v>2.325</v>
      </c>
      <c r="BS50">
        <v>2.03070223</v>
      </c>
      <c r="BT50">
        <v>2.325</v>
      </c>
      <c r="BU50">
        <v>7.84824968</v>
      </c>
      <c r="BV50">
        <v>2.325</v>
      </c>
      <c r="BW50">
        <v>3.49005163</v>
      </c>
      <c r="BX50">
        <v>2.325</v>
      </c>
      <c r="BY50">
        <v>2.21860059</v>
      </c>
      <c r="CB50">
        <v>2.325</v>
      </c>
      <c r="CC50">
        <v>0</v>
      </c>
      <c r="CD50">
        <v>0</v>
      </c>
      <c r="CE50">
        <v>0</v>
      </c>
      <c r="CF50">
        <v>0.20928666</v>
      </c>
      <c r="CG50">
        <v>0.21129529</v>
      </c>
      <c r="CK50">
        <v>230</v>
      </c>
      <c r="CL50">
        <v>1.90140564</v>
      </c>
      <c r="CM50">
        <v>3.40430559</v>
      </c>
      <c r="CN50">
        <v>230</v>
      </c>
      <c r="CO50">
        <v>1.37150331</v>
      </c>
      <c r="CP50">
        <v>1.80494256</v>
      </c>
      <c r="CQ50">
        <v>230</v>
      </c>
      <c r="CR50">
        <v>2.00181783</v>
      </c>
      <c r="CS50">
        <v>3.37191361</v>
      </c>
      <c r="CT50">
        <v>230</v>
      </c>
      <c r="CU50">
        <v>1.68989116</v>
      </c>
      <c r="CV50">
        <v>2.82058948</v>
      </c>
      <c r="CW50">
        <v>230</v>
      </c>
      <c r="CX50">
        <v>2.92832671</v>
      </c>
      <c r="CY50">
        <v>5.30192398</v>
      </c>
    </row>
    <row r="51" spans="20:103">
      <c r="T51">
        <v>24.95</v>
      </c>
      <c r="U51">
        <v>1.11867617684091</v>
      </c>
      <c r="V51">
        <v>24.95</v>
      </c>
      <c r="W51">
        <v>1.14244974952819</v>
      </c>
      <c r="X51">
        <v>24.95</v>
      </c>
      <c r="Y51">
        <v>1.14061373508177</v>
      </c>
      <c r="Z51">
        <v>24.95</v>
      </c>
      <c r="AA51">
        <v>1.10572413879878</v>
      </c>
      <c r="AB51">
        <v>24.95</v>
      </c>
      <c r="AC51">
        <v>1.09569329140951</v>
      </c>
      <c r="AE51">
        <v>24.95</v>
      </c>
      <c r="AF51">
        <v>-1820.8009608047</v>
      </c>
      <c r="AG51">
        <v>-1898.05975415135</v>
      </c>
      <c r="AH51">
        <v>-1848.29396965401</v>
      </c>
      <c r="AI51">
        <v>-1958.12549466256</v>
      </c>
      <c r="AJ51">
        <v>-1885.2798650958</v>
      </c>
      <c r="AM51">
        <v>245</v>
      </c>
      <c r="AN51">
        <v>5.22328431</v>
      </c>
      <c r="AO51">
        <v>5.70155223</v>
      </c>
      <c r="AP51">
        <v>4.80027231</v>
      </c>
      <c r="AQ51">
        <v>4.52550193</v>
      </c>
      <c r="AR51">
        <v>4.37495627</v>
      </c>
      <c r="BF51">
        <v>2.375</v>
      </c>
      <c r="BG51">
        <v>1.88145814</v>
      </c>
      <c r="BH51">
        <v>2.375</v>
      </c>
      <c r="BI51">
        <v>3.34154804</v>
      </c>
      <c r="BJ51">
        <v>2.375</v>
      </c>
      <c r="BK51">
        <v>1.68282916</v>
      </c>
      <c r="BL51">
        <v>2.375</v>
      </c>
      <c r="BM51">
        <v>0.90872775</v>
      </c>
      <c r="BN51">
        <v>2.375</v>
      </c>
      <c r="BO51">
        <v>2.11073506</v>
      </c>
      <c r="BP51">
        <v>2.375</v>
      </c>
      <c r="BQ51">
        <v>0.60733415</v>
      </c>
      <c r="BR51">
        <v>2.375</v>
      </c>
      <c r="BS51">
        <v>1.78723665</v>
      </c>
      <c r="BT51">
        <v>2.375</v>
      </c>
      <c r="BU51">
        <v>3.30936654</v>
      </c>
      <c r="BV51">
        <v>2.375</v>
      </c>
      <c r="BW51">
        <v>2.21633719</v>
      </c>
      <c r="BX51">
        <v>2.375</v>
      </c>
      <c r="BY51">
        <v>1.51869469</v>
      </c>
      <c r="CB51">
        <v>2.375</v>
      </c>
      <c r="CC51">
        <v>0.60755419</v>
      </c>
      <c r="CD51">
        <v>0.6058185</v>
      </c>
      <c r="CE51">
        <v>0</v>
      </c>
      <c r="CF51">
        <v>0.80227068</v>
      </c>
      <c r="CG51">
        <v>1.82243362</v>
      </c>
      <c r="CK51">
        <v>235</v>
      </c>
      <c r="CL51">
        <v>1.91951168</v>
      </c>
      <c r="CM51">
        <v>3.51710365</v>
      </c>
      <c r="CN51">
        <v>235</v>
      </c>
      <c r="CO51">
        <v>1.39383579</v>
      </c>
      <c r="CP51">
        <v>1.84209055</v>
      </c>
      <c r="CQ51">
        <v>235</v>
      </c>
      <c r="CR51">
        <v>2.0261322</v>
      </c>
      <c r="CS51">
        <v>3.40403532</v>
      </c>
      <c r="CT51">
        <v>235</v>
      </c>
      <c r="CU51">
        <v>1.65123794</v>
      </c>
      <c r="CV51">
        <v>2.83669189</v>
      </c>
      <c r="CW51">
        <v>235</v>
      </c>
      <c r="CX51">
        <v>3.00326114</v>
      </c>
      <c r="CY51">
        <v>5.42195865</v>
      </c>
    </row>
    <row r="52" spans="20:103">
      <c r="T52">
        <v>25.449</v>
      </c>
      <c r="U52">
        <v>1.12870264714527</v>
      </c>
      <c r="V52">
        <v>25.449</v>
      </c>
      <c r="W52">
        <v>1.14246469549946</v>
      </c>
      <c r="X52">
        <v>25.449</v>
      </c>
      <c r="Y52">
        <v>1.14335325848267</v>
      </c>
      <c r="Z52">
        <v>25.449</v>
      </c>
      <c r="AA52">
        <v>1.11788848042953</v>
      </c>
      <c r="AB52">
        <v>25.449</v>
      </c>
      <c r="AC52">
        <v>1.10420323609144</v>
      </c>
      <c r="AE52">
        <v>25.449</v>
      </c>
      <c r="AF52">
        <v>-1664.3600338103</v>
      </c>
      <c r="AG52">
        <v>-1883.91693831035</v>
      </c>
      <c r="AH52">
        <v>-1849.82173806198</v>
      </c>
      <c r="AI52">
        <v>-1932.86624837472</v>
      </c>
      <c r="AJ52">
        <v>-1784.61938757906</v>
      </c>
      <c r="AM52">
        <v>250</v>
      </c>
      <c r="AN52">
        <v>5.24345192</v>
      </c>
      <c r="AO52">
        <v>5.6934742</v>
      </c>
      <c r="AP52">
        <v>4.78592456</v>
      </c>
      <c r="AQ52">
        <v>4.53498502</v>
      </c>
      <c r="AR52">
        <v>4.37467892</v>
      </c>
      <c r="BF52">
        <v>2.425</v>
      </c>
      <c r="BG52">
        <v>1.69188263</v>
      </c>
      <c r="BH52">
        <v>2.425</v>
      </c>
      <c r="BI52">
        <v>1.16551915</v>
      </c>
      <c r="BJ52">
        <v>2.425</v>
      </c>
      <c r="BK52">
        <v>1.57617195</v>
      </c>
      <c r="BL52">
        <v>2.425</v>
      </c>
      <c r="BM52">
        <v>1.74328415</v>
      </c>
      <c r="BN52">
        <v>2.425</v>
      </c>
      <c r="BO52">
        <v>1.6425958</v>
      </c>
      <c r="BP52">
        <v>2.425</v>
      </c>
      <c r="BQ52">
        <v>0.29127425</v>
      </c>
      <c r="BR52">
        <v>2.425</v>
      </c>
      <c r="BS52">
        <v>1.1428657</v>
      </c>
      <c r="BT52">
        <v>2.425</v>
      </c>
      <c r="BU52">
        <v>2.8857359</v>
      </c>
      <c r="BV52">
        <v>2.425</v>
      </c>
      <c r="BW52">
        <v>1.75868855</v>
      </c>
      <c r="BX52">
        <v>2.425</v>
      </c>
      <c r="BY52">
        <v>0.87402956</v>
      </c>
      <c r="CB52">
        <v>2.425</v>
      </c>
      <c r="CC52">
        <v>1.94253191</v>
      </c>
      <c r="CD52">
        <v>2.90547359</v>
      </c>
      <c r="CE52">
        <v>0</v>
      </c>
      <c r="CF52">
        <v>3.0781183</v>
      </c>
      <c r="CG52">
        <v>2.52497428</v>
      </c>
      <c r="CK52">
        <v>240</v>
      </c>
      <c r="CL52">
        <v>1.97239925</v>
      </c>
      <c r="CM52">
        <v>3.52974891</v>
      </c>
      <c r="CN52">
        <v>240</v>
      </c>
      <c r="CO52">
        <v>1.41080445</v>
      </c>
      <c r="CP52">
        <v>1.847891</v>
      </c>
      <c r="CQ52">
        <v>240</v>
      </c>
      <c r="CR52">
        <v>2.06973412</v>
      </c>
      <c r="CS52">
        <v>3.43235676</v>
      </c>
      <c r="CT52">
        <v>240</v>
      </c>
      <c r="CU52">
        <v>1.70273952</v>
      </c>
      <c r="CV52">
        <v>2.89582731</v>
      </c>
      <c r="CW52">
        <v>240</v>
      </c>
      <c r="CX52">
        <v>3.08491742</v>
      </c>
      <c r="CY52">
        <v>5.63231535</v>
      </c>
    </row>
    <row r="53" spans="20:103">
      <c r="T53">
        <v>25.948</v>
      </c>
      <c r="U53">
        <v>1.13008426289329</v>
      </c>
      <c r="V53">
        <v>25.948</v>
      </c>
      <c r="W53">
        <v>1.14483550626362</v>
      </c>
      <c r="X53">
        <v>25.948</v>
      </c>
      <c r="Y53">
        <v>1.13808049358097</v>
      </c>
      <c r="Z53">
        <v>25.948</v>
      </c>
      <c r="AA53">
        <v>1.11521846661291</v>
      </c>
      <c r="AB53">
        <v>25.948</v>
      </c>
      <c r="AC53">
        <v>1.10844181980781</v>
      </c>
      <c r="AE53">
        <v>25.948</v>
      </c>
      <c r="AF53">
        <v>-1654.15149833855</v>
      </c>
      <c r="AG53">
        <v>-1912.30482087506</v>
      </c>
      <c r="AH53">
        <v>-1806.34715732816</v>
      </c>
      <c r="AI53">
        <v>-1738.37703470953</v>
      </c>
      <c r="AJ53">
        <v>-1860.65747826927</v>
      </c>
      <c r="AM53">
        <v>255</v>
      </c>
      <c r="AN53">
        <v>5.24929348</v>
      </c>
      <c r="AO53">
        <v>5.71181341</v>
      </c>
      <c r="AP53">
        <v>4.78773076</v>
      </c>
      <c r="AQ53">
        <v>4.5353967</v>
      </c>
      <c r="AR53">
        <v>4.37082003</v>
      </c>
      <c r="BF53">
        <v>2.475</v>
      </c>
      <c r="BG53">
        <v>0.95648307</v>
      </c>
      <c r="BH53">
        <v>2.475</v>
      </c>
      <c r="BI53">
        <v>1.11890472</v>
      </c>
      <c r="BJ53">
        <v>2.475</v>
      </c>
      <c r="BK53">
        <v>0.91152629</v>
      </c>
      <c r="BL53">
        <v>2.475</v>
      </c>
      <c r="BM53">
        <v>0.83678114</v>
      </c>
      <c r="BN53">
        <v>2.475</v>
      </c>
      <c r="BO53">
        <v>1.24685188</v>
      </c>
      <c r="BP53">
        <v>2.475</v>
      </c>
      <c r="BQ53">
        <v>0.27962487</v>
      </c>
      <c r="BR53">
        <v>2.475</v>
      </c>
      <c r="BS53">
        <v>0.9325837</v>
      </c>
      <c r="BT53">
        <v>2.475</v>
      </c>
      <c r="BU53">
        <v>4.15548325</v>
      </c>
      <c r="BV53">
        <v>2.475</v>
      </c>
      <c r="BW53">
        <v>1.52137085</v>
      </c>
      <c r="BX53">
        <v>2.475</v>
      </c>
      <c r="BY53">
        <v>0.27969104</v>
      </c>
      <c r="CB53">
        <v>2.475</v>
      </c>
      <c r="CC53">
        <v>3.35671417</v>
      </c>
      <c r="CD53">
        <v>5.39258954</v>
      </c>
      <c r="CE53">
        <v>0</v>
      </c>
      <c r="CF53">
        <v>4.24782733</v>
      </c>
      <c r="CG53">
        <v>4.47505671</v>
      </c>
      <c r="CK53">
        <v>245</v>
      </c>
      <c r="CL53">
        <v>1.97535083</v>
      </c>
      <c r="CM53">
        <v>3.6056299</v>
      </c>
      <c r="CN53">
        <v>245</v>
      </c>
      <c r="CO53">
        <v>1.40873041</v>
      </c>
      <c r="CP53">
        <v>1.84747437</v>
      </c>
      <c r="CQ53">
        <v>245</v>
      </c>
      <c r="CR53">
        <v>2.12522165</v>
      </c>
      <c r="CS53">
        <v>3.53124963</v>
      </c>
      <c r="CT53">
        <v>245</v>
      </c>
      <c r="CU53">
        <v>1.734822</v>
      </c>
      <c r="CV53">
        <v>2.96024436</v>
      </c>
      <c r="CW53">
        <v>245</v>
      </c>
      <c r="CX53">
        <v>3.16277915</v>
      </c>
      <c r="CY53">
        <v>5.74514716</v>
      </c>
    </row>
    <row r="54" spans="20:103">
      <c r="T54">
        <v>26.447</v>
      </c>
      <c r="U54">
        <v>1.12796303717635</v>
      </c>
      <c r="V54">
        <v>26.447</v>
      </c>
      <c r="W54">
        <v>1.1463496367045</v>
      </c>
      <c r="X54">
        <v>26.447</v>
      </c>
      <c r="Y54">
        <v>1.13198893359833</v>
      </c>
      <c r="Z54">
        <v>26.447</v>
      </c>
      <c r="AA54">
        <v>1.11734069411272</v>
      </c>
      <c r="AB54">
        <v>26.447</v>
      </c>
      <c r="AC54">
        <v>1.10680788707049</v>
      </c>
      <c r="AE54">
        <v>26.447</v>
      </c>
      <c r="AF54">
        <v>-1832.79855069729</v>
      </c>
      <c r="AG54">
        <v>-1911.87978917348</v>
      </c>
      <c r="AH54">
        <v>-1647.04055129445</v>
      </c>
      <c r="AI54">
        <v>-1674.6649816935</v>
      </c>
      <c r="AJ54">
        <v>-1966.55627275632</v>
      </c>
      <c r="AM54">
        <v>260</v>
      </c>
      <c r="AN54">
        <v>5.24853773</v>
      </c>
      <c r="AO54">
        <v>5.69054168</v>
      </c>
      <c r="AP54">
        <v>4.77375271</v>
      </c>
      <c r="AQ54">
        <v>4.53570109</v>
      </c>
      <c r="AR54">
        <v>4.37569409</v>
      </c>
      <c r="BF54">
        <v>2.525</v>
      </c>
      <c r="BG54">
        <v>1.00567495</v>
      </c>
      <c r="BH54">
        <v>2.525</v>
      </c>
      <c r="BI54">
        <v>0.53751592</v>
      </c>
      <c r="BJ54">
        <v>2.525</v>
      </c>
      <c r="BK54">
        <v>0.75317496</v>
      </c>
      <c r="BL54">
        <v>2.525</v>
      </c>
      <c r="BM54">
        <v>0.26799016</v>
      </c>
      <c r="BN54">
        <v>2.525</v>
      </c>
      <c r="BO54">
        <v>1.02179122</v>
      </c>
      <c r="BP54">
        <v>2.525</v>
      </c>
      <c r="BQ54">
        <v>0</v>
      </c>
      <c r="BR54">
        <v>2.525</v>
      </c>
      <c r="BS54">
        <v>0.61491333</v>
      </c>
      <c r="BT54">
        <v>2.525</v>
      </c>
      <c r="BU54">
        <v>1.8631874</v>
      </c>
      <c r="BV54">
        <v>2.525</v>
      </c>
      <c r="BW54">
        <v>1.22998142</v>
      </c>
      <c r="BX54">
        <v>2.525</v>
      </c>
      <c r="BY54">
        <v>0.2687242</v>
      </c>
      <c r="CB54">
        <v>2.525</v>
      </c>
      <c r="CC54">
        <v>6.0918471</v>
      </c>
      <c r="CD54">
        <v>4.64516277</v>
      </c>
      <c r="CE54">
        <v>0</v>
      </c>
      <c r="CF54">
        <v>6.5655175</v>
      </c>
      <c r="CG54">
        <v>4.47873669</v>
      </c>
      <c r="CK54">
        <v>250</v>
      </c>
      <c r="CL54">
        <v>1.99853808</v>
      </c>
      <c r="CM54">
        <v>3.66135936</v>
      </c>
      <c r="CN54">
        <v>250</v>
      </c>
      <c r="CO54">
        <v>1.45168247</v>
      </c>
      <c r="CP54">
        <v>1.86685929</v>
      </c>
      <c r="CQ54">
        <v>250</v>
      </c>
      <c r="CR54">
        <v>2.14549862</v>
      </c>
      <c r="CS54">
        <v>3.55117166</v>
      </c>
      <c r="CT54">
        <v>250</v>
      </c>
      <c r="CU54">
        <v>1.80712249</v>
      </c>
      <c r="CV54">
        <v>3.08783267</v>
      </c>
      <c r="CW54">
        <v>250</v>
      </c>
      <c r="CX54">
        <v>3.25998514</v>
      </c>
      <c r="CY54">
        <v>5.92872392</v>
      </c>
    </row>
    <row r="55" spans="20:103">
      <c r="T55">
        <v>26.946</v>
      </c>
      <c r="U55">
        <v>1.12961833962904</v>
      </c>
      <c r="V55">
        <v>26.946</v>
      </c>
      <c r="W55">
        <v>1.13944817284493</v>
      </c>
      <c r="X55">
        <v>26.946</v>
      </c>
      <c r="Y55">
        <v>1.13184020876363</v>
      </c>
      <c r="Z55">
        <v>26.946</v>
      </c>
      <c r="AA55">
        <v>1.11738821974988</v>
      </c>
      <c r="AB55">
        <v>26.946</v>
      </c>
      <c r="AC55">
        <v>1.10588899135749</v>
      </c>
      <c r="AE55">
        <v>26.946</v>
      </c>
      <c r="AF55">
        <v>-1860.21443718038</v>
      </c>
      <c r="AG55">
        <v>-1823.69407856722</v>
      </c>
      <c r="AH55">
        <v>-1750.77570841278</v>
      </c>
      <c r="AI55">
        <v>-1810.4073388924</v>
      </c>
      <c r="AJ55">
        <v>-1893.42469843171</v>
      </c>
      <c r="AM55">
        <v>265</v>
      </c>
      <c r="AN55">
        <v>5.23573271</v>
      </c>
      <c r="AO55">
        <v>5.69192862</v>
      </c>
      <c r="AP55">
        <v>4.76734397</v>
      </c>
      <c r="AQ55">
        <v>4.54662792</v>
      </c>
      <c r="AR55">
        <v>4.36939245</v>
      </c>
      <c r="BF55">
        <v>2.575</v>
      </c>
      <c r="BG55">
        <v>0.93365518</v>
      </c>
      <c r="BH55">
        <v>2.575</v>
      </c>
      <c r="BI55">
        <v>1.03368966</v>
      </c>
      <c r="BJ55">
        <v>2.575</v>
      </c>
      <c r="BK55">
        <v>0.77473663</v>
      </c>
      <c r="BL55">
        <v>2.575</v>
      </c>
      <c r="BM55">
        <v>0</v>
      </c>
      <c r="BN55">
        <v>2.575</v>
      </c>
      <c r="BO55">
        <v>0.9486173</v>
      </c>
      <c r="BP55">
        <v>2.575</v>
      </c>
      <c r="BQ55">
        <v>0</v>
      </c>
      <c r="BR55">
        <v>2.575</v>
      </c>
      <c r="BS55">
        <v>0.55747918</v>
      </c>
      <c r="BT55">
        <v>2.575</v>
      </c>
      <c r="BU55">
        <v>2.30340259</v>
      </c>
      <c r="BV55">
        <v>2.575</v>
      </c>
      <c r="BW55">
        <v>0.94271625</v>
      </c>
      <c r="BX55">
        <v>2.575</v>
      </c>
      <c r="BY55">
        <v>0.77516986</v>
      </c>
      <c r="CB55">
        <v>2.575</v>
      </c>
      <c r="CC55">
        <v>8.61408049</v>
      </c>
      <c r="CD55">
        <v>2.23326256</v>
      </c>
      <c r="CE55">
        <v>0</v>
      </c>
      <c r="CF55">
        <v>2.21809139</v>
      </c>
      <c r="CG55">
        <v>3.10067945</v>
      </c>
      <c r="CK55">
        <v>255</v>
      </c>
      <c r="CL55">
        <v>2.04740301</v>
      </c>
      <c r="CM55">
        <v>3.7029947</v>
      </c>
      <c r="CN55">
        <v>255</v>
      </c>
      <c r="CO55">
        <v>1.48887517</v>
      </c>
      <c r="CP55">
        <v>1.89554241</v>
      </c>
      <c r="CQ55">
        <v>255</v>
      </c>
      <c r="CR55">
        <v>2.18307725</v>
      </c>
      <c r="CS55">
        <v>3.59115911</v>
      </c>
      <c r="CT55">
        <v>255</v>
      </c>
      <c r="CU55">
        <v>1.89672123</v>
      </c>
      <c r="CV55">
        <v>3.17497023</v>
      </c>
      <c r="CW55">
        <v>255</v>
      </c>
      <c r="CX55">
        <v>3.29875295</v>
      </c>
      <c r="CY55">
        <v>6.04707245</v>
      </c>
    </row>
    <row r="56" spans="20:103">
      <c r="T56">
        <v>27.445</v>
      </c>
      <c r="U56">
        <v>1.12898122216449</v>
      </c>
      <c r="V56">
        <v>27.445</v>
      </c>
      <c r="W56">
        <v>1.15436500316334</v>
      </c>
      <c r="X56">
        <v>27.445</v>
      </c>
      <c r="Y56">
        <v>1.14243929534878</v>
      </c>
      <c r="Z56">
        <v>27.445</v>
      </c>
      <c r="AA56">
        <v>1.11602002784822</v>
      </c>
      <c r="AB56">
        <v>27.445</v>
      </c>
      <c r="AC56">
        <v>1.1071724924234</v>
      </c>
      <c r="AE56">
        <v>27.445</v>
      </c>
      <c r="AF56">
        <v>-1787.21516547736</v>
      </c>
      <c r="AG56">
        <v>-1862.69530945655</v>
      </c>
      <c r="AH56">
        <v>-1848.86870337257</v>
      </c>
      <c r="AI56">
        <v>-1901.97428021909</v>
      </c>
      <c r="AJ56">
        <v>-1738.03520074767</v>
      </c>
      <c r="AM56">
        <v>270</v>
      </c>
      <c r="AN56">
        <v>5.24219427</v>
      </c>
      <c r="AO56">
        <v>5.68321601</v>
      </c>
      <c r="AP56">
        <v>4.77769526</v>
      </c>
      <c r="AQ56">
        <v>4.51895278</v>
      </c>
      <c r="AR56">
        <v>4.36659579</v>
      </c>
      <c r="BF56">
        <v>2.625</v>
      </c>
      <c r="BG56">
        <v>0.81821045</v>
      </c>
      <c r="BH56">
        <v>2.625</v>
      </c>
      <c r="BI56">
        <v>0.99468722</v>
      </c>
      <c r="BJ56">
        <v>2.625</v>
      </c>
      <c r="BK56">
        <v>0.82653796</v>
      </c>
      <c r="BL56">
        <v>2.625</v>
      </c>
      <c r="BM56">
        <v>0</v>
      </c>
      <c r="BN56">
        <v>2.625</v>
      </c>
      <c r="BO56">
        <v>0.71721945</v>
      </c>
      <c r="BP56">
        <v>2.625</v>
      </c>
      <c r="BQ56">
        <v>0</v>
      </c>
      <c r="BR56">
        <v>2.625</v>
      </c>
      <c r="BS56">
        <v>0.45516526</v>
      </c>
      <c r="BT56">
        <v>2.625</v>
      </c>
      <c r="BU56">
        <v>1.23138458</v>
      </c>
      <c r="BV56">
        <v>2.625</v>
      </c>
      <c r="BW56">
        <v>0.69272994</v>
      </c>
      <c r="BX56">
        <v>2.625</v>
      </c>
      <c r="BY56">
        <v>0.24864057</v>
      </c>
      <c r="CB56">
        <v>2.625</v>
      </c>
      <c r="CC56">
        <v>6.46546693</v>
      </c>
      <c r="CD56">
        <v>1.65307591</v>
      </c>
      <c r="CE56">
        <v>0</v>
      </c>
      <c r="CF56">
        <v>0.49255383</v>
      </c>
      <c r="CG56">
        <v>0.49728114</v>
      </c>
      <c r="CK56">
        <v>260</v>
      </c>
      <c r="CL56">
        <v>2.06819242</v>
      </c>
      <c r="CM56">
        <v>3.76024743</v>
      </c>
      <c r="CN56">
        <v>260</v>
      </c>
      <c r="CO56">
        <v>1.48989189</v>
      </c>
      <c r="CP56">
        <v>1.89520703</v>
      </c>
      <c r="CQ56">
        <v>260</v>
      </c>
      <c r="CR56">
        <v>2.21676219</v>
      </c>
      <c r="CS56">
        <v>3.63977426</v>
      </c>
      <c r="CT56">
        <v>260</v>
      </c>
      <c r="CU56">
        <v>1.9276127</v>
      </c>
      <c r="CV56">
        <v>3.20509058</v>
      </c>
      <c r="CW56">
        <v>260</v>
      </c>
      <c r="CX56">
        <v>3.37173939</v>
      </c>
      <c r="CY56">
        <v>6.21799645</v>
      </c>
    </row>
    <row r="57" spans="20:103">
      <c r="T57">
        <v>27.944</v>
      </c>
      <c r="U57">
        <v>1.13183370339011</v>
      </c>
      <c r="V57">
        <v>27.944</v>
      </c>
      <c r="W57">
        <v>1.1479922527215</v>
      </c>
      <c r="X57">
        <v>27.944</v>
      </c>
      <c r="Y57">
        <v>1.13302295309631</v>
      </c>
      <c r="Z57">
        <v>27.944</v>
      </c>
      <c r="AA57">
        <v>1.11731406747967</v>
      </c>
      <c r="AB57">
        <v>27.944</v>
      </c>
      <c r="AC57">
        <v>1.10920461442818</v>
      </c>
      <c r="AE57">
        <v>27.944</v>
      </c>
      <c r="AF57">
        <v>-1753.5124261737</v>
      </c>
      <c r="AG57">
        <v>-1997.61344550462</v>
      </c>
      <c r="AH57">
        <v>-1795.78348182137</v>
      </c>
      <c r="AI57">
        <v>-1900.51164791</v>
      </c>
      <c r="AJ57">
        <v>-1869.24638382436</v>
      </c>
      <c r="AM57">
        <v>275</v>
      </c>
      <c r="AN57">
        <v>5.24579135</v>
      </c>
      <c r="AO57">
        <v>5.69206605</v>
      </c>
      <c r="AP57">
        <v>4.786015</v>
      </c>
      <c r="AQ57">
        <v>4.50952346</v>
      </c>
      <c r="AR57">
        <v>4.38449264</v>
      </c>
      <c r="BF57">
        <v>2.675</v>
      </c>
      <c r="BG57">
        <v>0.60251933</v>
      </c>
      <c r="BH57">
        <v>2.675</v>
      </c>
      <c r="BI57">
        <v>0.71838843</v>
      </c>
      <c r="BJ57">
        <v>2.675</v>
      </c>
      <c r="BK57">
        <v>0.59304514</v>
      </c>
      <c r="BL57">
        <v>2.675</v>
      </c>
      <c r="BM57">
        <v>0.2387787</v>
      </c>
      <c r="BN57">
        <v>2.675</v>
      </c>
      <c r="BO57">
        <v>0.50229735</v>
      </c>
      <c r="BP57">
        <v>2.675</v>
      </c>
      <c r="BQ57">
        <v>0</v>
      </c>
      <c r="BR57">
        <v>2.675</v>
      </c>
      <c r="BS57">
        <v>0.39134754</v>
      </c>
      <c r="BT57">
        <v>2.675</v>
      </c>
      <c r="BU57">
        <v>1.89725289</v>
      </c>
      <c r="BV57">
        <v>2.675</v>
      </c>
      <c r="BW57">
        <v>0.58766243</v>
      </c>
      <c r="BX57">
        <v>2.675</v>
      </c>
      <c r="BY57">
        <v>0.23943273</v>
      </c>
      <c r="CB57">
        <v>2.675</v>
      </c>
      <c r="CC57">
        <v>5.74710745</v>
      </c>
      <c r="CD57">
        <v>0.79592901</v>
      </c>
      <c r="CE57">
        <v>0</v>
      </c>
      <c r="CF57">
        <v>0.63241763</v>
      </c>
      <c r="CG57">
        <v>0.95773093</v>
      </c>
      <c r="CK57">
        <v>265</v>
      </c>
      <c r="CL57">
        <v>2.10182877</v>
      </c>
      <c r="CM57">
        <v>3.82232004</v>
      </c>
      <c r="CN57">
        <v>265</v>
      </c>
      <c r="CO57">
        <v>1.50018525</v>
      </c>
      <c r="CP57">
        <v>1.91358345</v>
      </c>
      <c r="CQ57">
        <v>265</v>
      </c>
      <c r="CR57">
        <v>2.27100436</v>
      </c>
      <c r="CS57">
        <v>3.72626569</v>
      </c>
      <c r="CT57">
        <v>265</v>
      </c>
      <c r="CU57">
        <v>1.95801663</v>
      </c>
      <c r="CV57">
        <v>3.22946669</v>
      </c>
      <c r="CW57">
        <v>265</v>
      </c>
      <c r="CX57">
        <v>3.48017928</v>
      </c>
      <c r="CY57">
        <v>6.29840469</v>
      </c>
    </row>
    <row r="58" spans="20:103">
      <c r="T58">
        <v>28.443</v>
      </c>
      <c r="U58">
        <v>1.12574796262861</v>
      </c>
      <c r="V58">
        <v>28.443</v>
      </c>
      <c r="W58">
        <v>1.14728644019483</v>
      </c>
      <c r="X58">
        <v>28.443</v>
      </c>
      <c r="Y58">
        <v>1.13810947126175</v>
      </c>
      <c r="Z58">
        <v>28.443</v>
      </c>
      <c r="AA58">
        <v>1.11830901620383</v>
      </c>
      <c r="AB58">
        <v>28.443</v>
      </c>
      <c r="AC58">
        <v>1.11012551880081</v>
      </c>
      <c r="AE58">
        <v>28.443</v>
      </c>
      <c r="AF58">
        <v>-1824.76053390262</v>
      </c>
      <c r="AG58">
        <v>-1916.38652102753</v>
      </c>
      <c r="AH58">
        <v>-1774.78406723921</v>
      </c>
      <c r="AI58">
        <v>-1803.70076748267</v>
      </c>
      <c r="AJ58">
        <v>-1912.80204022003</v>
      </c>
      <c r="AM58">
        <v>280</v>
      </c>
      <c r="AN58">
        <v>5.25327758</v>
      </c>
      <c r="AO58">
        <v>5.67173438</v>
      </c>
      <c r="AP58">
        <v>4.77739047</v>
      </c>
      <c r="AQ58">
        <v>4.53460797</v>
      </c>
      <c r="AR58">
        <v>4.38256657</v>
      </c>
      <c r="BF58">
        <v>2.725</v>
      </c>
      <c r="BG58">
        <v>0.56572451</v>
      </c>
      <c r="BH58">
        <v>2.725</v>
      </c>
      <c r="BI58">
        <v>0</v>
      </c>
      <c r="BJ58">
        <v>2.725</v>
      </c>
      <c r="BK58">
        <v>0.37597519</v>
      </c>
      <c r="BL58">
        <v>2.725</v>
      </c>
      <c r="BM58">
        <v>0.23009681</v>
      </c>
      <c r="BN58">
        <v>2.725</v>
      </c>
      <c r="BO58">
        <v>0.39327766</v>
      </c>
      <c r="BP58">
        <v>2.725</v>
      </c>
      <c r="BQ58">
        <v>0</v>
      </c>
      <c r="BR58">
        <v>2.725</v>
      </c>
      <c r="BS58">
        <v>0.55813512</v>
      </c>
      <c r="BT58">
        <v>2.725</v>
      </c>
      <c r="BU58">
        <v>0.91413481</v>
      </c>
      <c r="BV58">
        <v>2.725</v>
      </c>
      <c r="BW58">
        <v>0.67343223</v>
      </c>
      <c r="BX58">
        <v>2.725</v>
      </c>
      <c r="BY58">
        <v>0.46145413</v>
      </c>
      <c r="CB58">
        <v>2.725</v>
      </c>
      <c r="CC58">
        <v>6.30733201</v>
      </c>
      <c r="CD58">
        <v>0</v>
      </c>
      <c r="CE58">
        <v>0</v>
      </c>
      <c r="CF58">
        <v>0</v>
      </c>
      <c r="CG58">
        <v>0.30763608</v>
      </c>
      <c r="CK58">
        <v>270</v>
      </c>
      <c r="CL58">
        <v>2.10197857</v>
      </c>
      <c r="CM58">
        <v>3.82537471</v>
      </c>
      <c r="CN58">
        <v>270</v>
      </c>
      <c r="CO58">
        <v>1.54235204</v>
      </c>
      <c r="CP58">
        <v>1.95473112</v>
      </c>
      <c r="CQ58">
        <v>270</v>
      </c>
      <c r="CR58">
        <v>2.35234429</v>
      </c>
      <c r="CS58">
        <v>3.8053941</v>
      </c>
      <c r="CT58">
        <v>270</v>
      </c>
      <c r="CU58">
        <v>2.02524115</v>
      </c>
      <c r="CV58">
        <v>3.35228256</v>
      </c>
      <c r="CW58">
        <v>270</v>
      </c>
      <c r="CX58">
        <v>3.54508871</v>
      </c>
      <c r="CY58">
        <v>6.43588336</v>
      </c>
    </row>
    <row r="59" spans="20:103">
      <c r="T59">
        <v>28.942</v>
      </c>
      <c r="U59">
        <v>1.13287833398021</v>
      </c>
      <c r="V59">
        <v>28.942</v>
      </c>
      <c r="W59">
        <v>1.14728013686708</v>
      </c>
      <c r="X59">
        <v>28.942</v>
      </c>
      <c r="Y59">
        <v>1.13536291758681</v>
      </c>
      <c r="Z59">
        <v>28.942</v>
      </c>
      <c r="AA59">
        <v>1.11498894049446</v>
      </c>
      <c r="AB59">
        <v>28.942</v>
      </c>
      <c r="AC59">
        <v>1.11452513991029</v>
      </c>
      <c r="AE59">
        <v>28.942</v>
      </c>
      <c r="AF59">
        <v>-1961.63145373952</v>
      </c>
      <c r="AG59">
        <v>-1867.33259848505</v>
      </c>
      <c r="AH59">
        <v>-1717.93882003953</v>
      </c>
      <c r="AI59">
        <v>-1768.47629955583</v>
      </c>
      <c r="AJ59">
        <v>-1931.63995298662</v>
      </c>
      <c r="AM59">
        <v>285</v>
      </c>
      <c r="AN59">
        <v>5.23456167</v>
      </c>
      <c r="AO59">
        <v>5.69722167</v>
      </c>
      <c r="AP59">
        <v>4.76033233</v>
      </c>
      <c r="AQ59">
        <v>4.53246125</v>
      </c>
      <c r="AR59">
        <v>4.37354673</v>
      </c>
      <c r="BF59">
        <v>2.775</v>
      </c>
      <c r="BG59">
        <v>0.5311664</v>
      </c>
      <c r="BH59">
        <v>2.775</v>
      </c>
      <c r="BI59">
        <v>0</v>
      </c>
      <c r="BJ59">
        <v>2.775</v>
      </c>
      <c r="BK59">
        <v>0.31904308</v>
      </c>
      <c r="BL59">
        <v>2.775</v>
      </c>
      <c r="BM59">
        <v>0</v>
      </c>
      <c r="BN59">
        <v>2.775</v>
      </c>
      <c r="BO59">
        <v>0.46674898</v>
      </c>
      <c r="BP59">
        <v>2.775</v>
      </c>
      <c r="BQ59">
        <v>0</v>
      </c>
      <c r="BR59">
        <v>2.775</v>
      </c>
      <c r="BS59">
        <v>0.36365127</v>
      </c>
      <c r="BT59">
        <v>2.775</v>
      </c>
      <c r="BU59">
        <v>1.10186334</v>
      </c>
      <c r="BV59">
        <v>2.775</v>
      </c>
      <c r="BW59">
        <v>0.4427616</v>
      </c>
      <c r="BX59">
        <v>2.775</v>
      </c>
      <c r="BY59">
        <v>0.2224877</v>
      </c>
      <c r="CB59">
        <v>2.775</v>
      </c>
      <c r="CC59">
        <v>2.22515654</v>
      </c>
      <c r="CD59">
        <v>0</v>
      </c>
      <c r="CE59">
        <v>0</v>
      </c>
      <c r="CF59">
        <v>0</v>
      </c>
      <c r="CG59">
        <v>0</v>
      </c>
      <c r="CK59">
        <v>275</v>
      </c>
      <c r="CL59">
        <v>2.1141821</v>
      </c>
      <c r="CM59">
        <v>3.85872326</v>
      </c>
      <c r="CN59">
        <v>275</v>
      </c>
      <c r="CO59">
        <v>1.59223897</v>
      </c>
      <c r="CP59">
        <v>2.00133645</v>
      </c>
      <c r="CQ59">
        <v>275</v>
      </c>
      <c r="CR59">
        <v>2.34429022</v>
      </c>
      <c r="CS59">
        <v>3.83302409</v>
      </c>
      <c r="CT59">
        <v>275</v>
      </c>
      <c r="CU59">
        <v>2.062129</v>
      </c>
      <c r="CV59">
        <v>3.3953921</v>
      </c>
      <c r="CW59">
        <v>275</v>
      </c>
      <c r="CX59">
        <v>3.56982986</v>
      </c>
      <c r="CY59">
        <v>6.51971563</v>
      </c>
    </row>
    <row r="60" spans="20:103">
      <c r="T60">
        <v>29.441</v>
      </c>
      <c r="U60">
        <v>1.12410364817442</v>
      </c>
      <c r="V60">
        <v>29.441</v>
      </c>
      <c r="W60">
        <v>1.14559829932503</v>
      </c>
      <c r="X60">
        <v>29.441</v>
      </c>
      <c r="Y60">
        <v>1.13967055512332</v>
      </c>
      <c r="Z60">
        <v>29.441</v>
      </c>
      <c r="AA60">
        <v>1.123726423127</v>
      </c>
      <c r="AB60">
        <v>29.441</v>
      </c>
      <c r="AC60">
        <v>1.10928706588448</v>
      </c>
      <c r="AE60">
        <v>29.441</v>
      </c>
      <c r="AF60">
        <v>-1820.02687629265</v>
      </c>
      <c r="AG60">
        <v>-1832.67689826147</v>
      </c>
      <c r="AH60">
        <v>-1737.29656870264</v>
      </c>
      <c r="AI60">
        <v>-1871.71038217892</v>
      </c>
      <c r="AJ60">
        <v>-1849.55031683881</v>
      </c>
      <c r="AM60">
        <v>290</v>
      </c>
      <c r="AN60">
        <v>5.22838868</v>
      </c>
      <c r="AO60">
        <v>5.67010954</v>
      </c>
      <c r="AP60">
        <v>4.78018334</v>
      </c>
      <c r="AQ60">
        <v>4.52497609</v>
      </c>
      <c r="AR60">
        <v>4.37168856</v>
      </c>
      <c r="BF60">
        <v>2.825</v>
      </c>
      <c r="BG60">
        <v>0.34630468</v>
      </c>
      <c r="BH60">
        <v>2.825</v>
      </c>
      <c r="BI60">
        <v>0</v>
      </c>
      <c r="BJ60">
        <v>2.825</v>
      </c>
      <c r="BK60">
        <v>0.27986341</v>
      </c>
      <c r="BL60">
        <v>2.825</v>
      </c>
      <c r="BM60">
        <v>0.21409551</v>
      </c>
      <c r="BN60">
        <v>2.825</v>
      </c>
      <c r="BO60">
        <v>0.38000267</v>
      </c>
      <c r="BP60">
        <v>2.825</v>
      </c>
      <c r="BQ60">
        <v>0</v>
      </c>
      <c r="BR60">
        <v>2.825</v>
      </c>
      <c r="BS60">
        <v>0.26667861</v>
      </c>
      <c r="BT60">
        <v>2.825</v>
      </c>
      <c r="BU60">
        <v>0.8505644</v>
      </c>
      <c r="BV60">
        <v>2.825</v>
      </c>
      <c r="BW60">
        <v>0.58387789</v>
      </c>
      <c r="BX60">
        <v>2.825</v>
      </c>
      <c r="BY60">
        <v>0.42936386</v>
      </c>
      <c r="CB60">
        <v>2.825</v>
      </c>
      <c r="CC60">
        <v>1.71767122</v>
      </c>
      <c r="CD60">
        <v>0</v>
      </c>
      <c r="CE60">
        <v>0</v>
      </c>
      <c r="CF60">
        <v>0</v>
      </c>
      <c r="CG60">
        <v>0</v>
      </c>
      <c r="CK60">
        <v>280</v>
      </c>
      <c r="CL60">
        <v>2.09471606</v>
      </c>
      <c r="CM60">
        <v>3.90919341</v>
      </c>
      <c r="CN60">
        <v>280</v>
      </c>
      <c r="CO60">
        <v>1.64543268</v>
      </c>
      <c r="CP60">
        <v>2.05938021</v>
      </c>
      <c r="CQ60">
        <v>280</v>
      </c>
      <c r="CR60">
        <v>2.38336447</v>
      </c>
      <c r="CS60">
        <v>3.84890211</v>
      </c>
      <c r="CT60">
        <v>280</v>
      </c>
      <c r="CU60">
        <v>2.10967794</v>
      </c>
      <c r="CV60">
        <v>3.48843055</v>
      </c>
      <c r="CW60">
        <v>280</v>
      </c>
      <c r="CX60">
        <v>3.64993615</v>
      </c>
      <c r="CY60">
        <v>6.6180792</v>
      </c>
    </row>
    <row r="61" spans="20:103">
      <c r="T61">
        <v>29.94</v>
      </c>
      <c r="U61">
        <v>1.12480832873309</v>
      </c>
      <c r="V61">
        <v>29.94</v>
      </c>
      <c r="W61">
        <v>1.15175426091465</v>
      </c>
      <c r="X61">
        <v>29.94</v>
      </c>
      <c r="Y61">
        <v>1.13783398659192</v>
      </c>
      <c r="Z61">
        <v>29.94</v>
      </c>
      <c r="AA61">
        <v>1.11902931998473</v>
      </c>
      <c r="AB61">
        <v>29.94</v>
      </c>
      <c r="AC61">
        <v>1.10859795996939</v>
      </c>
      <c r="AE61">
        <v>29.94</v>
      </c>
      <c r="AF61">
        <v>-1718.53360546233</v>
      </c>
      <c r="AG61">
        <v>-1912.71922309527</v>
      </c>
      <c r="AH61">
        <v>-1778.20944855129</v>
      </c>
      <c r="AI61">
        <v>-1863.3597289909</v>
      </c>
      <c r="AJ61">
        <v>-1835.62298617338</v>
      </c>
      <c r="AM61">
        <v>295</v>
      </c>
      <c r="AN61">
        <v>5.24963572</v>
      </c>
      <c r="AO61">
        <v>5.70536356</v>
      </c>
      <c r="AP61">
        <v>4.77933408</v>
      </c>
      <c r="AQ61">
        <v>4.532968</v>
      </c>
      <c r="AR61">
        <v>4.3744796</v>
      </c>
      <c r="BF61">
        <v>2.875</v>
      </c>
      <c r="BG61">
        <v>0.32098977</v>
      </c>
      <c r="BH61">
        <v>2.875</v>
      </c>
      <c r="BI61">
        <v>0</v>
      </c>
      <c r="BJ61">
        <v>2.875</v>
      </c>
      <c r="BK61">
        <v>0.27021392</v>
      </c>
      <c r="BL61">
        <v>2.875</v>
      </c>
      <c r="BM61">
        <v>0</v>
      </c>
      <c r="BN61">
        <v>2.875</v>
      </c>
      <c r="BO61">
        <v>0.2446003</v>
      </c>
      <c r="BP61">
        <v>2.875</v>
      </c>
      <c r="BQ61">
        <v>0.20723081</v>
      </c>
      <c r="BR61">
        <v>2.875</v>
      </c>
      <c r="BS61">
        <v>0.24393195</v>
      </c>
      <c r="BT61">
        <v>2.875</v>
      </c>
      <c r="BU61">
        <v>1.02654694</v>
      </c>
      <c r="BV61">
        <v>2.875</v>
      </c>
      <c r="BW61">
        <v>0.49499666</v>
      </c>
      <c r="BX61">
        <v>2.875</v>
      </c>
      <c r="BY61">
        <v>0.41455971</v>
      </c>
      <c r="CB61">
        <v>2.875</v>
      </c>
      <c r="CC61">
        <v>1.934855</v>
      </c>
      <c r="CD61">
        <v>0</v>
      </c>
      <c r="CE61">
        <v>0</v>
      </c>
      <c r="CF61">
        <v>0</v>
      </c>
      <c r="CG61">
        <v>0</v>
      </c>
      <c r="CK61">
        <v>285</v>
      </c>
      <c r="CL61">
        <v>2.1159203</v>
      </c>
      <c r="CM61">
        <v>3.9967999</v>
      </c>
      <c r="CN61">
        <v>285</v>
      </c>
      <c r="CO61">
        <v>1.66931089</v>
      </c>
      <c r="CP61">
        <v>2.09403273</v>
      </c>
      <c r="CQ61">
        <v>285</v>
      </c>
      <c r="CR61">
        <v>2.38131474</v>
      </c>
      <c r="CS61">
        <v>3.86269549</v>
      </c>
      <c r="CT61">
        <v>285</v>
      </c>
      <c r="CU61">
        <v>2.13928975</v>
      </c>
      <c r="CV61">
        <v>3.53406824</v>
      </c>
      <c r="CW61">
        <v>285</v>
      </c>
      <c r="CX61">
        <v>3.68545219</v>
      </c>
      <c r="CY61">
        <v>6.72597932</v>
      </c>
    </row>
    <row r="62" spans="20:103">
      <c r="T62">
        <v>30.439</v>
      </c>
      <c r="U62">
        <v>1.13203946077654</v>
      </c>
      <c r="V62">
        <v>30.439</v>
      </c>
      <c r="W62">
        <v>1.15444072267122</v>
      </c>
      <c r="X62">
        <v>30.439</v>
      </c>
      <c r="Y62">
        <v>1.13616851774851</v>
      </c>
      <c r="Z62">
        <v>30.439</v>
      </c>
      <c r="AA62">
        <v>1.1220113048956</v>
      </c>
      <c r="AB62">
        <v>30.439</v>
      </c>
      <c r="AC62">
        <v>1.1108453413774</v>
      </c>
      <c r="AE62">
        <v>30.439</v>
      </c>
      <c r="AF62">
        <v>-1746.55786667332</v>
      </c>
      <c r="AG62">
        <v>-1969.01982625253</v>
      </c>
      <c r="AH62">
        <v>-1849.8994378126</v>
      </c>
      <c r="AI62">
        <v>-1806.57348597338</v>
      </c>
      <c r="AJ62">
        <v>-1862.15463716061</v>
      </c>
      <c r="AM62">
        <v>300</v>
      </c>
      <c r="AN62">
        <v>5.21466867</v>
      </c>
      <c r="AO62">
        <v>5.68753746</v>
      </c>
      <c r="AP62">
        <v>4.78891364</v>
      </c>
      <c r="AQ62">
        <v>4.52092279</v>
      </c>
      <c r="AR62">
        <v>4.37177179</v>
      </c>
      <c r="BF62">
        <v>2.925</v>
      </c>
      <c r="BG62">
        <v>0.31010982</v>
      </c>
      <c r="BH62">
        <v>2.925</v>
      </c>
      <c r="BI62">
        <v>0.20027926</v>
      </c>
      <c r="BJ62">
        <v>2.925</v>
      </c>
      <c r="BK62">
        <v>0.35242428</v>
      </c>
      <c r="BL62">
        <v>2.925</v>
      </c>
      <c r="BM62">
        <v>0</v>
      </c>
      <c r="BN62">
        <v>2.925</v>
      </c>
      <c r="BO62">
        <v>0.28882281</v>
      </c>
      <c r="BP62">
        <v>2.925</v>
      </c>
      <c r="BQ62">
        <v>0</v>
      </c>
      <c r="BR62">
        <v>2.925</v>
      </c>
      <c r="BS62">
        <v>0.14401681</v>
      </c>
      <c r="BT62">
        <v>2.925</v>
      </c>
      <c r="BU62">
        <v>0.99175213</v>
      </c>
      <c r="BV62">
        <v>2.925</v>
      </c>
      <c r="BW62">
        <v>0.35866406</v>
      </c>
      <c r="BX62">
        <v>2.925</v>
      </c>
      <c r="BY62">
        <v>0</v>
      </c>
      <c r="CB62">
        <v>2.925</v>
      </c>
      <c r="CC62">
        <v>0.93463654</v>
      </c>
      <c r="CD62">
        <v>0</v>
      </c>
      <c r="CE62">
        <v>0</v>
      </c>
      <c r="CF62">
        <v>0</v>
      </c>
      <c r="CG62">
        <v>0</v>
      </c>
      <c r="CK62">
        <v>290</v>
      </c>
      <c r="CL62">
        <v>2.0929824</v>
      </c>
      <c r="CM62">
        <v>3.99943701</v>
      </c>
      <c r="CN62">
        <v>290</v>
      </c>
      <c r="CO62">
        <v>1.69591153</v>
      </c>
      <c r="CP62">
        <v>2.1306482</v>
      </c>
      <c r="CQ62">
        <v>290</v>
      </c>
      <c r="CR62">
        <v>2.43175468</v>
      </c>
      <c r="CS62">
        <v>3.90062489</v>
      </c>
      <c r="CT62">
        <v>290</v>
      </c>
      <c r="CU62">
        <v>2.21803352</v>
      </c>
      <c r="CV62">
        <v>3.61901302</v>
      </c>
      <c r="CW62">
        <v>290</v>
      </c>
      <c r="CX62">
        <v>3.69189172</v>
      </c>
      <c r="CY62">
        <v>6.80566105</v>
      </c>
    </row>
    <row r="63" spans="20:103">
      <c r="T63">
        <v>30.938</v>
      </c>
      <c r="U63">
        <v>1.12447495598974</v>
      </c>
      <c r="V63">
        <v>30.938</v>
      </c>
      <c r="W63">
        <v>1.15121708963046</v>
      </c>
      <c r="X63">
        <v>30.938</v>
      </c>
      <c r="Y63">
        <v>1.12951727895577</v>
      </c>
      <c r="Z63">
        <v>30.938</v>
      </c>
      <c r="AA63">
        <v>1.12402483508764</v>
      </c>
      <c r="AB63">
        <v>30.938</v>
      </c>
      <c r="AC63">
        <v>1.1150954046912</v>
      </c>
      <c r="AE63">
        <v>30.938</v>
      </c>
      <c r="AF63">
        <v>-1716.50756947912</v>
      </c>
      <c r="AG63">
        <v>-1909.58499074508</v>
      </c>
      <c r="AH63">
        <v>-1797.10244306129</v>
      </c>
      <c r="AI63">
        <v>-1846.01044964108</v>
      </c>
      <c r="AJ63">
        <v>-1989.10000732029</v>
      </c>
      <c r="AM63">
        <v>305</v>
      </c>
      <c r="AN63">
        <v>5.22456914</v>
      </c>
      <c r="AO63">
        <v>5.6975127</v>
      </c>
      <c r="AP63">
        <v>4.7988858</v>
      </c>
      <c r="AQ63">
        <v>4.52132572</v>
      </c>
      <c r="AR63">
        <v>4.37395426</v>
      </c>
      <c r="BF63">
        <v>2.975</v>
      </c>
      <c r="BG63">
        <v>0.26230208</v>
      </c>
      <c r="BH63">
        <v>2.975</v>
      </c>
      <c r="BI63">
        <v>0.19360391</v>
      </c>
      <c r="BJ63">
        <v>2.975</v>
      </c>
      <c r="BK63">
        <v>0.18926551</v>
      </c>
      <c r="BL63">
        <v>2.975</v>
      </c>
      <c r="BM63">
        <v>0.19305082</v>
      </c>
      <c r="BN63">
        <v>2.975</v>
      </c>
      <c r="BO63">
        <v>0.20305185</v>
      </c>
      <c r="BP63">
        <v>2.975</v>
      </c>
      <c r="BQ63">
        <v>0</v>
      </c>
      <c r="BR63">
        <v>2.975</v>
      </c>
      <c r="BS63">
        <v>0.26577734</v>
      </c>
      <c r="BT63">
        <v>2.975</v>
      </c>
      <c r="BU63">
        <v>1.34217558</v>
      </c>
      <c r="BV63">
        <v>2.975</v>
      </c>
      <c r="BW63">
        <v>0.38523302</v>
      </c>
      <c r="BX63">
        <v>2.975</v>
      </c>
      <c r="BY63">
        <v>0.19357959</v>
      </c>
      <c r="CB63">
        <v>2.975</v>
      </c>
      <c r="CC63">
        <v>0.5162771</v>
      </c>
      <c r="CD63">
        <v>0</v>
      </c>
      <c r="CE63">
        <v>0</v>
      </c>
      <c r="CF63">
        <v>0</v>
      </c>
      <c r="CG63">
        <v>0</v>
      </c>
      <c r="CK63">
        <v>295</v>
      </c>
      <c r="CL63">
        <v>2.12343684</v>
      </c>
      <c r="CM63">
        <v>4.11273418</v>
      </c>
      <c r="CN63">
        <v>295</v>
      </c>
      <c r="CO63">
        <v>1.72030451</v>
      </c>
      <c r="CP63">
        <v>2.15359728</v>
      </c>
      <c r="CQ63">
        <v>295</v>
      </c>
      <c r="CR63">
        <v>2.49762782</v>
      </c>
      <c r="CS63">
        <v>3.9635746</v>
      </c>
      <c r="CT63">
        <v>295</v>
      </c>
      <c r="CU63">
        <v>2.28289873</v>
      </c>
      <c r="CV63">
        <v>3.65618329</v>
      </c>
      <c r="CW63">
        <v>295</v>
      </c>
      <c r="CX63">
        <v>3.72070685</v>
      </c>
      <c r="CY63">
        <v>6.84018674</v>
      </c>
    </row>
    <row r="64" spans="20:103">
      <c r="T64">
        <v>31.437</v>
      </c>
      <c r="U64">
        <v>1.13186215132726</v>
      </c>
      <c r="V64">
        <v>31.437</v>
      </c>
      <c r="W64">
        <v>1.15120469950026</v>
      </c>
      <c r="X64">
        <v>31.437</v>
      </c>
      <c r="Y64">
        <v>1.13589184394042</v>
      </c>
      <c r="Z64">
        <v>31.437</v>
      </c>
      <c r="AA64">
        <v>1.12474140278437</v>
      </c>
      <c r="AB64">
        <v>31.437</v>
      </c>
      <c r="AC64">
        <v>1.11242925732772</v>
      </c>
      <c r="AE64">
        <v>31.437</v>
      </c>
      <c r="AF64">
        <v>-1842.53478755613</v>
      </c>
      <c r="AG64">
        <v>-1887.92959801037</v>
      </c>
      <c r="AH64">
        <v>-1673.39727478148</v>
      </c>
      <c r="AI64">
        <v>-1806.34749236387</v>
      </c>
      <c r="AJ64">
        <v>-1876.46914695733</v>
      </c>
      <c r="AM64">
        <v>310</v>
      </c>
      <c r="AN64">
        <v>5.23910255</v>
      </c>
      <c r="AO64">
        <v>5.68883587</v>
      </c>
      <c r="AP64">
        <v>4.79814571</v>
      </c>
      <c r="AQ64">
        <v>4.52082184</v>
      </c>
      <c r="AR64">
        <v>4.36842676</v>
      </c>
      <c r="BF64">
        <v>3.025</v>
      </c>
      <c r="BG64">
        <v>0.21745953</v>
      </c>
      <c r="BH64">
        <v>3.025</v>
      </c>
      <c r="BI64">
        <v>0.37451364</v>
      </c>
      <c r="BJ64">
        <v>3.025</v>
      </c>
      <c r="BK64">
        <v>0.26848894</v>
      </c>
      <c r="BL64">
        <v>3.025</v>
      </c>
      <c r="BM64">
        <v>0</v>
      </c>
      <c r="BN64">
        <v>3.025</v>
      </c>
      <c r="BO64">
        <v>0.27004315</v>
      </c>
      <c r="BP64">
        <v>3.025</v>
      </c>
      <c r="BQ64">
        <v>0.187189</v>
      </c>
      <c r="BR64">
        <v>3.025</v>
      </c>
      <c r="BS64">
        <v>0.22034068</v>
      </c>
      <c r="BT64">
        <v>3.025</v>
      </c>
      <c r="BU64">
        <v>1.48362723</v>
      </c>
      <c r="BV64">
        <v>3.025</v>
      </c>
      <c r="BW64">
        <v>0.40986394</v>
      </c>
      <c r="BX64">
        <v>3.025</v>
      </c>
      <c r="BY64">
        <v>0</v>
      </c>
      <c r="CB64">
        <v>3.025</v>
      </c>
      <c r="CC64">
        <v>0.74902729</v>
      </c>
      <c r="CD64">
        <v>0</v>
      </c>
      <c r="CE64">
        <v>0</v>
      </c>
      <c r="CF64">
        <v>0</v>
      </c>
      <c r="CG64">
        <v>0</v>
      </c>
      <c r="CK64">
        <v>300</v>
      </c>
      <c r="CL64">
        <v>2.14179775</v>
      </c>
      <c r="CM64">
        <v>4.15219969</v>
      </c>
      <c r="CN64">
        <v>300</v>
      </c>
      <c r="CO64">
        <v>1.73934518</v>
      </c>
      <c r="CP64">
        <v>2.15574408</v>
      </c>
      <c r="CQ64">
        <v>300</v>
      </c>
      <c r="CR64">
        <v>2.52156544</v>
      </c>
      <c r="CS64">
        <v>4.06574007</v>
      </c>
      <c r="CT64">
        <v>300</v>
      </c>
      <c r="CU64">
        <v>2.37013935</v>
      </c>
      <c r="CV64">
        <v>3.78995439</v>
      </c>
      <c r="CW64">
        <v>300</v>
      </c>
      <c r="CX64">
        <v>3.7317398</v>
      </c>
      <c r="CY64">
        <v>6.89635673</v>
      </c>
    </row>
    <row r="65" spans="20:103">
      <c r="T65">
        <v>31.936</v>
      </c>
      <c r="U65">
        <v>1.12938259646727</v>
      </c>
      <c r="V65">
        <v>31.936</v>
      </c>
      <c r="W65">
        <v>1.14600005148129</v>
      </c>
      <c r="X65">
        <v>31.936</v>
      </c>
      <c r="Y65">
        <v>1.14044078075052</v>
      </c>
      <c r="Z65">
        <v>31.936</v>
      </c>
      <c r="AA65">
        <v>1.12600340284188</v>
      </c>
      <c r="AB65">
        <v>31.936</v>
      </c>
      <c r="AC65">
        <v>1.11836293265749</v>
      </c>
      <c r="AE65">
        <v>31.936</v>
      </c>
      <c r="AF65">
        <v>-1808.74622290657</v>
      </c>
      <c r="AG65">
        <v>-1810.33527785119</v>
      </c>
      <c r="AH65">
        <v>-1705.2319134314</v>
      </c>
      <c r="AI65">
        <v>-1828.79166536575</v>
      </c>
      <c r="AJ65">
        <v>-1843.68638343816</v>
      </c>
      <c r="AM65">
        <v>315</v>
      </c>
      <c r="AN65">
        <v>5.23046011</v>
      </c>
      <c r="AO65">
        <v>5.67652133</v>
      </c>
      <c r="AP65">
        <v>4.78503575</v>
      </c>
      <c r="AQ65">
        <v>4.51473484</v>
      </c>
      <c r="AR65">
        <v>4.37039296</v>
      </c>
      <c r="BF65">
        <v>3.075</v>
      </c>
      <c r="BG65">
        <v>0.18706251</v>
      </c>
      <c r="BH65">
        <v>3.075</v>
      </c>
      <c r="BI65">
        <v>0.90608406</v>
      </c>
      <c r="BJ65">
        <v>3.075</v>
      </c>
      <c r="BK65">
        <v>0.18896638</v>
      </c>
      <c r="BL65">
        <v>3.075</v>
      </c>
      <c r="BM65">
        <v>0.1806991</v>
      </c>
      <c r="BN65">
        <v>3.075</v>
      </c>
      <c r="BO65">
        <v>0.17818149</v>
      </c>
      <c r="BP65">
        <v>3.075</v>
      </c>
      <c r="BQ65">
        <v>0.54345353</v>
      </c>
      <c r="BR65">
        <v>3.075</v>
      </c>
      <c r="BS65">
        <v>0.18954092</v>
      </c>
      <c r="BT65">
        <v>3.075</v>
      </c>
      <c r="BU65">
        <v>1.4357725</v>
      </c>
      <c r="BV65">
        <v>3.075</v>
      </c>
      <c r="BW65">
        <v>0.40866319</v>
      </c>
      <c r="BX65">
        <v>3.075</v>
      </c>
      <c r="BY65">
        <v>0.54358214</v>
      </c>
      <c r="CB65">
        <v>3.075</v>
      </c>
      <c r="CC65">
        <v>0.24162241</v>
      </c>
      <c r="CD65">
        <v>0</v>
      </c>
      <c r="CE65">
        <v>0</v>
      </c>
      <c r="CF65">
        <v>0</v>
      </c>
      <c r="CG65">
        <v>0</v>
      </c>
      <c r="CK65">
        <v>305</v>
      </c>
      <c r="CL65">
        <v>2.14956737</v>
      </c>
      <c r="CM65">
        <v>4.2880182</v>
      </c>
      <c r="CN65">
        <v>305</v>
      </c>
      <c r="CO65">
        <v>1.75096834</v>
      </c>
      <c r="CP65">
        <v>2.19785022</v>
      </c>
      <c r="CQ65">
        <v>305</v>
      </c>
      <c r="CR65">
        <v>2.59260521</v>
      </c>
      <c r="CS65">
        <v>4.11948891</v>
      </c>
      <c r="CT65">
        <v>305</v>
      </c>
      <c r="CU65">
        <v>2.39563438</v>
      </c>
      <c r="CV65">
        <v>3.83317069</v>
      </c>
      <c r="CW65">
        <v>305</v>
      </c>
      <c r="CX65">
        <v>3.78255795</v>
      </c>
      <c r="CY65">
        <v>6.95162486</v>
      </c>
    </row>
    <row r="66" spans="20:103">
      <c r="T66">
        <v>32.435</v>
      </c>
      <c r="U66">
        <v>1.13134214486062</v>
      </c>
      <c r="V66">
        <v>32.435</v>
      </c>
      <c r="W66">
        <v>1.14678254745045</v>
      </c>
      <c r="X66">
        <v>32.435</v>
      </c>
      <c r="Y66">
        <v>1.13567304776661</v>
      </c>
      <c r="Z66">
        <v>32.435</v>
      </c>
      <c r="AA66">
        <v>1.12946988796782</v>
      </c>
      <c r="AB66">
        <v>32.435</v>
      </c>
      <c r="AC66">
        <v>1.12359260540963</v>
      </c>
      <c r="AE66">
        <v>32.435</v>
      </c>
      <c r="AF66">
        <v>-1760.78293420917</v>
      </c>
      <c r="AG66">
        <v>-1923.91554149564</v>
      </c>
      <c r="AH66">
        <v>-1797.24856646779</v>
      </c>
      <c r="AI66">
        <v>-1849.32567237982</v>
      </c>
      <c r="AJ66">
        <v>-1825.8762482357</v>
      </c>
      <c r="AM66">
        <v>320</v>
      </c>
      <c r="AN66">
        <v>5.2302033</v>
      </c>
      <c r="AO66">
        <v>5.65824272</v>
      </c>
      <c r="AP66">
        <v>4.79871834</v>
      </c>
      <c r="AQ66">
        <v>4.52819256</v>
      </c>
      <c r="AR66">
        <v>4.36858654</v>
      </c>
      <c r="BF66">
        <v>3.125</v>
      </c>
      <c r="BG66">
        <v>0.24904623</v>
      </c>
      <c r="BH66">
        <v>3.125</v>
      </c>
      <c r="BI66">
        <v>0.52639316</v>
      </c>
      <c r="BJ66">
        <v>3.125</v>
      </c>
      <c r="BK66">
        <v>0.14866147</v>
      </c>
      <c r="BL66">
        <v>3.125</v>
      </c>
      <c r="BM66">
        <v>0</v>
      </c>
      <c r="BN66">
        <v>3.125</v>
      </c>
      <c r="BO66">
        <v>0.14952203</v>
      </c>
      <c r="BP66">
        <v>3.125</v>
      </c>
      <c r="BQ66">
        <v>0</v>
      </c>
      <c r="BR66">
        <v>3.125</v>
      </c>
      <c r="BS66">
        <v>0.16058373</v>
      </c>
      <c r="BT66">
        <v>3.125</v>
      </c>
      <c r="BU66">
        <v>1.56397085</v>
      </c>
      <c r="BV66">
        <v>3.125</v>
      </c>
      <c r="BW66">
        <v>0.19784543</v>
      </c>
      <c r="BX66">
        <v>3.125</v>
      </c>
      <c r="BY66">
        <v>0.35088469</v>
      </c>
      <c r="CB66">
        <v>3.125</v>
      </c>
      <c r="CC66">
        <v>0.35092877</v>
      </c>
      <c r="CD66">
        <v>0</v>
      </c>
      <c r="CE66">
        <v>0</v>
      </c>
      <c r="CF66">
        <v>0</v>
      </c>
      <c r="CG66">
        <v>0</v>
      </c>
      <c r="CK66">
        <v>310</v>
      </c>
      <c r="CL66">
        <v>2.15223126</v>
      </c>
      <c r="CM66">
        <v>4.36844062</v>
      </c>
      <c r="CN66">
        <v>310</v>
      </c>
      <c r="CO66">
        <v>1.74191584</v>
      </c>
      <c r="CP66">
        <v>2.19257433</v>
      </c>
      <c r="CQ66">
        <v>310</v>
      </c>
      <c r="CR66">
        <v>2.58858895</v>
      </c>
      <c r="CS66">
        <v>4.17008601</v>
      </c>
      <c r="CT66">
        <v>310</v>
      </c>
      <c r="CU66">
        <v>2.41404435</v>
      </c>
      <c r="CV66">
        <v>3.88661225</v>
      </c>
      <c r="CW66">
        <v>310</v>
      </c>
      <c r="CX66">
        <v>3.87293124</v>
      </c>
      <c r="CY66">
        <v>7.02584995</v>
      </c>
    </row>
    <row r="67" spans="20:103">
      <c r="T67">
        <v>32.934</v>
      </c>
      <c r="U67">
        <v>1.13547155439663</v>
      </c>
      <c r="V67">
        <v>32.934</v>
      </c>
      <c r="W67">
        <v>1.14271696023861</v>
      </c>
      <c r="X67">
        <v>32.934</v>
      </c>
      <c r="Y67">
        <v>1.13160195686653</v>
      </c>
      <c r="Z67">
        <v>32.934</v>
      </c>
      <c r="AA67">
        <v>1.13245109909146</v>
      </c>
      <c r="AB67">
        <v>32.934</v>
      </c>
      <c r="AC67">
        <v>1.11545194847346</v>
      </c>
      <c r="AE67">
        <v>32.934</v>
      </c>
      <c r="AF67">
        <v>-1839.99143920655</v>
      </c>
      <c r="AG67">
        <v>-1956.55231588745</v>
      </c>
      <c r="AH67">
        <v>-1881.0906833363</v>
      </c>
      <c r="AI67">
        <v>-1834.49634748049</v>
      </c>
      <c r="AJ67">
        <v>-1877.70405678336</v>
      </c>
      <c r="AM67">
        <v>325</v>
      </c>
      <c r="AN67">
        <v>5.20023507</v>
      </c>
      <c r="AO67">
        <v>5.66255736</v>
      </c>
      <c r="AP67">
        <v>4.78793751</v>
      </c>
      <c r="AQ67">
        <v>4.523457</v>
      </c>
      <c r="AR67">
        <v>4.36864781</v>
      </c>
      <c r="BF67">
        <v>3.175</v>
      </c>
      <c r="BG67">
        <v>0.20836452</v>
      </c>
      <c r="BH67">
        <v>3.175</v>
      </c>
      <c r="BI67">
        <v>1.86979736</v>
      </c>
      <c r="BJ67">
        <v>3.175</v>
      </c>
      <c r="BK67">
        <v>0.18832885</v>
      </c>
      <c r="BL67">
        <v>3.175</v>
      </c>
      <c r="BM67">
        <v>0.5084879</v>
      </c>
      <c r="BN67">
        <v>3.175</v>
      </c>
      <c r="BO67">
        <v>0.25627281</v>
      </c>
      <c r="BP67">
        <v>3.175</v>
      </c>
      <c r="BQ67">
        <v>0.16992001</v>
      </c>
      <c r="BR67">
        <v>3.175</v>
      </c>
      <c r="BS67">
        <v>0.20001331</v>
      </c>
      <c r="BT67">
        <v>3.175</v>
      </c>
      <c r="BU67">
        <v>2.02013441</v>
      </c>
      <c r="BV67">
        <v>3.175</v>
      </c>
      <c r="BW67">
        <v>0.29313207</v>
      </c>
      <c r="BX67">
        <v>3.175</v>
      </c>
      <c r="BY67">
        <v>0.16996023</v>
      </c>
      <c r="CB67">
        <v>3.175</v>
      </c>
      <c r="CC67">
        <v>0.11332105</v>
      </c>
      <c r="CD67">
        <v>0</v>
      </c>
      <c r="CE67">
        <v>0</v>
      </c>
      <c r="CF67">
        <v>0</v>
      </c>
      <c r="CG67">
        <v>0</v>
      </c>
      <c r="CK67">
        <v>315</v>
      </c>
      <c r="CL67">
        <v>2.14898614</v>
      </c>
      <c r="CM67">
        <v>4.43802428</v>
      </c>
      <c r="CN67">
        <v>315</v>
      </c>
      <c r="CO67">
        <v>1.73727018</v>
      </c>
      <c r="CP67">
        <v>2.18322377</v>
      </c>
      <c r="CQ67">
        <v>315</v>
      </c>
      <c r="CR67">
        <v>2.6012776</v>
      </c>
      <c r="CS67">
        <v>4.19509424</v>
      </c>
      <c r="CT67">
        <v>315</v>
      </c>
      <c r="CU67">
        <v>2.4308963</v>
      </c>
      <c r="CV67">
        <v>3.91704937</v>
      </c>
      <c r="CW67">
        <v>315</v>
      </c>
      <c r="CX67">
        <v>3.92597381</v>
      </c>
      <c r="CY67">
        <v>7.14300199</v>
      </c>
    </row>
    <row r="68" spans="20:103">
      <c r="T68">
        <v>33.433</v>
      </c>
      <c r="U68">
        <v>1.13103002215023</v>
      </c>
      <c r="V68">
        <v>33.433</v>
      </c>
      <c r="W68">
        <v>1.14395656075618</v>
      </c>
      <c r="X68">
        <v>33.433</v>
      </c>
      <c r="Y68">
        <v>1.13639089861014</v>
      </c>
      <c r="Z68">
        <v>33.433</v>
      </c>
      <c r="AA68">
        <v>1.12909441564862</v>
      </c>
      <c r="AB68">
        <v>33.433</v>
      </c>
      <c r="AC68">
        <v>1.11782137365909</v>
      </c>
      <c r="AE68">
        <v>33.433</v>
      </c>
      <c r="AF68">
        <v>-1842.34714398988</v>
      </c>
      <c r="AG68">
        <v>-1914.09562257371</v>
      </c>
      <c r="AH68">
        <v>-1873.25065752607</v>
      </c>
      <c r="AI68">
        <v>-1825.12032934712</v>
      </c>
      <c r="AJ68">
        <v>-1913.2768486626</v>
      </c>
      <c r="AM68">
        <v>330</v>
      </c>
      <c r="AN68">
        <v>5.23408528</v>
      </c>
      <c r="AO68">
        <v>5.66247805</v>
      </c>
      <c r="AP68">
        <v>4.80036206</v>
      </c>
      <c r="AQ68">
        <v>4.51241238</v>
      </c>
      <c r="AR68">
        <v>4.35121622</v>
      </c>
      <c r="BF68">
        <v>3.225</v>
      </c>
      <c r="BG68">
        <v>0.22321211</v>
      </c>
      <c r="BH68">
        <v>3.225</v>
      </c>
      <c r="BI68">
        <v>2.30652513</v>
      </c>
      <c r="BJ68">
        <v>3.225</v>
      </c>
      <c r="BK68">
        <v>0.23622122</v>
      </c>
      <c r="BL68">
        <v>3.225</v>
      </c>
      <c r="BM68">
        <v>0.32856225</v>
      </c>
      <c r="BN68">
        <v>3.225</v>
      </c>
      <c r="BO68">
        <v>0.23758864</v>
      </c>
      <c r="BP68">
        <v>3.225</v>
      </c>
      <c r="BQ68">
        <v>0.16469213</v>
      </c>
      <c r="BR68">
        <v>3.225</v>
      </c>
      <c r="BS68">
        <v>0.24770942</v>
      </c>
      <c r="BT68">
        <v>3.225</v>
      </c>
      <c r="BU68">
        <v>2.28431164</v>
      </c>
      <c r="BV68">
        <v>3.225</v>
      </c>
      <c r="BW68">
        <v>0.20762129</v>
      </c>
      <c r="BX68">
        <v>3.225</v>
      </c>
      <c r="BY68">
        <v>0.3294622</v>
      </c>
      <c r="CB68">
        <v>3.225</v>
      </c>
      <c r="CC68">
        <v>0.43933812</v>
      </c>
      <c r="CD68">
        <v>0</v>
      </c>
      <c r="CE68">
        <v>0</v>
      </c>
      <c r="CF68">
        <v>0</v>
      </c>
      <c r="CG68">
        <v>0</v>
      </c>
      <c r="CK68">
        <v>320</v>
      </c>
      <c r="CL68">
        <v>2.14700349</v>
      </c>
      <c r="CM68">
        <v>4.47893508</v>
      </c>
      <c r="CN68">
        <v>320</v>
      </c>
      <c r="CO68">
        <v>1.73327168</v>
      </c>
      <c r="CP68">
        <v>2.20169522</v>
      </c>
      <c r="CQ68">
        <v>320</v>
      </c>
      <c r="CR68">
        <v>2.59332779</v>
      </c>
      <c r="CS68">
        <v>4.21664374</v>
      </c>
      <c r="CT68">
        <v>320</v>
      </c>
      <c r="CU68">
        <v>2.43980792</v>
      </c>
      <c r="CV68">
        <v>3.97738338</v>
      </c>
      <c r="CW68">
        <v>320</v>
      </c>
      <c r="CX68">
        <v>3.97765363</v>
      </c>
      <c r="CY68">
        <v>7.2029452</v>
      </c>
    </row>
    <row r="69" spans="20:103">
      <c r="T69">
        <v>33.932</v>
      </c>
      <c r="U69">
        <v>1.13692596074385</v>
      </c>
      <c r="V69">
        <v>33.932</v>
      </c>
      <c r="W69">
        <v>1.1547384881081</v>
      </c>
      <c r="X69">
        <v>33.932</v>
      </c>
      <c r="Y69">
        <v>1.14012488656421</v>
      </c>
      <c r="Z69">
        <v>33.932</v>
      </c>
      <c r="AA69">
        <v>1.12750268678408</v>
      </c>
      <c r="AB69">
        <v>33.932</v>
      </c>
      <c r="AC69">
        <v>1.12157929634144</v>
      </c>
      <c r="AE69">
        <v>33.932</v>
      </c>
      <c r="AF69">
        <v>-1790.02449033036</v>
      </c>
      <c r="AG69">
        <v>-1929.19229867181</v>
      </c>
      <c r="AH69">
        <v>-1758.48032898594</v>
      </c>
      <c r="AI69">
        <v>-1807.6478521139</v>
      </c>
      <c r="AJ69">
        <v>-1829.41115137033</v>
      </c>
      <c r="AM69">
        <v>335</v>
      </c>
      <c r="AN69">
        <v>5.23629926</v>
      </c>
      <c r="AO69">
        <v>5.66239358</v>
      </c>
      <c r="AP69">
        <v>4.7856465</v>
      </c>
      <c r="AQ69">
        <v>4.52101011</v>
      </c>
      <c r="AR69">
        <v>4.36132007</v>
      </c>
      <c r="BF69">
        <v>3.275</v>
      </c>
      <c r="BG69">
        <v>0.1855274</v>
      </c>
      <c r="BH69">
        <v>3.275</v>
      </c>
      <c r="BI69">
        <v>2.39639557</v>
      </c>
      <c r="BJ69">
        <v>3.275</v>
      </c>
      <c r="BK69">
        <v>0.24988752</v>
      </c>
      <c r="BL69">
        <v>3.275</v>
      </c>
      <c r="BM69">
        <v>0.31860659</v>
      </c>
      <c r="BN69">
        <v>3.275</v>
      </c>
      <c r="BO69">
        <v>0.06283351</v>
      </c>
      <c r="BP69">
        <v>3.275</v>
      </c>
      <c r="BQ69">
        <v>0.31940369</v>
      </c>
      <c r="BR69">
        <v>3.275</v>
      </c>
      <c r="BS69">
        <v>0.24020366</v>
      </c>
      <c r="BT69">
        <v>3.275</v>
      </c>
      <c r="BU69">
        <v>1.89865324</v>
      </c>
      <c r="BV69">
        <v>3.275</v>
      </c>
      <c r="BW69">
        <v>0.14834858</v>
      </c>
      <c r="BX69">
        <v>3.275</v>
      </c>
      <c r="BY69">
        <v>0.47921891</v>
      </c>
      <c r="CB69">
        <v>3.275</v>
      </c>
      <c r="CC69">
        <v>0.21301294</v>
      </c>
      <c r="CD69">
        <v>0.1062022</v>
      </c>
      <c r="CE69">
        <v>0</v>
      </c>
      <c r="CF69">
        <v>0</v>
      </c>
      <c r="CG69">
        <v>0</v>
      </c>
      <c r="CK69">
        <v>325</v>
      </c>
      <c r="CL69">
        <v>2.15497512</v>
      </c>
      <c r="CM69">
        <v>4.53212296</v>
      </c>
      <c r="CN69">
        <v>325</v>
      </c>
      <c r="CO69">
        <v>1.79777794</v>
      </c>
      <c r="CP69">
        <v>2.21915509</v>
      </c>
      <c r="CQ69">
        <v>325</v>
      </c>
      <c r="CR69">
        <v>2.57076964</v>
      </c>
      <c r="CS69">
        <v>4.23622458</v>
      </c>
      <c r="CT69">
        <v>325</v>
      </c>
      <c r="CU69">
        <v>2.48615707</v>
      </c>
      <c r="CV69">
        <v>4.04359586</v>
      </c>
      <c r="CW69">
        <v>325</v>
      </c>
      <c r="CX69">
        <v>4.01921547</v>
      </c>
      <c r="CY69">
        <v>7.22918399</v>
      </c>
    </row>
    <row r="70" spans="20:103">
      <c r="T70">
        <v>34.431</v>
      </c>
      <c r="U70">
        <v>1.13255304369725</v>
      </c>
      <c r="V70">
        <v>34.431</v>
      </c>
      <c r="W70">
        <v>1.15370294860551</v>
      </c>
      <c r="X70">
        <v>34.431</v>
      </c>
      <c r="Y70">
        <v>1.13715463865795</v>
      </c>
      <c r="Z70">
        <v>34.431</v>
      </c>
      <c r="AA70">
        <v>1.13151358843338</v>
      </c>
      <c r="AB70">
        <v>34.431</v>
      </c>
      <c r="AC70">
        <v>1.11882845932015</v>
      </c>
      <c r="AE70">
        <v>34.431</v>
      </c>
      <c r="AF70">
        <v>-1838.70945241499</v>
      </c>
      <c r="AG70">
        <v>-1920.76169440658</v>
      </c>
      <c r="AH70">
        <v>-1747.5116506429</v>
      </c>
      <c r="AI70">
        <v>-1900.37574545111</v>
      </c>
      <c r="AJ70">
        <v>-1808.39301021416</v>
      </c>
      <c r="AM70">
        <v>340</v>
      </c>
      <c r="AN70">
        <v>5.22262617</v>
      </c>
      <c r="AO70">
        <v>5.66568086</v>
      </c>
      <c r="AP70">
        <v>4.79226584</v>
      </c>
      <c r="AQ70">
        <v>4.5195359</v>
      </c>
      <c r="AR70">
        <v>4.36467194</v>
      </c>
      <c r="BF70">
        <v>3.325</v>
      </c>
      <c r="BG70">
        <v>0.29998281</v>
      </c>
      <c r="BH70">
        <v>3.325</v>
      </c>
      <c r="BI70">
        <v>3.87477794</v>
      </c>
      <c r="BJ70">
        <v>3.325</v>
      </c>
      <c r="BK70">
        <v>0.28283355</v>
      </c>
      <c r="BL70">
        <v>3.325</v>
      </c>
      <c r="BM70">
        <v>0.46364499</v>
      </c>
      <c r="BN70">
        <v>3.325</v>
      </c>
      <c r="BO70">
        <v>0.20319342</v>
      </c>
      <c r="BP70">
        <v>3.325</v>
      </c>
      <c r="BQ70">
        <v>0.46480495</v>
      </c>
      <c r="BR70">
        <v>3.325</v>
      </c>
      <c r="BS70">
        <v>0.18237439</v>
      </c>
      <c r="BT70">
        <v>3.325</v>
      </c>
      <c r="BU70">
        <v>4.29795637</v>
      </c>
      <c r="BV70">
        <v>3.325</v>
      </c>
      <c r="BW70">
        <v>0.2158809</v>
      </c>
      <c r="BX70">
        <v>3.325</v>
      </c>
      <c r="BY70">
        <v>0.77485824</v>
      </c>
      <c r="CB70">
        <v>3.325</v>
      </c>
      <c r="CC70">
        <v>0</v>
      </c>
      <c r="CD70">
        <v>0</v>
      </c>
      <c r="CE70">
        <v>0</v>
      </c>
      <c r="CF70">
        <v>0</v>
      </c>
      <c r="CG70">
        <v>0</v>
      </c>
      <c r="CK70">
        <v>330</v>
      </c>
      <c r="CL70">
        <v>2.1743902</v>
      </c>
      <c r="CM70">
        <v>4.6026134</v>
      </c>
      <c r="CN70">
        <v>330</v>
      </c>
      <c r="CO70">
        <v>1.80749282</v>
      </c>
      <c r="CP70">
        <v>2.20978551</v>
      </c>
      <c r="CQ70">
        <v>330</v>
      </c>
      <c r="CR70">
        <v>2.6109661</v>
      </c>
      <c r="CS70">
        <v>4.38019573</v>
      </c>
      <c r="CT70">
        <v>330</v>
      </c>
      <c r="CU70">
        <v>2.55802324</v>
      </c>
      <c r="CV70">
        <v>4.10088843</v>
      </c>
      <c r="CW70">
        <v>330</v>
      </c>
      <c r="CX70">
        <v>4.07600314</v>
      </c>
      <c r="CY70">
        <v>7.28596764</v>
      </c>
    </row>
    <row r="71" spans="20:103">
      <c r="T71">
        <v>34.93</v>
      </c>
      <c r="U71">
        <v>1.13406419567353</v>
      </c>
      <c r="V71">
        <v>34.93</v>
      </c>
      <c r="W71">
        <v>1.15087174737958</v>
      </c>
      <c r="X71">
        <v>34.93</v>
      </c>
      <c r="Y71">
        <v>1.13752835933398</v>
      </c>
      <c r="Z71">
        <v>34.93</v>
      </c>
      <c r="AA71">
        <v>1.12879423797374</v>
      </c>
      <c r="AB71">
        <v>34.93</v>
      </c>
      <c r="AC71">
        <v>1.11645074663132</v>
      </c>
      <c r="AE71">
        <v>34.93</v>
      </c>
      <c r="AF71">
        <v>-1839.14421785844</v>
      </c>
      <c r="AG71">
        <v>-1867.7181159219</v>
      </c>
      <c r="AH71">
        <v>-1792.05486355718</v>
      </c>
      <c r="AI71">
        <v>-1880.60635358229</v>
      </c>
      <c r="AJ71">
        <v>-1844.02027529629</v>
      </c>
      <c r="AM71">
        <v>345</v>
      </c>
      <c r="AN71">
        <v>5.23192647</v>
      </c>
      <c r="AO71">
        <v>5.65999774</v>
      </c>
      <c r="AP71">
        <v>4.78431829</v>
      </c>
      <c r="AQ71">
        <v>4.52485175</v>
      </c>
      <c r="AR71">
        <v>4.35984878</v>
      </c>
      <c r="BF71">
        <v>3.375</v>
      </c>
      <c r="BG71">
        <v>0.18440161</v>
      </c>
      <c r="BH71">
        <v>3.375</v>
      </c>
      <c r="BI71">
        <v>2.85822488</v>
      </c>
      <c r="BJ71">
        <v>3.375</v>
      </c>
      <c r="BK71">
        <v>0.2647114</v>
      </c>
      <c r="BL71">
        <v>3.375</v>
      </c>
      <c r="BM71">
        <v>1.50003125</v>
      </c>
      <c r="BN71">
        <v>3.375</v>
      </c>
      <c r="BO71">
        <v>0.15777406</v>
      </c>
      <c r="BP71">
        <v>3.375</v>
      </c>
      <c r="BQ71">
        <v>1.05264883</v>
      </c>
      <c r="BR71">
        <v>3.375</v>
      </c>
      <c r="BS71">
        <v>0.23601443</v>
      </c>
      <c r="BT71">
        <v>3.375</v>
      </c>
      <c r="BU71">
        <v>4.61850747</v>
      </c>
      <c r="BV71">
        <v>3.375</v>
      </c>
      <c r="BW71">
        <v>0.28935362</v>
      </c>
      <c r="BX71">
        <v>3.375</v>
      </c>
      <c r="BY71">
        <v>1.65455392</v>
      </c>
      <c r="CB71">
        <v>3.375</v>
      </c>
      <c r="CC71">
        <v>0</v>
      </c>
      <c r="CD71">
        <v>0</v>
      </c>
      <c r="CE71">
        <v>0</v>
      </c>
      <c r="CF71">
        <v>0</v>
      </c>
      <c r="CG71">
        <v>0</v>
      </c>
      <c r="CK71">
        <v>335</v>
      </c>
      <c r="CL71">
        <v>2.19452895</v>
      </c>
      <c r="CM71">
        <v>4.64755653</v>
      </c>
      <c r="CN71">
        <v>335</v>
      </c>
      <c r="CO71">
        <v>1.81973118</v>
      </c>
      <c r="CP71">
        <v>2.23694094</v>
      </c>
      <c r="CQ71">
        <v>335</v>
      </c>
      <c r="CR71">
        <v>2.6058455</v>
      </c>
      <c r="CS71">
        <v>4.38467067</v>
      </c>
      <c r="CT71">
        <v>335</v>
      </c>
      <c r="CU71">
        <v>2.62434085</v>
      </c>
      <c r="CV71">
        <v>4.16213271</v>
      </c>
      <c r="CW71">
        <v>335</v>
      </c>
      <c r="CX71">
        <v>4.15430676</v>
      </c>
      <c r="CY71">
        <v>7.44317349</v>
      </c>
    </row>
    <row r="72" spans="20:103">
      <c r="T72">
        <v>35.429</v>
      </c>
      <c r="U72">
        <v>1.13634877240109</v>
      </c>
      <c r="V72">
        <v>35.429</v>
      </c>
      <c r="W72">
        <v>1.15337768593518</v>
      </c>
      <c r="X72">
        <v>35.429</v>
      </c>
      <c r="Y72">
        <v>1.14152352852267</v>
      </c>
      <c r="Z72">
        <v>35.429</v>
      </c>
      <c r="AA72">
        <v>1.13763338193607</v>
      </c>
      <c r="AB72">
        <v>35.429</v>
      </c>
      <c r="AC72">
        <v>1.11929482840731</v>
      </c>
      <c r="AE72">
        <v>35.429</v>
      </c>
      <c r="AF72">
        <v>-1788.27493297672</v>
      </c>
      <c r="AG72">
        <v>-1886.68489314548</v>
      </c>
      <c r="AH72">
        <v>-1837.97998388772</v>
      </c>
      <c r="AI72">
        <v>-1756.05095252233</v>
      </c>
      <c r="AJ72">
        <v>-1910.53666146421</v>
      </c>
      <c r="AM72">
        <v>350</v>
      </c>
      <c r="AN72">
        <v>5.23431988</v>
      </c>
      <c r="AO72">
        <v>5.65762712</v>
      </c>
      <c r="AP72">
        <v>4.80573278</v>
      </c>
      <c r="AQ72">
        <v>4.51460062</v>
      </c>
      <c r="AR72">
        <v>4.365994</v>
      </c>
      <c r="BF72">
        <v>3.425</v>
      </c>
      <c r="BG72">
        <v>0.23560133</v>
      </c>
      <c r="BH72">
        <v>3.425</v>
      </c>
      <c r="BI72">
        <v>4.96647604</v>
      </c>
      <c r="BJ72">
        <v>3.425</v>
      </c>
      <c r="BK72">
        <v>0.21895927</v>
      </c>
      <c r="BL72">
        <v>3.425</v>
      </c>
      <c r="BM72">
        <v>1.01958862</v>
      </c>
      <c r="BN72">
        <v>3.425</v>
      </c>
      <c r="BO72">
        <v>0.17235138</v>
      </c>
      <c r="BP72">
        <v>3.425</v>
      </c>
      <c r="BQ72">
        <v>0.43805976</v>
      </c>
      <c r="BR72">
        <v>3.425</v>
      </c>
      <c r="BS72">
        <v>0.27691849</v>
      </c>
      <c r="BT72">
        <v>3.425</v>
      </c>
      <c r="BU72">
        <v>3.61665097</v>
      </c>
      <c r="BV72">
        <v>3.425</v>
      </c>
      <c r="BW72">
        <v>0.15501636</v>
      </c>
      <c r="BX72">
        <v>3.425</v>
      </c>
      <c r="BY72">
        <v>1.89870819</v>
      </c>
      <c r="CB72">
        <v>3.425</v>
      </c>
      <c r="CC72">
        <v>0.09738188</v>
      </c>
      <c r="CD72">
        <v>0</v>
      </c>
      <c r="CE72">
        <v>0</v>
      </c>
      <c r="CF72">
        <v>0</v>
      </c>
      <c r="CG72">
        <v>0</v>
      </c>
      <c r="CK72">
        <v>340</v>
      </c>
      <c r="CL72">
        <v>2.19173892</v>
      </c>
      <c r="CM72">
        <v>4.713573</v>
      </c>
      <c r="CN72">
        <v>340</v>
      </c>
      <c r="CO72">
        <v>1.81962674</v>
      </c>
      <c r="CP72">
        <v>2.18097506</v>
      </c>
      <c r="CQ72">
        <v>340</v>
      </c>
      <c r="CR72">
        <v>2.61865783</v>
      </c>
      <c r="CS72">
        <v>4.46424431</v>
      </c>
      <c r="CT72">
        <v>340</v>
      </c>
      <c r="CU72">
        <v>2.63253444</v>
      </c>
      <c r="CV72">
        <v>4.17803464</v>
      </c>
      <c r="CW72">
        <v>340</v>
      </c>
      <c r="CX72">
        <v>4.23184705</v>
      </c>
      <c r="CY72">
        <v>7.50643504</v>
      </c>
    </row>
    <row r="73" spans="20:103">
      <c r="T73">
        <v>35.928</v>
      </c>
      <c r="U73">
        <v>1.13570191323192</v>
      </c>
      <c r="V73">
        <v>35.928</v>
      </c>
      <c r="W73">
        <v>1.15381441074261</v>
      </c>
      <c r="X73">
        <v>35.928</v>
      </c>
      <c r="Y73">
        <v>1.13800645686216</v>
      </c>
      <c r="Z73">
        <v>35.928</v>
      </c>
      <c r="AA73">
        <v>1.14533944938005</v>
      </c>
      <c r="AB73">
        <v>35.928</v>
      </c>
      <c r="AC73">
        <v>1.12178337559772</v>
      </c>
      <c r="AE73">
        <v>35.928</v>
      </c>
      <c r="AF73">
        <v>-1785.81949679599</v>
      </c>
      <c r="AG73">
        <v>-1942.56305870899</v>
      </c>
      <c r="AH73">
        <v>-1849.59278444567</v>
      </c>
      <c r="AI73">
        <v>-1795.95705983257</v>
      </c>
      <c r="AJ73">
        <v>-1970.64749784414</v>
      </c>
      <c r="AM73">
        <v>355</v>
      </c>
      <c r="AN73">
        <v>5.22106436</v>
      </c>
      <c r="AO73">
        <v>5.64706196</v>
      </c>
      <c r="AP73">
        <v>4.79280764</v>
      </c>
      <c r="AQ73">
        <v>4.51129376</v>
      </c>
      <c r="AR73">
        <v>4.36523018</v>
      </c>
      <c r="BF73">
        <v>3.475</v>
      </c>
      <c r="BG73">
        <v>0.17394145</v>
      </c>
      <c r="BH73">
        <v>3.475</v>
      </c>
      <c r="BI73">
        <v>4.68268692</v>
      </c>
      <c r="BJ73">
        <v>3.475</v>
      </c>
      <c r="BK73">
        <v>0.24044769</v>
      </c>
      <c r="BL73">
        <v>3.475</v>
      </c>
      <c r="BM73">
        <v>2.82988436</v>
      </c>
      <c r="BN73">
        <v>3.475</v>
      </c>
      <c r="BO73">
        <v>0.17672892</v>
      </c>
      <c r="BP73">
        <v>3.475</v>
      </c>
      <c r="BQ73">
        <v>1.13478568</v>
      </c>
      <c r="BR73">
        <v>3.475</v>
      </c>
      <c r="BS73">
        <v>0.21335044</v>
      </c>
      <c r="BT73">
        <v>3.475</v>
      </c>
      <c r="BU73">
        <v>4.07545725</v>
      </c>
      <c r="BV73">
        <v>3.475</v>
      </c>
      <c r="BW73">
        <v>0.15999935</v>
      </c>
      <c r="BX73">
        <v>3.475</v>
      </c>
      <c r="BY73">
        <v>1.56069957</v>
      </c>
      <c r="CB73">
        <v>3.475</v>
      </c>
      <c r="CC73">
        <v>0.09459974</v>
      </c>
      <c r="CD73">
        <v>0</v>
      </c>
      <c r="CE73">
        <v>0</v>
      </c>
      <c r="CF73">
        <v>0</v>
      </c>
      <c r="CG73">
        <v>0</v>
      </c>
      <c r="CK73">
        <v>345</v>
      </c>
      <c r="CL73">
        <v>2.19838032</v>
      </c>
      <c r="CM73">
        <v>4.7874939</v>
      </c>
      <c r="CN73">
        <v>345</v>
      </c>
      <c r="CO73">
        <v>1.80314345</v>
      </c>
      <c r="CP73">
        <v>2.18283602</v>
      </c>
      <c r="CQ73">
        <v>345</v>
      </c>
      <c r="CR73">
        <v>2.72380783</v>
      </c>
      <c r="CS73">
        <v>4.545406</v>
      </c>
      <c r="CT73">
        <v>345</v>
      </c>
      <c r="CU73">
        <v>2.77740417</v>
      </c>
      <c r="CV73">
        <v>4.28571472</v>
      </c>
      <c r="CW73">
        <v>345</v>
      </c>
      <c r="CX73">
        <v>4.28599634</v>
      </c>
      <c r="CY73">
        <v>7.63661642</v>
      </c>
    </row>
    <row r="74" spans="20:103">
      <c r="T74">
        <v>36.427</v>
      </c>
      <c r="U74">
        <v>1.13612693681982</v>
      </c>
      <c r="V74">
        <v>36.427</v>
      </c>
      <c r="W74">
        <v>1.15234309246842</v>
      </c>
      <c r="X74">
        <v>36.427</v>
      </c>
      <c r="Y74">
        <v>1.14398650825834</v>
      </c>
      <c r="Z74">
        <v>36.427</v>
      </c>
      <c r="AA74">
        <v>1.14264397916393</v>
      </c>
      <c r="AB74">
        <v>36.427</v>
      </c>
      <c r="AC74">
        <v>1.11138821932817</v>
      </c>
      <c r="AE74">
        <v>36.427</v>
      </c>
      <c r="AF74">
        <v>-1800.17601550279</v>
      </c>
      <c r="AG74">
        <v>-1962.01367783566</v>
      </c>
      <c r="AH74">
        <v>-1774.76495665223</v>
      </c>
      <c r="AI74">
        <v>-1890.27904711724</v>
      </c>
      <c r="AJ74">
        <v>-1870.78653217933</v>
      </c>
      <c r="AM74">
        <v>360</v>
      </c>
      <c r="AN74">
        <v>5.22938076</v>
      </c>
      <c r="AO74">
        <v>5.64977519</v>
      </c>
      <c r="AP74">
        <v>4.78968203</v>
      </c>
      <c r="AQ74">
        <v>4.52797506</v>
      </c>
      <c r="AR74">
        <v>4.36082464</v>
      </c>
      <c r="BF74">
        <v>3.525</v>
      </c>
      <c r="BG74">
        <v>0.2580115</v>
      </c>
      <c r="BH74">
        <v>3.525</v>
      </c>
      <c r="BI74">
        <v>6.34352418</v>
      </c>
      <c r="BJ74">
        <v>3.525</v>
      </c>
      <c r="BK74">
        <v>0.18873748</v>
      </c>
      <c r="BL74">
        <v>3.525</v>
      </c>
      <c r="BM74">
        <v>2.75017465</v>
      </c>
      <c r="BN74">
        <v>3.525</v>
      </c>
      <c r="BO74">
        <v>0.24406717</v>
      </c>
      <c r="BP74">
        <v>3.525</v>
      </c>
      <c r="BQ74">
        <v>2.20564407</v>
      </c>
      <c r="BR74">
        <v>3.525</v>
      </c>
      <c r="BS74">
        <v>0.2524151</v>
      </c>
      <c r="BT74">
        <v>3.525</v>
      </c>
      <c r="BU74">
        <v>6.82872988</v>
      </c>
      <c r="BV74">
        <v>3.525</v>
      </c>
      <c r="BW74">
        <v>0.20122576</v>
      </c>
      <c r="BX74">
        <v>3.525</v>
      </c>
      <c r="BY74">
        <v>3.03347831</v>
      </c>
      <c r="CB74">
        <v>3.525</v>
      </c>
      <c r="CC74">
        <v>0.09193513</v>
      </c>
      <c r="CD74">
        <v>0</v>
      </c>
      <c r="CE74">
        <v>0</v>
      </c>
      <c r="CF74">
        <v>0</v>
      </c>
      <c r="CG74">
        <v>0</v>
      </c>
      <c r="CK74">
        <v>350</v>
      </c>
      <c r="CL74">
        <v>2.18685546</v>
      </c>
      <c r="CM74">
        <v>4.82725027</v>
      </c>
      <c r="CN74">
        <v>350</v>
      </c>
      <c r="CO74">
        <v>1.82882532</v>
      </c>
      <c r="CP74">
        <v>2.26723226</v>
      </c>
      <c r="CQ74">
        <v>350</v>
      </c>
      <c r="CR74">
        <v>2.7685705</v>
      </c>
      <c r="CS74">
        <v>4.61866757</v>
      </c>
      <c r="CT74">
        <v>350</v>
      </c>
      <c r="CU74">
        <v>2.80868607</v>
      </c>
      <c r="CV74">
        <v>4.33302128</v>
      </c>
      <c r="CW74">
        <v>350</v>
      </c>
      <c r="CX74">
        <v>4.30729132</v>
      </c>
      <c r="CY74">
        <v>7.75564469</v>
      </c>
    </row>
    <row r="75" spans="20:103">
      <c r="T75">
        <v>36.926</v>
      </c>
      <c r="U75">
        <v>1.13397359106898</v>
      </c>
      <c r="V75">
        <v>36.926</v>
      </c>
      <c r="W75">
        <v>1.15386727123666</v>
      </c>
      <c r="X75">
        <v>36.926</v>
      </c>
      <c r="Y75">
        <v>1.14731708839494</v>
      </c>
      <c r="Z75">
        <v>36.926</v>
      </c>
      <c r="AA75">
        <v>1.13625066616709</v>
      </c>
      <c r="AB75">
        <v>36.926</v>
      </c>
      <c r="AC75">
        <v>1.1107695484242</v>
      </c>
      <c r="AE75">
        <v>36.926</v>
      </c>
      <c r="AF75">
        <v>-1906.53569363116</v>
      </c>
      <c r="AG75">
        <v>-1958.49279855583</v>
      </c>
      <c r="AH75">
        <v>-1811.32371905829</v>
      </c>
      <c r="AI75">
        <v>-1820.20921668599</v>
      </c>
      <c r="AJ75">
        <v>-1792.48061023161</v>
      </c>
      <c r="AM75">
        <v>365</v>
      </c>
      <c r="AN75">
        <v>5.2365599</v>
      </c>
      <c r="AO75">
        <v>5.66187345</v>
      </c>
      <c r="AP75">
        <v>4.79236028</v>
      </c>
      <c r="AQ75">
        <v>4.51335925</v>
      </c>
      <c r="AR75">
        <v>4.36249193</v>
      </c>
      <c r="BF75">
        <v>3.575</v>
      </c>
      <c r="BG75">
        <v>0.25949481</v>
      </c>
      <c r="BH75">
        <v>3.575</v>
      </c>
      <c r="BI75">
        <v>6.16732667</v>
      </c>
      <c r="BJ75">
        <v>3.575</v>
      </c>
      <c r="BK75">
        <v>0.24466015</v>
      </c>
      <c r="BL75">
        <v>3.575</v>
      </c>
      <c r="BM75">
        <v>3.60961095</v>
      </c>
      <c r="BN75">
        <v>3.575</v>
      </c>
      <c r="BO75">
        <v>0.2021342</v>
      </c>
      <c r="BP75">
        <v>3.575</v>
      </c>
      <c r="BQ75">
        <v>2.54645145</v>
      </c>
      <c r="BR75">
        <v>3.575</v>
      </c>
      <c r="BS75">
        <v>0.25416845</v>
      </c>
      <c r="BT75">
        <v>3.575</v>
      </c>
      <c r="BU75">
        <v>6.3734931</v>
      </c>
      <c r="BV75">
        <v>3.575</v>
      </c>
      <c r="BW75">
        <v>0.13338854</v>
      </c>
      <c r="BX75">
        <v>3.575</v>
      </c>
      <c r="BY75">
        <v>5.22816364</v>
      </c>
      <c r="CB75">
        <v>3.575</v>
      </c>
      <c r="CC75">
        <v>0.71505237</v>
      </c>
      <c r="CD75">
        <v>0.0891262</v>
      </c>
      <c r="CE75">
        <v>0</v>
      </c>
      <c r="CF75">
        <v>0</v>
      </c>
      <c r="CG75">
        <v>0.08937032</v>
      </c>
      <c r="CK75">
        <v>355</v>
      </c>
      <c r="CL75">
        <v>2.24333827</v>
      </c>
      <c r="CM75">
        <v>4.87169954</v>
      </c>
      <c r="CN75">
        <v>355</v>
      </c>
      <c r="CO75">
        <v>1.8862249</v>
      </c>
      <c r="CP75">
        <v>2.27261453</v>
      </c>
      <c r="CQ75">
        <v>355</v>
      </c>
      <c r="CR75">
        <v>2.80819387</v>
      </c>
      <c r="CS75">
        <v>4.65208553</v>
      </c>
      <c r="CT75">
        <v>355</v>
      </c>
      <c r="CU75">
        <v>2.88339925</v>
      </c>
      <c r="CV75">
        <v>4.43729234</v>
      </c>
      <c r="CW75">
        <v>355</v>
      </c>
      <c r="CX75">
        <v>4.43011422</v>
      </c>
      <c r="CY75">
        <v>7.94463498</v>
      </c>
    </row>
    <row r="76" spans="20:103">
      <c r="T76">
        <v>37.425</v>
      </c>
      <c r="U76">
        <v>1.1329130643523</v>
      </c>
      <c r="V76">
        <v>37.425</v>
      </c>
      <c r="W76">
        <v>1.14782271679604</v>
      </c>
      <c r="X76">
        <v>37.425</v>
      </c>
      <c r="Y76">
        <v>1.15466130951013</v>
      </c>
      <c r="Z76">
        <v>37.425</v>
      </c>
      <c r="AA76">
        <v>1.14356815449567</v>
      </c>
      <c r="AB76">
        <v>37.425</v>
      </c>
      <c r="AC76">
        <v>1.12310367453815</v>
      </c>
      <c r="AE76">
        <v>37.425</v>
      </c>
      <c r="AF76">
        <v>-1860.15821419198</v>
      </c>
      <c r="AG76">
        <v>-1887.98660068712</v>
      </c>
      <c r="AH76">
        <v>-1784.97077200946</v>
      </c>
      <c r="AI76">
        <v>-1878.69561983671</v>
      </c>
      <c r="AJ76">
        <v>-1734.12119340338</v>
      </c>
      <c r="AM76">
        <v>370</v>
      </c>
      <c r="AN76">
        <v>5.24176609</v>
      </c>
      <c r="AO76">
        <v>5.66577373</v>
      </c>
      <c r="AP76">
        <v>4.78211011</v>
      </c>
      <c r="AQ76">
        <v>4.52562001</v>
      </c>
      <c r="AR76">
        <v>4.35894647</v>
      </c>
      <c r="BF76">
        <v>3.625</v>
      </c>
      <c r="BG76">
        <v>0.361753</v>
      </c>
      <c r="BH76">
        <v>3.625</v>
      </c>
      <c r="BI76">
        <v>8.60635628</v>
      </c>
      <c r="BJ76">
        <v>3.625</v>
      </c>
      <c r="BK76">
        <v>0.28044997</v>
      </c>
      <c r="BL76">
        <v>3.625</v>
      </c>
      <c r="BM76">
        <v>4.42091142</v>
      </c>
      <c r="BN76">
        <v>3.625</v>
      </c>
      <c r="BO76">
        <v>0.17950127</v>
      </c>
      <c r="BP76">
        <v>3.625</v>
      </c>
      <c r="BQ76">
        <v>3.78021118</v>
      </c>
      <c r="BR76">
        <v>3.625</v>
      </c>
      <c r="BS76">
        <v>0.19605944</v>
      </c>
      <c r="BT76">
        <v>3.625</v>
      </c>
      <c r="BU76">
        <v>7.7486099</v>
      </c>
      <c r="BV76">
        <v>3.625</v>
      </c>
      <c r="BW76">
        <v>0.15568114</v>
      </c>
      <c r="BX76">
        <v>3.625</v>
      </c>
      <c r="BY76">
        <v>3.91148874</v>
      </c>
      <c r="CB76">
        <v>3.625</v>
      </c>
      <c r="CC76">
        <v>1.30399338</v>
      </c>
      <c r="CD76">
        <v>0.17336908</v>
      </c>
      <c r="CE76">
        <v>0</v>
      </c>
      <c r="CF76">
        <v>0</v>
      </c>
      <c r="CG76">
        <v>0</v>
      </c>
      <c r="CK76">
        <v>360</v>
      </c>
      <c r="CL76">
        <v>2.31962574</v>
      </c>
      <c r="CM76">
        <v>5.03300035</v>
      </c>
      <c r="CN76">
        <v>360</v>
      </c>
      <c r="CO76">
        <v>1.94809474</v>
      </c>
      <c r="CP76">
        <v>2.33750156</v>
      </c>
      <c r="CQ76">
        <v>360</v>
      </c>
      <c r="CR76">
        <v>2.88356585</v>
      </c>
      <c r="CS76">
        <v>4.7697555</v>
      </c>
      <c r="CT76">
        <v>360</v>
      </c>
      <c r="CU76">
        <v>2.92947025</v>
      </c>
      <c r="CV76">
        <v>4.51258589</v>
      </c>
      <c r="CW76">
        <v>360</v>
      </c>
      <c r="CX76">
        <v>4.45983009</v>
      </c>
      <c r="CY76">
        <v>8.04831264</v>
      </c>
    </row>
    <row r="77" spans="20:103">
      <c r="T77">
        <v>37.924</v>
      </c>
      <c r="U77">
        <v>1.13653531227656</v>
      </c>
      <c r="V77">
        <v>37.924</v>
      </c>
      <c r="W77">
        <v>1.14634360305315</v>
      </c>
      <c r="X77">
        <v>37.924</v>
      </c>
      <c r="Y77">
        <v>1.15117110661927</v>
      </c>
      <c r="Z77">
        <v>37.924</v>
      </c>
      <c r="AA77">
        <v>1.14389044639328</v>
      </c>
      <c r="AB77">
        <v>37.924</v>
      </c>
      <c r="AC77">
        <v>1.11775850731625</v>
      </c>
      <c r="AE77">
        <v>37.924</v>
      </c>
      <c r="AF77">
        <v>-1748.49885319108</v>
      </c>
      <c r="AG77">
        <v>-1922.45037324749</v>
      </c>
      <c r="AH77">
        <v>-1839.2430480672</v>
      </c>
      <c r="AI77">
        <v>-1806.82643904537</v>
      </c>
      <c r="AJ77">
        <v>-1870.37143078934</v>
      </c>
      <c r="AM77">
        <v>375</v>
      </c>
      <c r="AN77">
        <v>5.26182758</v>
      </c>
      <c r="AO77">
        <v>5.65934721</v>
      </c>
      <c r="AP77">
        <v>4.78023588</v>
      </c>
      <c r="AQ77">
        <v>4.51829947</v>
      </c>
      <c r="AR77">
        <v>4.35906105</v>
      </c>
      <c r="BF77">
        <v>3.675</v>
      </c>
      <c r="BG77">
        <v>0.3356055</v>
      </c>
      <c r="BH77">
        <v>3.675</v>
      </c>
      <c r="BI77">
        <v>8.12001591</v>
      </c>
      <c r="BJ77">
        <v>3.675</v>
      </c>
      <c r="BK77">
        <v>0.30594595</v>
      </c>
      <c r="BL77">
        <v>3.675</v>
      </c>
      <c r="BM77">
        <v>6.07261369</v>
      </c>
      <c r="BN77">
        <v>3.675</v>
      </c>
      <c r="BO77">
        <v>0.21623356</v>
      </c>
      <c r="BP77">
        <v>3.675</v>
      </c>
      <c r="BQ77">
        <v>3.29756172</v>
      </c>
      <c r="BR77">
        <v>3.675</v>
      </c>
      <c r="BS77">
        <v>0.16587901</v>
      </c>
      <c r="BT77">
        <v>3.675</v>
      </c>
      <c r="BU77">
        <v>9.80096122</v>
      </c>
      <c r="BV77">
        <v>3.675</v>
      </c>
      <c r="BW77">
        <v>0.23562592</v>
      </c>
      <c r="BX77">
        <v>3.675</v>
      </c>
      <c r="BY77">
        <v>5.58180972</v>
      </c>
      <c r="CB77">
        <v>3.675</v>
      </c>
      <c r="CC77">
        <v>1.60708648</v>
      </c>
      <c r="CD77">
        <v>0.08434186</v>
      </c>
      <c r="CE77">
        <v>0</v>
      </c>
      <c r="CF77">
        <v>0</v>
      </c>
      <c r="CG77">
        <v>0.3382915</v>
      </c>
      <c r="CK77">
        <v>365</v>
      </c>
      <c r="CL77">
        <v>2.35816904</v>
      </c>
      <c r="CM77">
        <v>5.13116963</v>
      </c>
      <c r="CN77">
        <v>365</v>
      </c>
      <c r="CO77">
        <v>2.00197837</v>
      </c>
      <c r="CP77">
        <v>2.35405906</v>
      </c>
      <c r="CQ77">
        <v>365</v>
      </c>
      <c r="CR77">
        <v>2.93000655</v>
      </c>
      <c r="CS77">
        <v>4.79224915</v>
      </c>
      <c r="CT77">
        <v>365</v>
      </c>
      <c r="CU77">
        <v>2.98014915</v>
      </c>
      <c r="CV77">
        <v>4.57911572</v>
      </c>
      <c r="CW77">
        <v>365</v>
      </c>
      <c r="CX77">
        <v>4.50971905</v>
      </c>
      <c r="CY77">
        <v>8.15163132</v>
      </c>
    </row>
    <row r="78" spans="20:103">
      <c r="T78">
        <v>38.423</v>
      </c>
      <c r="U78">
        <v>1.13644477236793</v>
      </c>
      <c r="V78">
        <v>38.423</v>
      </c>
      <c r="W78">
        <v>1.14839981121201</v>
      </c>
      <c r="X78">
        <v>38.423</v>
      </c>
      <c r="Y78">
        <v>1.1523600207189</v>
      </c>
      <c r="Z78">
        <v>38.423</v>
      </c>
      <c r="AA78">
        <v>1.15663414483505</v>
      </c>
      <c r="AB78">
        <v>38.423</v>
      </c>
      <c r="AC78">
        <v>1.12085177363696</v>
      </c>
      <c r="AE78">
        <v>38.423</v>
      </c>
      <c r="AF78">
        <v>-1725.91566477969</v>
      </c>
      <c r="AG78">
        <v>-1977.02036975197</v>
      </c>
      <c r="AH78">
        <v>-1777.58524059746</v>
      </c>
      <c r="AI78">
        <v>-1882.53667877617</v>
      </c>
      <c r="AJ78">
        <v>-2012.34289721273</v>
      </c>
      <c r="AM78">
        <v>380</v>
      </c>
      <c r="AN78">
        <v>5.23645092</v>
      </c>
      <c r="AO78">
        <v>5.66467592</v>
      </c>
      <c r="AP78">
        <v>4.80758116</v>
      </c>
      <c r="AQ78">
        <v>4.52809132</v>
      </c>
      <c r="AR78">
        <v>4.35258846</v>
      </c>
      <c r="BF78">
        <v>3.725</v>
      </c>
      <c r="BG78">
        <v>0.35055825</v>
      </c>
      <c r="BH78">
        <v>3.725</v>
      </c>
      <c r="BI78">
        <v>7.78000305</v>
      </c>
      <c r="BJ78">
        <v>3.725</v>
      </c>
      <c r="BK78">
        <v>0.20925635</v>
      </c>
      <c r="BL78">
        <v>3.725</v>
      </c>
      <c r="BM78">
        <v>6.40324431</v>
      </c>
      <c r="BN78">
        <v>3.725</v>
      </c>
      <c r="BO78">
        <v>0.23475241</v>
      </c>
      <c r="BP78">
        <v>3.725</v>
      </c>
      <c r="BQ78">
        <v>4.56755326</v>
      </c>
      <c r="BR78">
        <v>3.725</v>
      </c>
      <c r="BS78">
        <v>0.18567421</v>
      </c>
      <c r="BT78">
        <v>3.725</v>
      </c>
      <c r="BU78">
        <v>9.29501236</v>
      </c>
      <c r="BV78">
        <v>3.725</v>
      </c>
      <c r="BW78">
        <v>0.13924393</v>
      </c>
      <c r="BX78">
        <v>3.725</v>
      </c>
      <c r="BY78">
        <v>5.4329704</v>
      </c>
      <c r="CB78">
        <v>3.725</v>
      </c>
      <c r="CC78">
        <v>2.38751416</v>
      </c>
      <c r="CD78">
        <v>0.3283715</v>
      </c>
      <c r="CE78">
        <v>0</v>
      </c>
      <c r="CF78">
        <v>0.0815352</v>
      </c>
      <c r="CG78">
        <v>0.41158867</v>
      </c>
      <c r="CK78">
        <v>370</v>
      </c>
      <c r="CL78">
        <v>2.36313873</v>
      </c>
      <c r="CM78">
        <v>5.17190026</v>
      </c>
      <c r="CN78">
        <v>370</v>
      </c>
      <c r="CO78">
        <v>2.01851612</v>
      </c>
      <c r="CP78">
        <v>2.41396879</v>
      </c>
      <c r="CQ78">
        <v>370</v>
      </c>
      <c r="CR78">
        <v>2.97157745</v>
      </c>
      <c r="CS78">
        <v>4.91203739</v>
      </c>
      <c r="CT78">
        <v>370</v>
      </c>
      <c r="CU78">
        <v>3.01604686</v>
      </c>
      <c r="CV78">
        <v>4.70467184</v>
      </c>
      <c r="CW78">
        <v>370</v>
      </c>
      <c r="CX78">
        <v>4.54474094</v>
      </c>
      <c r="CY78">
        <v>8.27843122</v>
      </c>
    </row>
    <row r="79" spans="20:103">
      <c r="T79">
        <v>38.922</v>
      </c>
      <c r="U79">
        <v>1.13316848167562</v>
      </c>
      <c r="V79">
        <v>38.922</v>
      </c>
      <c r="W79">
        <v>1.14617164526459</v>
      </c>
      <c r="X79">
        <v>38.922</v>
      </c>
      <c r="Y79">
        <v>1.15457882771712</v>
      </c>
      <c r="Z79">
        <v>38.922</v>
      </c>
      <c r="AA79">
        <v>1.15636639481644</v>
      </c>
      <c r="AB79">
        <v>38.922</v>
      </c>
      <c r="AC79">
        <v>1.10556462578859</v>
      </c>
      <c r="AE79">
        <v>38.922</v>
      </c>
      <c r="AF79">
        <v>-1718.40361961173</v>
      </c>
      <c r="AG79">
        <v>-2023.87784614723</v>
      </c>
      <c r="AH79">
        <v>-1767.36257211251</v>
      </c>
      <c r="AI79">
        <v>-1904.85291775813</v>
      </c>
      <c r="AJ79">
        <v>-1999.33690243676</v>
      </c>
      <c r="AM79">
        <v>385</v>
      </c>
      <c r="AN79">
        <v>5.24430507</v>
      </c>
      <c r="AO79">
        <v>5.63369697</v>
      </c>
      <c r="AP79">
        <v>4.78462669</v>
      </c>
      <c r="AQ79">
        <v>4.5250466</v>
      </c>
      <c r="AR79">
        <v>4.35140546</v>
      </c>
      <c r="BF79">
        <v>3.775</v>
      </c>
      <c r="BG79">
        <v>0.30254567</v>
      </c>
      <c r="BH79">
        <v>3.775</v>
      </c>
      <c r="BI79">
        <v>9.13843072</v>
      </c>
      <c r="BJ79">
        <v>3.775</v>
      </c>
      <c r="BK79">
        <v>0.21158646</v>
      </c>
      <c r="BL79">
        <v>3.775</v>
      </c>
      <c r="BM79">
        <v>8.15313165</v>
      </c>
      <c r="BN79">
        <v>3.775</v>
      </c>
      <c r="BO79">
        <v>0.26010267</v>
      </c>
      <c r="BP79">
        <v>3.775</v>
      </c>
      <c r="BQ79">
        <v>5.04835632</v>
      </c>
      <c r="BR79">
        <v>3.775</v>
      </c>
      <c r="BS79">
        <v>0.25153159</v>
      </c>
      <c r="BT79">
        <v>3.775</v>
      </c>
      <c r="BU79">
        <v>10.12218146</v>
      </c>
      <c r="BV79">
        <v>3.775</v>
      </c>
      <c r="BW79">
        <v>0.19140682</v>
      </c>
      <c r="BX79">
        <v>3.775</v>
      </c>
      <c r="BY79">
        <v>7.33387175</v>
      </c>
      <c r="CB79">
        <v>3.775</v>
      </c>
      <c r="CC79">
        <v>3.8477603</v>
      </c>
      <c r="CD79">
        <v>0.23979799</v>
      </c>
      <c r="CE79">
        <v>0</v>
      </c>
      <c r="CF79">
        <v>0.55572761</v>
      </c>
      <c r="CG79">
        <v>1.36257726</v>
      </c>
      <c r="CK79">
        <v>375</v>
      </c>
      <c r="CL79">
        <v>2.31625017</v>
      </c>
      <c r="CM79">
        <v>5.2139635</v>
      </c>
      <c r="CN79">
        <v>375</v>
      </c>
      <c r="CO79">
        <v>2.05772226</v>
      </c>
      <c r="CP79">
        <v>2.46766832</v>
      </c>
      <c r="CQ79">
        <v>375</v>
      </c>
      <c r="CR79">
        <v>3.0541825</v>
      </c>
      <c r="CS79">
        <v>4.97626027</v>
      </c>
      <c r="CT79">
        <v>375</v>
      </c>
      <c r="CU79">
        <v>3.09748585</v>
      </c>
      <c r="CV79">
        <v>4.76602033</v>
      </c>
      <c r="CW79">
        <v>375</v>
      </c>
      <c r="CX79">
        <v>4.61908149</v>
      </c>
      <c r="CY79">
        <v>8.32783586</v>
      </c>
    </row>
    <row r="80" spans="20:103">
      <c r="T80">
        <v>39.421</v>
      </c>
      <c r="U80">
        <v>1.13516858870787</v>
      </c>
      <c r="V80">
        <v>39.421</v>
      </c>
      <c r="W80">
        <v>1.13957921183</v>
      </c>
      <c r="X80">
        <v>39.421</v>
      </c>
      <c r="Y80">
        <v>1.15366737213109</v>
      </c>
      <c r="Z80">
        <v>39.421</v>
      </c>
      <c r="AA80">
        <v>1.15389011722282</v>
      </c>
      <c r="AB80">
        <v>39.421</v>
      </c>
      <c r="AC80">
        <v>1.1112462604277</v>
      </c>
      <c r="AE80">
        <v>39.421</v>
      </c>
      <c r="AF80">
        <v>-1857.88990671334</v>
      </c>
      <c r="AG80">
        <v>-1881.58958830647</v>
      </c>
      <c r="AH80">
        <v>-1815.0742703655</v>
      </c>
      <c r="AI80">
        <v>-1877.89330482939</v>
      </c>
      <c r="AJ80">
        <v>-1786.60347083216</v>
      </c>
      <c r="AM80">
        <v>390</v>
      </c>
      <c r="AN80">
        <v>5.226525</v>
      </c>
      <c r="AO80">
        <v>5.65399846</v>
      </c>
      <c r="AP80">
        <v>4.80286551</v>
      </c>
      <c r="AQ80">
        <v>4.50085367</v>
      </c>
      <c r="AR80">
        <v>4.36026038</v>
      </c>
      <c r="BF80">
        <v>3.825</v>
      </c>
      <c r="BG80">
        <v>0.33246827</v>
      </c>
      <c r="BH80">
        <v>3.825</v>
      </c>
      <c r="BI80">
        <v>7.26140933</v>
      </c>
      <c r="BJ80">
        <v>3.825</v>
      </c>
      <c r="BK80">
        <v>0.19082502</v>
      </c>
      <c r="BL80">
        <v>3.825</v>
      </c>
      <c r="BM80">
        <v>9.80993266</v>
      </c>
      <c r="BN80">
        <v>3.825</v>
      </c>
      <c r="BO80">
        <v>0.24566995</v>
      </c>
      <c r="BP80">
        <v>3.825</v>
      </c>
      <c r="BQ80">
        <v>7.02462522</v>
      </c>
      <c r="BR80">
        <v>3.825</v>
      </c>
      <c r="BS80">
        <v>0.22203005</v>
      </c>
      <c r="BT80">
        <v>3.825</v>
      </c>
      <c r="BU80">
        <v>9.51130795</v>
      </c>
      <c r="BV80">
        <v>3.825</v>
      </c>
      <c r="BW80">
        <v>0.20197178</v>
      </c>
      <c r="BX80">
        <v>3.825</v>
      </c>
      <c r="BY80">
        <v>9.01706912</v>
      </c>
      <c r="CB80">
        <v>3.825</v>
      </c>
      <c r="CC80">
        <v>4.21630219</v>
      </c>
      <c r="CD80">
        <v>1.08999252</v>
      </c>
      <c r="CE80">
        <v>0</v>
      </c>
      <c r="CF80">
        <v>0.69594936</v>
      </c>
      <c r="CG80">
        <v>1.48332739</v>
      </c>
      <c r="CK80">
        <v>380</v>
      </c>
      <c r="CL80">
        <v>2.33891943</v>
      </c>
      <c r="CM80">
        <v>5.27633828</v>
      </c>
      <c r="CN80">
        <v>380</v>
      </c>
      <c r="CO80">
        <v>2.0528315</v>
      </c>
      <c r="CP80">
        <v>2.45417806</v>
      </c>
      <c r="CQ80">
        <v>380</v>
      </c>
      <c r="CR80">
        <v>3.09689579</v>
      </c>
      <c r="CS80">
        <v>5.06259506</v>
      </c>
      <c r="CT80">
        <v>380</v>
      </c>
      <c r="CU80">
        <v>3.11490513</v>
      </c>
      <c r="CV80">
        <v>4.86523744</v>
      </c>
      <c r="CW80">
        <v>380</v>
      </c>
      <c r="CX80">
        <v>4.62352981</v>
      </c>
      <c r="CY80">
        <v>8.4241578</v>
      </c>
    </row>
    <row r="81" spans="20:103">
      <c r="T81">
        <v>39.92</v>
      </c>
      <c r="U81">
        <v>1.13761198673241</v>
      </c>
      <c r="V81">
        <v>39.92</v>
      </c>
      <c r="W81">
        <v>1.15644054815958</v>
      </c>
      <c r="X81">
        <v>39.92</v>
      </c>
      <c r="Y81">
        <v>1.14982535389175</v>
      </c>
      <c r="Z81">
        <v>39.92</v>
      </c>
      <c r="AA81">
        <v>1.15477985449832</v>
      </c>
      <c r="AB81">
        <v>39.92</v>
      </c>
      <c r="AC81">
        <v>1.11303048119113</v>
      </c>
      <c r="AE81">
        <v>39.92</v>
      </c>
      <c r="AF81">
        <v>-1904.64337291148</v>
      </c>
      <c r="AG81">
        <v>-1903.60205778301</v>
      </c>
      <c r="AH81">
        <v>-1809.516359986</v>
      </c>
      <c r="AI81">
        <v>-1865.35189424058</v>
      </c>
      <c r="AJ81">
        <v>-1719.57116565995</v>
      </c>
      <c r="AM81">
        <v>395</v>
      </c>
      <c r="AN81">
        <v>5.2457283</v>
      </c>
      <c r="AO81">
        <v>5.64192884</v>
      </c>
      <c r="AP81">
        <v>4.79475442</v>
      </c>
      <c r="AQ81">
        <v>4.52569206</v>
      </c>
      <c r="AR81">
        <v>4.36745278</v>
      </c>
      <c r="BF81">
        <v>3.875</v>
      </c>
      <c r="BG81">
        <v>0.346031</v>
      </c>
      <c r="BH81">
        <v>3.875</v>
      </c>
      <c r="BI81">
        <v>8.44462897</v>
      </c>
      <c r="BJ81">
        <v>3.875</v>
      </c>
      <c r="BK81">
        <v>0.24543069</v>
      </c>
      <c r="BL81">
        <v>3.875</v>
      </c>
      <c r="BM81">
        <v>8.53429454</v>
      </c>
      <c r="BN81">
        <v>3.875</v>
      </c>
      <c r="BO81">
        <v>0.20944969</v>
      </c>
      <c r="BP81">
        <v>3.875</v>
      </c>
      <c r="BQ81">
        <v>9.12602216</v>
      </c>
      <c r="BR81">
        <v>3.875</v>
      </c>
      <c r="BS81">
        <v>0.26109673</v>
      </c>
      <c r="BT81">
        <v>3.875</v>
      </c>
      <c r="BU81">
        <v>8.5893363</v>
      </c>
      <c r="BV81">
        <v>3.875</v>
      </c>
      <c r="BW81">
        <v>0.15894844</v>
      </c>
      <c r="BX81">
        <v>3.875</v>
      </c>
      <c r="BY81">
        <v>9.47048869</v>
      </c>
      <c r="CB81">
        <v>3.875</v>
      </c>
      <c r="CC81">
        <v>4.945053</v>
      </c>
      <c r="CD81">
        <v>1.51720792</v>
      </c>
      <c r="CE81">
        <v>0</v>
      </c>
      <c r="CF81">
        <v>1.35621099</v>
      </c>
      <c r="CG81">
        <v>1.2931591</v>
      </c>
      <c r="CK81">
        <v>385</v>
      </c>
      <c r="CL81">
        <v>2.29945275</v>
      </c>
      <c r="CM81">
        <v>5.38740406</v>
      </c>
      <c r="CN81">
        <v>385</v>
      </c>
      <c r="CO81">
        <v>2.11373089</v>
      </c>
      <c r="CP81">
        <v>2.50410647</v>
      </c>
      <c r="CQ81">
        <v>385</v>
      </c>
      <c r="CR81">
        <v>3.1878935</v>
      </c>
      <c r="CS81">
        <v>5.17419006</v>
      </c>
      <c r="CT81">
        <v>385</v>
      </c>
      <c r="CU81">
        <v>3.14970804</v>
      </c>
      <c r="CV81">
        <v>4.98429153</v>
      </c>
      <c r="CW81">
        <v>385</v>
      </c>
      <c r="CX81">
        <v>4.72507569</v>
      </c>
      <c r="CY81">
        <v>8.48235412</v>
      </c>
    </row>
    <row r="82" spans="20:103">
      <c r="T82">
        <v>40.419</v>
      </c>
      <c r="U82">
        <v>1.13473694419358</v>
      </c>
      <c r="V82">
        <v>40.419</v>
      </c>
      <c r="W82">
        <v>1.14564174337638</v>
      </c>
      <c r="X82">
        <v>40.419</v>
      </c>
      <c r="Y82">
        <v>1.15195574490568</v>
      </c>
      <c r="Z82">
        <v>40.419</v>
      </c>
      <c r="AA82">
        <v>1.15400669778528</v>
      </c>
      <c r="AB82">
        <v>40.419</v>
      </c>
      <c r="AC82">
        <v>1.11212802924018</v>
      </c>
      <c r="AE82">
        <v>40.419</v>
      </c>
      <c r="AF82">
        <v>-1697.02525634951</v>
      </c>
      <c r="AG82">
        <v>-1941.18367019529</v>
      </c>
      <c r="AH82">
        <v>-1891.9597563031</v>
      </c>
      <c r="AI82">
        <v>-1760.48598066806</v>
      </c>
      <c r="AJ82">
        <v>-1855.71669866733</v>
      </c>
      <c r="AM82">
        <v>400</v>
      </c>
      <c r="AN82">
        <v>5.25130815</v>
      </c>
      <c r="AO82">
        <v>5.63841213</v>
      </c>
      <c r="AP82">
        <v>4.7851625</v>
      </c>
      <c r="AQ82">
        <v>4.52706738</v>
      </c>
      <c r="AR82">
        <v>4.36598774</v>
      </c>
      <c r="BF82">
        <v>3.925</v>
      </c>
      <c r="BG82">
        <v>0.35879915</v>
      </c>
      <c r="BH82">
        <v>3.925</v>
      </c>
      <c r="BI82">
        <v>7.56348605</v>
      </c>
      <c r="BJ82">
        <v>3.925</v>
      </c>
      <c r="BK82">
        <v>0.23921759</v>
      </c>
      <c r="BL82">
        <v>3.925</v>
      </c>
      <c r="BM82">
        <v>10.53644764</v>
      </c>
      <c r="BN82">
        <v>3.925</v>
      </c>
      <c r="BO82">
        <v>0.2989302</v>
      </c>
      <c r="BP82">
        <v>3.925</v>
      </c>
      <c r="BQ82">
        <v>11.0075577</v>
      </c>
      <c r="BR82">
        <v>3.925</v>
      </c>
      <c r="BS82">
        <v>0.19631857</v>
      </c>
      <c r="BT82">
        <v>3.925</v>
      </c>
      <c r="BU82">
        <v>8.81252264</v>
      </c>
      <c r="BV82">
        <v>3.925</v>
      </c>
      <c r="BW82">
        <v>0.30247193</v>
      </c>
      <c r="BX82">
        <v>3.925</v>
      </c>
      <c r="BY82">
        <v>10.78773516</v>
      </c>
      <c r="CB82">
        <v>3.925</v>
      </c>
      <c r="CC82">
        <v>4.96817221</v>
      </c>
      <c r="CD82">
        <v>2.14425952</v>
      </c>
      <c r="CE82">
        <v>0</v>
      </c>
      <c r="CF82">
        <v>2.20313066</v>
      </c>
      <c r="CG82">
        <v>1.85356274</v>
      </c>
      <c r="CK82">
        <v>390</v>
      </c>
      <c r="CL82">
        <v>2.37275028</v>
      </c>
      <c r="CM82">
        <v>5.48639797</v>
      </c>
      <c r="CN82">
        <v>390</v>
      </c>
      <c r="CO82">
        <v>2.1035657</v>
      </c>
      <c r="CP82">
        <v>2.51561916</v>
      </c>
      <c r="CQ82">
        <v>390</v>
      </c>
      <c r="CR82">
        <v>3.28437864</v>
      </c>
      <c r="CS82">
        <v>5.21277219</v>
      </c>
      <c r="CT82">
        <v>390</v>
      </c>
      <c r="CU82">
        <v>3.20561253</v>
      </c>
      <c r="CV82">
        <v>5.01011879</v>
      </c>
      <c r="CW82">
        <v>390</v>
      </c>
      <c r="CX82">
        <v>4.71429557</v>
      </c>
      <c r="CY82">
        <v>8.53392192</v>
      </c>
    </row>
    <row r="83" spans="20:103">
      <c r="T83">
        <v>40.918</v>
      </c>
      <c r="U83">
        <v>1.13175074709672</v>
      </c>
      <c r="V83">
        <v>40.918</v>
      </c>
      <c r="W83">
        <v>1.14774665903656</v>
      </c>
      <c r="X83">
        <v>40.918</v>
      </c>
      <c r="Y83">
        <v>1.15102394838702</v>
      </c>
      <c r="Z83">
        <v>40.918</v>
      </c>
      <c r="AA83">
        <v>1.15268615530338</v>
      </c>
      <c r="AB83">
        <v>40.918</v>
      </c>
      <c r="AC83">
        <v>1.11506109571753</v>
      </c>
      <c r="AE83">
        <v>40.918</v>
      </c>
      <c r="AF83">
        <v>-1629.5424109368</v>
      </c>
      <c r="AG83">
        <v>-1916.7895970446</v>
      </c>
      <c r="AH83">
        <v>-1889.81528706841</v>
      </c>
      <c r="AI83">
        <v>-1810.34445570102</v>
      </c>
      <c r="AJ83">
        <v>-1958.88499722864</v>
      </c>
      <c r="AM83">
        <v>405</v>
      </c>
      <c r="AN83">
        <v>5.23318275</v>
      </c>
      <c r="AO83">
        <v>5.67242162</v>
      </c>
      <c r="AP83">
        <v>4.79379602</v>
      </c>
      <c r="AQ83">
        <v>4.52315557</v>
      </c>
      <c r="AR83">
        <v>4.35822683</v>
      </c>
      <c r="BF83">
        <v>3.975</v>
      </c>
      <c r="BG83">
        <v>0.37781601</v>
      </c>
      <c r="BH83">
        <v>3.975</v>
      </c>
      <c r="BI83">
        <v>8.025092</v>
      </c>
      <c r="BJ83">
        <v>3.975</v>
      </c>
      <c r="BK83">
        <v>0.21203406</v>
      </c>
      <c r="BL83">
        <v>3.975</v>
      </c>
      <c r="BM83">
        <v>10.16491297</v>
      </c>
      <c r="BN83">
        <v>3.975</v>
      </c>
      <c r="BO83">
        <v>0.36965321</v>
      </c>
      <c r="BP83">
        <v>3.975</v>
      </c>
      <c r="BQ83">
        <v>13.22576524</v>
      </c>
      <c r="BR83">
        <v>3.975</v>
      </c>
      <c r="BS83">
        <v>0.19850016</v>
      </c>
      <c r="BT83">
        <v>3.975</v>
      </c>
      <c r="BU83">
        <v>13.10313732</v>
      </c>
      <c r="BV83">
        <v>3.975</v>
      </c>
      <c r="BW83">
        <v>0.25175289</v>
      </c>
      <c r="BX83">
        <v>3.975</v>
      </c>
      <c r="BY83">
        <v>9.10841963</v>
      </c>
      <c r="CB83">
        <v>3.975</v>
      </c>
      <c r="CC83">
        <v>3.10881942</v>
      </c>
      <c r="CD83">
        <v>1.80228953</v>
      </c>
      <c r="CE83">
        <v>0</v>
      </c>
      <c r="CF83">
        <v>1.93324977</v>
      </c>
      <c r="CG83">
        <v>1.66264803</v>
      </c>
      <c r="CK83">
        <v>395</v>
      </c>
      <c r="CL83">
        <v>2.42824016</v>
      </c>
      <c r="CM83">
        <v>5.6072306</v>
      </c>
      <c r="CN83">
        <v>395</v>
      </c>
      <c r="CO83">
        <v>2.17323158</v>
      </c>
      <c r="CP83">
        <v>2.57177354</v>
      </c>
      <c r="CQ83">
        <v>395</v>
      </c>
      <c r="CR83">
        <v>3.38687527</v>
      </c>
      <c r="CS83">
        <v>5.39593624</v>
      </c>
      <c r="CT83">
        <v>395</v>
      </c>
      <c r="CU83">
        <v>3.30194682</v>
      </c>
      <c r="CV83">
        <v>5.18673071</v>
      </c>
      <c r="CW83">
        <v>395</v>
      </c>
      <c r="CX83">
        <v>4.82869807</v>
      </c>
      <c r="CY83">
        <v>8.62363343</v>
      </c>
    </row>
    <row r="84" spans="20:103">
      <c r="T84">
        <v>41.417</v>
      </c>
      <c r="U84">
        <v>1.13532144660123</v>
      </c>
      <c r="V84">
        <v>41.417</v>
      </c>
      <c r="W84">
        <v>1.14817159461366</v>
      </c>
      <c r="X84">
        <v>41.417</v>
      </c>
      <c r="Y84">
        <v>1.14964495992537</v>
      </c>
      <c r="Z84">
        <v>41.417</v>
      </c>
      <c r="AA84">
        <v>1.14617365586619</v>
      </c>
      <c r="AB84">
        <v>41.417</v>
      </c>
      <c r="AC84">
        <v>1.1198461215956</v>
      </c>
      <c r="AE84">
        <v>41.417</v>
      </c>
      <c r="AF84">
        <v>-1760.84999517681</v>
      </c>
      <c r="AG84">
        <v>-1929.87900377662</v>
      </c>
      <c r="AH84">
        <v>-1765.52261336131</v>
      </c>
      <c r="AI84">
        <v>-1846.71452468362</v>
      </c>
      <c r="AJ84">
        <v>-1987.89886053184</v>
      </c>
      <c r="AM84">
        <v>410</v>
      </c>
      <c r="AN84">
        <v>5.22188779</v>
      </c>
      <c r="AO84">
        <v>5.67269742</v>
      </c>
      <c r="AP84">
        <v>4.80016842</v>
      </c>
      <c r="AQ84">
        <v>4.5286691</v>
      </c>
      <c r="AR84">
        <v>4.37600369</v>
      </c>
      <c r="BF84">
        <v>4.025</v>
      </c>
      <c r="BG84">
        <v>0.34801616</v>
      </c>
      <c r="BH84">
        <v>4.025</v>
      </c>
      <c r="BI84">
        <v>8.46156949</v>
      </c>
      <c r="BJ84">
        <v>4.025</v>
      </c>
      <c r="BK84">
        <v>0.25505201</v>
      </c>
      <c r="BL84">
        <v>4.025</v>
      </c>
      <c r="BM84">
        <v>13.18343135</v>
      </c>
      <c r="BN84">
        <v>4.025</v>
      </c>
      <c r="BO84">
        <v>0.31892723</v>
      </c>
      <c r="BP84">
        <v>4.025</v>
      </c>
      <c r="BQ84">
        <v>13.21641387</v>
      </c>
      <c r="BR84">
        <v>4.025</v>
      </c>
      <c r="BS84">
        <v>0.2212562</v>
      </c>
      <c r="BT84">
        <v>4.025</v>
      </c>
      <c r="BU84">
        <v>9.00858439</v>
      </c>
      <c r="BV84">
        <v>4.025</v>
      </c>
      <c r="BW84">
        <v>0.25255244</v>
      </c>
      <c r="BX84">
        <v>4.025</v>
      </c>
      <c r="BY84">
        <v>9.41231361</v>
      </c>
      <c r="CB84">
        <v>4.025</v>
      </c>
      <c r="CC84">
        <v>3.17308856</v>
      </c>
      <c r="CD84">
        <v>1.68747921</v>
      </c>
      <c r="CE84">
        <v>0</v>
      </c>
      <c r="CF84">
        <v>1.18717779</v>
      </c>
      <c r="CG84">
        <v>0.91655488</v>
      </c>
      <c r="CK84">
        <v>400</v>
      </c>
      <c r="CL84">
        <v>2.42566397</v>
      </c>
      <c r="CM84">
        <v>5.6723883</v>
      </c>
      <c r="CN84">
        <v>400</v>
      </c>
      <c r="CO84">
        <v>2.17647161</v>
      </c>
      <c r="CP84">
        <v>2.57791171</v>
      </c>
      <c r="CQ84">
        <v>400</v>
      </c>
      <c r="CR84">
        <v>3.44125564</v>
      </c>
      <c r="CS84">
        <v>5.51241835</v>
      </c>
      <c r="CT84">
        <v>400</v>
      </c>
      <c r="CU84">
        <v>3.2732555</v>
      </c>
      <c r="CV84">
        <v>5.19714202</v>
      </c>
      <c r="CW84">
        <v>400</v>
      </c>
      <c r="CX84">
        <v>4.82078258</v>
      </c>
      <c r="CY84">
        <v>8.75387278</v>
      </c>
    </row>
    <row r="85" spans="20:103">
      <c r="T85">
        <v>41.916</v>
      </c>
      <c r="U85">
        <v>1.14586712532411</v>
      </c>
      <c r="V85">
        <v>41.916</v>
      </c>
      <c r="W85">
        <v>1.1435076587747</v>
      </c>
      <c r="X85">
        <v>41.916</v>
      </c>
      <c r="Y85">
        <v>1.15494172296171</v>
      </c>
      <c r="Z85">
        <v>41.916</v>
      </c>
      <c r="AA85">
        <v>1.15572353993358</v>
      </c>
      <c r="AB85">
        <v>41.916</v>
      </c>
      <c r="AC85">
        <v>1.12000118809577</v>
      </c>
      <c r="AE85">
        <v>41.916</v>
      </c>
      <c r="AF85">
        <v>-1813.9637528077</v>
      </c>
      <c r="AG85">
        <v>-1922.8999395078</v>
      </c>
      <c r="AH85">
        <v>-1710.0419225815</v>
      </c>
      <c r="AI85">
        <v>-1939.52190251071</v>
      </c>
      <c r="AJ85">
        <v>-1826.72259648461</v>
      </c>
      <c r="AM85">
        <v>415</v>
      </c>
      <c r="AN85">
        <v>5.21203455</v>
      </c>
      <c r="AO85">
        <v>5.66991936</v>
      </c>
      <c r="AP85">
        <v>4.79602241</v>
      </c>
      <c r="AQ85">
        <v>4.51998296</v>
      </c>
      <c r="AR85">
        <v>4.3659627</v>
      </c>
      <c r="BF85">
        <v>4.075</v>
      </c>
      <c r="BG85">
        <v>0.39278775</v>
      </c>
      <c r="BH85">
        <v>4.075</v>
      </c>
      <c r="BI85">
        <v>7.01692008</v>
      </c>
      <c r="BJ85">
        <v>4.075</v>
      </c>
      <c r="BK85">
        <v>0.19503012</v>
      </c>
      <c r="BL85">
        <v>4.075</v>
      </c>
      <c r="BM85">
        <v>13.78795721</v>
      </c>
      <c r="BN85">
        <v>4.075</v>
      </c>
      <c r="BO85">
        <v>0.35849766</v>
      </c>
      <c r="BP85">
        <v>4.075</v>
      </c>
      <c r="BQ85">
        <v>12.99723112</v>
      </c>
      <c r="BR85">
        <v>4.075</v>
      </c>
      <c r="BS85">
        <v>0.20911435</v>
      </c>
      <c r="BT85">
        <v>4.075</v>
      </c>
      <c r="BU85">
        <v>13.6942918</v>
      </c>
      <c r="BV85">
        <v>4.075</v>
      </c>
      <c r="BW85">
        <v>0.20532744</v>
      </c>
      <c r="BX85">
        <v>4.075</v>
      </c>
      <c r="BY85">
        <v>9.28593355</v>
      </c>
      <c r="CB85">
        <v>4.075</v>
      </c>
      <c r="CC85">
        <v>3.23328671</v>
      </c>
      <c r="CD85">
        <v>0.54877442</v>
      </c>
      <c r="CE85">
        <v>0</v>
      </c>
      <c r="CF85">
        <v>0.13626161</v>
      </c>
      <c r="CG85">
        <v>0.55027754</v>
      </c>
      <c r="CK85">
        <v>405</v>
      </c>
      <c r="CL85">
        <v>2.46261535</v>
      </c>
      <c r="CM85">
        <v>5.82103133</v>
      </c>
      <c r="CN85">
        <v>405</v>
      </c>
      <c r="CO85">
        <v>2.23101316</v>
      </c>
      <c r="CP85">
        <v>2.62470166</v>
      </c>
      <c r="CQ85">
        <v>405</v>
      </c>
      <c r="CR85">
        <v>3.4214608</v>
      </c>
      <c r="CS85">
        <v>5.58478177</v>
      </c>
      <c r="CT85">
        <v>405</v>
      </c>
      <c r="CU85">
        <v>3.35265836</v>
      </c>
      <c r="CV85">
        <v>5.34327914</v>
      </c>
      <c r="CW85">
        <v>405</v>
      </c>
      <c r="CX85">
        <v>4.9233139</v>
      </c>
      <c r="CY85">
        <v>8.77586522</v>
      </c>
    </row>
    <row r="86" spans="20:103">
      <c r="T86">
        <v>42.415</v>
      </c>
      <c r="U86">
        <v>1.14479454129184</v>
      </c>
      <c r="V86">
        <v>42.415</v>
      </c>
      <c r="W86">
        <v>1.14370679418838</v>
      </c>
      <c r="X86">
        <v>42.415</v>
      </c>
      <c r="Y86">
        <v>1.15638419995241</v>
      </c>
      <c r="Z86">
        <v>42.415</v>
      </c>
      <c r="AA86">
        <v>1.15725111437107</v>
      </c>
      <c r="AB86">
        <v>42.415</v>
      </c>
      <c r="AC86">
        <v>1.12152467864604</v>
      </c>
      <c r="AE86">
        <v>42.415</v>
      </c>
      <c r="AF86">
        <v>-1864.95553505959</v>
      </c>
      <c r="AG86">
        <v>-1857.22772711006</v>
      </c>
      <c r="AH86">
        <v>-1814.27742914152</v>
      </c>
      <c r="AI86">
        <v>-1878.85853628391</v>
      </c>
      <c r="AJ86">
        <v>-1750.03657743298</v>
      </c>
      <c r="AM86">
        <v>420</v>
      </c>
      <c r="AN86">
        <v>5.23622261</v>
      </c>
      <c r="AO86">
        <v>5.67821</v>
      </c>
      <c r="AP86">
        <v>4.79489929</v>
      </c>
      <c r="AQ86">
        <v>4.52622966</v>
      </c>
      <c r="AR86">
        <v>4.35880798</v>
      </c>
      <c r="BF86">
        <v>4.125</v>
      </c>
      <c r="BG86">
        <v>0.44179651</v>
      </c>
      <c r="BH86">
        <v>4.125</v>
      </c>
      <c r="BI86">
        <v>7.35136404</v>
      </c>
      <c r="BJ86">
        <v>4.125</v>
      </c>
      <c r="BK86">
        <v>0.32159348</v>
      </c>
      <c r="BL86">
        <v>4.125</v>
      </c>
      <c r="BM86">
        <v>11.04575142</v>
      </c>
      <c r="BN86">
        <v>4.125</v>
      </c>
      <c r="BO86">
        <v>0.35646071</v>
      </c>
      <c r="BP86">
        <v>4.125</v>
      </c>
      <c r="BQ86">
        <v>13.08672874</v>
      </c>
      <c r="BR86">
        <v>4.125</v>
      </c>
      <c r="BS86">
        <v>0.29623892</v>
      </c>
      <c r="BT86">
        <v>4.125</v>
      </c>
      <c r="BU86">
        <v>13.26459126</v>
      </c>
      <c r="BV86">
        <v>4.125</v>
      </c>
      <c r="BW86">
        <v>0.30057005</v>
      </c>
      <c r="BX86">
        <v>4.125</v>
      </c>
      <c r="BY86">
        <v>10.06909675</v>
      </c>
      <c r="CB86">
        <v>4.125</v>
      </c>
      <c r="CC86">
        <v>2.95397276</v>
      </c>
      <c r="CD86">
        <v>0.46860764</v>
      </c>
      <c r="CE86">
        <v>0</v>
      </c>
      <c r="CF86">
        <v>0.46542425</v>
      </c>
      <c r="CG86">
        <v>0.6041458</v>
      </c>
      <c r="CK86">
        <v>410</v>
      </c>
      <c r="CL86">
        <v>2.50770101</v>
      </c>
      <c r="CM86">
        <v>5.96446395</v>
      </c>
      <c r="CN86">
        <v>410</v>
      </c>
      <c r="CO86">
        <v>2.27576291</v>
      </c>
      <c r="CP86">
        <v>2.64644223</v>
      </c>
      <c r="CQ86">
        <v>410</v>
      </c>
      <c r="CR86">
        <v>3.52787742</v>
      </c>
      <c r="CS86">
        <v>5.70643761</v>
      </c>
      <c r="CT86">
        <v>410</v>
      </c>
      <c r="CU86">
        <v>3.45008012</v>
      </c>
      <c r="CV86">
        <v>5.44943524</v>
      </c>
      <c r="CW86">
        <v>410</v>
      </c>
      <c r="CX86">
        <v>5.05315575</v>
      </c>
      <c r="CY86">
        <v>8.95838728</v>
      </c>
    </row>
    <row r="87" spans="20:103">
      <c r="T87">
        <v>42.914</v>
      </c>
      <c r="U87">
        <v>1.14035992990605</v>
      </c>
      <c r="V87">
        <v>42.914</v>
      </c>
      <c r="W87">
        <v>1.15152128368612</v>
      </c>
      <c r="X87">
        <v>42.914</v>
      </c>
      <c r="Y87">
        <v>1.14859035466372</v>
      </c>
      <c r="Z87">
        <v>42.914</v>
      </c>
      <c r="AA87">
        <v>1.15828490283353</v>
      </c>
      <c r="AB87">
        <v>42.914</v>
      </c>
      <c r="AC87">
        <v>1.12431448388686</v>
      </c>
      <c r="AE87">
        <v>42.914</v>
      </c>
      <c r="AF87">
        <v>-1751.95370452512</v>
      </c>
      <c r="AG87">
        <v>-1870.23541352443</v>
      </c>
      <c r="AH87">
        <v>-1905.70163587741</v>
      </c>
      <c r="AI87">
        <v>-1841.43627080007</v>
      </c>
      <c r="AJ87">
        <v>-1835.80470433176</v>
      </c>
      <c r="AM87">
        <v>425</v>
      </c>
      <c r="AN87">
        <v>5.23800609</v>
      </c>
      <c r="AO87">
        <v>5.67241321</v>
      </c>
      <c r="AP87">
        <v>4.77883995</v>
      </c>
      <c r="AQ87">
        <v>4.52938182</v>
      </c>
      <c r="AR87">
        <v>4.37028295</v>
      </c>
      <c r="BF87">
        <v>4.175</v>
      </c>
      <c r="BG87">
        <v>0.36151248</v>
      </c>
      <c r="BH87">
        <v>4.175</v>
      </c>
      <c r="BI87">
        <v>8.15940019</v>
      </c>
      <c r="BJ87">
        <v>4.175</v>
      </c>
      <c r="BK87">
        <v>0.31393685</v>
      </c>
      <c r="BL87">
        <v>4.175</v>
      </c>
      <c r="BM87">
        <v>11.46894618</v>
      </c>
      <c r="BN87">
        <v>4.175</v>
      </c>
      <c r="BO87">
        <v>0.53484885</v>
      </c>
      <c r="BP87">
        <v>4.175</v>
      </c>
      <c r="BQ87">
        <v>11.39936895</v>
      </c>
      <c r="BR87">
        <v>4.175</v>
      </c>
      <c r="BS87">
        <v>0.30203866</v>
      </c>
      <c r="BT87">
        <v>4.175</v>
      </c>
      <c r="BU87">
        <v>12.55934568</v>
      </c>
      <c r="BV87">
        <v>4.175</v>
      </c>
      <c r="BW87">
        <v>0.2542921</v>
      </c>
      <c r="BX87">
        <v>4.175</v>
      </c>
      <c r="BY87">
        <v>7.07714482</v>
      </c>
      <c r="CB87">
        <v>4.175</v>
      </c>
      <c r="CC87">
        <v>2.88364344</v>
      </c>
      <c r="CD87">
        <v>0.65350121</v>
      </c>
      <c r="CE87">
        <v>0</v>
      </c>
      <c r="CF87">
        <v>0.45434325</v>
      </c>
      <c r="CG87">
        <v>0.78634942</v>
      </c>
      <c r="CK87">
        <v>415</v>
      </c>
      <c r="CL87">
        <v>2.59342803</v>
      </c>
      <c r="CM87">
        <v>6.10162866</v>
      </c>
      <c r="CN87">
        <v>415</v>
      </c>
      <c r="CO87">
        <v>2.22813751</v>
      </c>
      <c r="CP87">
        <v>2.5933298</v>
      </c>
      <c r="CQ87">
        <v>415</v>
      </c>
      <c r="CR87">
        <v>3.66064619</v>
      </c>
      <c r="CS87">
        <v>5.76622876</v>
      </c>
      <c r="CT87">
        <v>415</v>
      </c>
      <c r="CU87">
        <v>3.5492252</v>
      </c>
      <c r="CV87">
        <v>5.57139351</v>
      </c>
      <c r="CW87">
        <v>415</v>
      </c>
      <c r="CX87">
        <v>5.15510933</v>
      </c>
      <c r="CY87">
        <v>9.10297156</v>
      </c>
    </row>
    <row r="88" spans="20:103">
      <c r="T88">
        <v>43.413</v>
      </c>
      <c r="U88">
        <v>1.15361322026662</v>
      </c>
      <c r="V88">
        <v>43.413</v>
      </c>
      <c r="W88">
        <v>1.15075962992362</v>
      </c>
      <c r="X88">
        <v>43.413</v>
      </c>
      <c r="Y88">
        <v>1.14774381383906</v>
      </c>
      <c r="Z88">
        <v>43.413</v>
      </c>
      <c r="AA88">
        <v>1.16708429811332</v>
      </c>
      <c r="AB88">
        <v>43.413</v>
      </c>
      <c r="AC88">
        <v>1.12078832501547</v>
      </c>
      <c r="AE88">
        <v>43.413</v>
      </c>
      <c r="AF88">
        <v>-1701.75335761809</v>
      </c>
      <c r="AG88">
        <v>-1947.85341413602</v>
      </c>
      <c r="AH88">
        <v>-1921.91464361177</v>
      </c>
      <c r="AI88">
        <v>-1855.38172301294</v>
      </c>
      <c r="AJ88">
        <v>-1989.22019338436</v>
      </c>
      <c r="AM88">
        <v>430</v>
      </c>
      <c r="AN88">
        <v>5.22932131</v>
      </c>
      <c r="AO88">
        <v>5.65775988</v>
      </c>
      <c r="AP88">
        <v>4.77395405</v>
      </c>
      <c r="AQ88">
        <v>4.51420142</v>
      </c>
      <c r="AR88">
        <v>4.37042637</v>
      </c>
      <c r="BF88">
        <v>4.225</v>
      </c>
      <c r="BG88">
        <v>0.35919981</v>
      </c>
      <c r="BH88">
        <v>4.225</v>
      </c>
      <c r="BI88">
        <v>7.48745801</v>
      </c>
      <c r="BJ88">
        <v>4.225</v>
      </c>
      <c r="BK88">
        <v>0.3753679</v>
      </c>
      <c r="BL88">
        <v>4.225</v>
      </c>
      <c r="BM88">
        <v>10.91194478</v>
      </c>
      <c r="BN88">
        <v>4.225</v>
      </c>
      <c r="BO88">
        <v>0.47821834</v>
      </c>
      <c r="BP88">
        <v>4.225</v>
      </c>
      <c r="BQ88">
        <v>13.43415986</v>
      </c>
      <c r="BR88">
        <v>4.225</v>
      </c>
      <c r="BS88">
        <v>0.31375765</v>
      </c>
      <c r="BT88">
        <v>4.225</v>
      </c>
      <c r="BU88">
        <v>14.16521685</v>
      </c>
      <c r="BV88">
        <v>4.225</v>
      </c>
      <c r="BW88">
        <v>0.32471182</v>
      </c>
      <c r="BX88">
        <v>4.225</v>
      </c>
      <c r="BY88">
        <v>5.66287863</v>
      </c>
      <c r="CB88">
        <v>4.225</v>
      </c>
      <c r="CC88">
        <v>2.68780544</v>
      </c>
      <c r="CD88">
        <v>0.8933756</v>
      </c>
      <c r="CE88">
        <v>0</v>
      </c>
      <c r="CF88">
        <v>0.19013714</v>
      </c>
      <c r="CG88">
        <v>1.15177192</v>
      </c>
      <c r="CK88">
        <v>420</v>
      </c>
      <c r="CL88">
        <v>2.66886609</v>
      </c>
      <c r="CM88">
        <v>6.24017151</v>
      </c>
      <c r="CN88">
        <v>420</v>
      </c>
      <c r="CO88">
        <v>2.20883976</v>
      </c>
      <c r="CP88">
        <v>2.59350646</v>
      </c>
      <c r="CQ88">
        <v>420</v>
      </c>
      <c r="CR88">
        <v>3.76251728</v>
      </c>
      <c r="CS88">
        <v>5.83547425</v>
      </c>
      <c r="CT88">
        <v>420</v>
      </c>
      <c r="CU88">
        <v>3.65765786</v>
      </c>
      <c r="CV88">
        <v>5.69470138</v>
      </c>
      <c r="CW88">
        <v>420</v>
      </c>
      <c r="CX88">
        <v>5.28093824</v>
      </c>
      <c r="CY88">
        <v>9.21474034</v>
      </c>
    </row>
    <row r="89" spans="20:103">
      <c r="T89">
        <v>43.912</v>
      </c>
      <c r="U89">
        <v>1.14641639049121</v>
      </c>
      <c r="V89">
        <v>43.912</v>
      </c>
      <c r="W89">
        <v>1.153341655349</v>
      </c>
      <c r="X89">
        <v>43.912</v>
      </c>
      <c r="Y89">
        <v>1.13468497494025</v>
      </c>
      <c r="Z89">
        <v>43.912</v>
      </c>
      <c r="AA89">
        <v>1.1541388116129</v>
      </c>
      <c r="AB89">
        <v>43.912</v>
      </c>
      <c r="AC89">
        <v>1.12010261383493</v>
      </c>
      <c r="AE89">
        <v>43.912</v>
      </c>
      <c r="AF89">
        <v>-1760.6968921539</v>
      </c>
      <c r="AG89">
        <v>-1957.47903111954</v>
      </c>
      <c r="AH89">
        <v>-1728.69774836429</v>
      </c>
      <c r="AI89">
        <v>-1875.86592594124</v>
      </c>
      <c r="AJ89">
        <v>-2026.252753392</v>
      </c>
      <c r="AM89">
        <v>435</v>
      </c>
      <c r="AN89">
        <v>5.23965222</v>
      </c>
      <c r="AO89">
        <v>5.66173179</v>
      </c>
      <c r="AP89">
        <v>4.78096984</v>
      </c>
      <c r="AQ89">
        <v>4.53045637</v>
      </c>
      <c r="AR89">
        <v>4.36687171</v>
      </c>
      <c r="BF89">
        <v>4.275</v>
      </c>
      <c r="BG89">
        <v>0.37504303</v>
      </c>
      <c r="BH89">
        <v>4.275</v>
      </c>
      <c r="BI89">
        <v>6.37573145</v>
      </c>
      <c r="BJ89">
        <v>4.275</v>
      </c>
      <c r="BK89">
        <v>0.34219622</v>
      </c>
      <c r="BL89">
        <v>4.275</v>
      </c>
      <c r="BM89">
        <v>12.52804812</v>
      </c>
      <c r="BN89">
        <v>4.275</v>
      </c>
      <c r="BO89">
        <v>0.45480545</v>
      </c>
      <c r="BP89">
        <v>4.275</v>
      </c>
      <c r="BQ89">
        <v>10.30994783</v>
      </c>
      <c r="BR89">
        <v>4.275</v>
      </c>
      <c r="BS89">
        <v>0.44130427</v>
      </c>
      <c r="BT89">
        <v>4.275</v>
      </c>
      <c r="BU89">
        <v>11.32864834</v>
      </c>
      <c r="BV89">
        <v>4.275</v>
      </c>
      <c r="BW89">
        <v>0.2798477</v>
      </c>
      <c r="BX89">
        <v>4.275</v>
      </c>
      <c r="BY89">
        <v>5.71868774</v>
      </c>
      <c r="CB89">
        <v>4.275</v>
      </c>
      <c r="CC89">
        <v>2.75031553</v>
      </c>
      <c r="CD89">
        <v>0.56095738</v>
      </c>
      <c r="CE89">
        <v>0</v>
      </c>
      <c r="CF89">
        <v>0.43333628</v>
      </c>
      <c r="CG89">
        <v>1.12498775</v>
      </c>
      <c r="CK89">
        <v>425</v>
      </c>
      <c r="CL89">
        <v>2.72806914</v>
      </c>
      <c r="CM89">
        <v>6.35634361</v>
      </c>
      <c r="CN89">
        <v>425</v>
      </c>
      <c r="CO89">
        <v>2.23145625</v>
      </c>
      <c r="CP89">
        <v>2.58309403</v>
      </c>
      <c r="CQ89">
        <v>425</v>
      </c>
      <c r="CR89">
        <v>3.80583978</v>
      </c>
      <c r="CS89">
        <v>6.04151863</v>
      </c>
      <c r="CT89">
        <v>425</v>
      </c>
      <c r="CU89">
        <v>3.80699682</v>
      </c>
      <c r="CV89">
        <v>5.8909519</v>
      </c>
      <c r="CW89">
        <v>425</v>
      </c>
      <c r="CX89">
        <v>5.27957337</v>
      </c>
      <c r="CY89">
        <v>9.27285844</v>
      </c>
    </row>
    <row r="90" spans="20:103">
      <c r="T90">
        <v>44.411</v>
      </c>
      <c r="U90">
        <v>1.13861856019321</v>
      </c>
      <c r="V90">
        <v>44.411</v>
      </c>
      <c r="W90">
        <v>1.14951750206138</v>
      </c>
      <c r="X90">
        <v>44.411</v>
      </c>
      <c r="Y90">
        <v>1.15134933246129</v>
      </c>
      <c r="Z90">
        <v>44.411</v>
      </c>
      <c r="AA90">
        <v>1.1588195210346</v>
      </c>
      <c r="AB90">
        <v>44.411</v>
      </c>
      <c r="AC90">
        <v>1.12563231135403</v>
      </c>
      <c r="AE90">
        <v>44.411</v>
      </c>
      <c r="AF90">
        <v>-1817.01151572948</v>
      </c>
      <c r="AG90">
        <v>-1877.62619094589</v>
      </c>
      <c r="AH90">
        <v>-1794.60957153783</v>
      </c>
      <c r="AI90">
        <v>-1884.80293813448</v>
      </c>
      <c r="AJ90">
        <v>-1790.86075268858</v>
      </c>
      <c r="AM90">
        <v>440</v>
      </c>
      <c r="AN90">
        <v>5.23861191</v>
      </c>
      <c r="AO90">
        <v>5.6889822</v>
      </c>
      <c r="AP90">
        <v>4.79966711</v>
      </c>
      <c r="AQ90">
        <v>4.5175082</v>
      </c>
      <c r="AR90">
        <v>4.36479387</v>
      </c>
      <c r="BF90">
        <v>4.325</v>
      </c>
      <c r="BG90">
        <v>0.5496326</v>
      </c>
      <c r="BH90">
        <v>4.325</v>
      </c>
      <c r="BI90">
        <v>6.59559118</v>
      </c>
      <c r="BJ90">
        <v>4.325</v>
      </c>
      <c r="BK90">
        <v>0.38209142</v>
      </c>
      <c r="BL90">
        <v>4.325</v>
      </c>
      <c r="BM90">
        <v>11.23527881</v>
      </c>
      <c r="BN90">
        <v>4.325</v>
      </c>
      <c r="BO90">
        <v>0.45035535</v>
      </c>
      <c r="BP90">
        <v>4.325</v>
      </c>
      <c r="BQ90">
        <v>7.50892494</v>
      </c>
      <c r="BR90">
        <v>4.325</v>
      </c>
      <c r="BS90">
        <v>0.39522981</v>
      </c>
      <c r="BT90">
        <v>4.325</v>
      </c>
      <c r="BU90">
        <v>12.15690973</v>
      </c>
      <c r="BV90">
        <v>4.325</v>
      </c>
      <c r="BW90">
        <v>0.39493235</v>
      </c>
      <c r="BX90">
        <v>4.325</v>
      </c>
      <c r="BY90">
        <v>4.8544781</v>
      </c>
      <c r="CB90">
        <v>4.325</v>
      </c>
      <c r="CC90">
        <v>2.62602241</v>
      </c>
      <c r="CD90">
        <v>1.46149968</v>
      </c>
      <c r="CE90">
        <v>0</v>
      </c>
      <c r="CF90">
        <v>0.54433924</v>
      </c>
      <c r="CG90">
        <v>0.67168879</v>
      </c>
      <c r="CK90">
        <v>430</v>
      </c>
      <c r="CL90">
        <v>2.85802402</v>
      </c>
      <c r="CM90">
        <v>6.57603969</v>
      </c>
      <c r="CN90">
        <v>430</v>
      </c>
      <c r="CO90">
        <v>2.20099514</v>
      </c>
      <c r="CP90">
        <v>2.63908843</v>
      </c>
      <c r="CQ90">
        <v>430</v>
      </c>
      <c r="CR90">
        <v>4.03443852</v>
      </c>
      <c r="CS90">
        <v>6.1436102</v>
      </c>
      <c r="CT90">
        <v>430</v>
      </c>
      <c r="CU90">
        <v>3.83197457</v>
      </c>
      <c r="CV90">
        <v>5.89939684</v>
      </c>
      <c r="CW90">
        <v>430</v>
      </c>
      <c r="CX90">
        <v>5.38455479</v>
      </c>
      <c r="CY90">
        <v>9.40159097</v>
      </c>
    </row>
    <row r="91" spans="20:103">
      <c r="T91">
        <v>44.91</v>
      </c>
      <c r="U91">
        <v>1.14356500302493</v>
      </c>
      <c r="V91">
        <v>44.91</v>
      </c>
      <c r="W91">
        <v>1.15347452482922</v>
      </c>
      <c r="X91">
        <v>44.91</v>
      </c>
      <c r="Y91">
        <v>1.15064019995722</v>
      </c>
      <c r="Z91">
        <v>44.91</v>
      </c>
      <c r="AA91">
        <v>1.15639328941278</v>
      </c>
      <c r="AB91">
        <v>44.91</v>
      </c>
      <c r="AC91">
        <v>1.12954165446665</v>
      </c>
      <c r="AE91">
        <v>44.91</v>
      </c>
      <c r="AF91">
        <v>-1790.50647092058</v>
      </c>
      <c r="AG91">
        <v>-1920.71333982582</v>
      </c>
      <c r="AH91">
        <v>-1779.52744352516</v>
      </c>
      <c r="AI91">
        <v>-1880.22312765513</v>
      </c>
      <c r="AJ91">
        <v>-1773.20324714314</v>
      </c>
      <c r="AM91">
        <v>445</v>
      </c>
      <c r="AN91">
        <v>5.24499524</v>
      </c>
      <c r="AO91">
        <v>5.68507424</v>
      </c>
      <c r="AP91">
        <v>4.78394727</v>
      </c>
      <c r="AQ91">
        <v>4.51123824</v>
      </c>
      <c r="AR91">
        <v>4.37617267</v>
      </c>
      <c r="BF91">
        <v>4.375</v>
      </c>
      <c r="BG91">
        <v>0.49093577</v>
      </c>
      <c r="BH91">
        <v>4.375</v>
      </c>
      <c r="BI91">
        <v>5.72950925</v>
      </c>
      <c r="BJ91">
        <v>4.375</v>
      </c>
      <c r="BK91">
        <v>0.3734079</v>
      </c>
      <c r="BL91">
        <v>4.375</v>
      </c>
      <c r="BM91">
        <v>7.94483657</v>
      </c>
      <c r="BN91">
        <v>4.375</v>
      </c>
      <c r="BO91">
        <v>0.46359354</v>
      </c>
      <c r="BP91">
        <v>4.375</v>
      </c>
      <c r="BQ91">
        <v>5.19048718</v>
      </c>
      <c r="BR91">
        <v>4.375</v>
      </c>
      <c r="BS91">
        <v>0.40380442</v>
      </c>
      <c r="BT91">
        <v>4.375</v>
      </c>
      <c r="BU91">
        <v>8.86614056</v>
      </c>
      <c r="BV91">
        <v>4.375</v>
      </c>
      <c r="BW91">
        <v>0.32657901</v>
      </c>
      <c r="BX91">
        <v>4.375</v>
      </c>
      <c r="BY91">
        <v>2.95390712</v>
      </c>
      <c r="CB91">
        <v>4.375</v>
      </c>
      <c r="CC91">
        <v>1.9695188</v>
      </c>
      <c r="CD91">
        <v>1.07121392</v>
      </c>
      <c r="CE91">
        <v>0</v>
      </c>
      <c r="CF91">
        <v>0.70929125</v>
      </c>
      <c r="CG91">
        <v>1.25317272</v>
      </c>
      <c r="CK91">
        <v>435</v>
      </c>
      <c r="CL91">
        <v>2.91479038</v>
      </c>
      <c r="CM91">
        <v>6.72849184</v>
      </c>
      <c r="CN91">
        <v>435</v>
      </c>
      <c r="CO91">
        <v>2.28372849</v>
      </c>
      <c r="CP91">
        <v>2.67371667</v>
      </c>
      <c r="CQ91">
        <v>435</v>
      </c>
      <c r="CR91">
        <v>4.09863949</v>
      </c>
      <c r="CS91">
        <v>6.33374812</v>
      </c>
      <c r="CT91">
        <v>435</v>
      </c>
      <c r="CU91">
        <v>3.89010988</v>
      </c>
      <c r="CV91">
        <v>5.98531166</v>
      </c>
      <c r="CW91">
        <v>435</v>
      </c>
      <c r="CX91">
        <v>5.54548921</v>
      </c>
      <c r="CY91">
        <v>9.62720436</v>
      </c>
    </row>
    <row r="92" spans="20:103">
      <c r="T92">
        <v>45.409</v>
      </c>
      <c r="U92">
        <v>1.14141719986863</v>
      </c>
      <c r="V92">
        <v>45.409</v>
      </c>
      <c r="W92">
        <v>1.15615323941146</v>
      </c>
      <c r="X92">
        <v>45.409</v>
      </c>
      <c r="Y92">
        <v>1.15082791082648</v>
      </c>
      <c r="Z92">
        <v>45.409</v>
      </c>
      <c r="AA92">
        <v>1.16033988516179</v>
      </c>
      <c r="AB92">
        <v>45.409</v>
      </c>
      <c r="AC92">
        <v>1.13220795494808</v>
      </c>
      <c r="AE92">
        <v>45.409</v>
      </c>
      <c r="AF92">
        <v>-1791.27165684537</v>
      </c>
      <c r="AG92">
        <v>-1936.78037414462</v>
      </c>
      <c r="AH92">
        <v>-1794.58079557034</v>
      </c>
      <c r="AI92">
        <v>-1913.18961571391</v>
      </c>
      <c r="AJ92">
        <v>-1878.82703589305</v>
      </c>
      <c r="AM92">
        <v>450</v>
      </c>
      <c r="AN92">
        <v>5.25362499</v>
      </c>
      <c r="AO92">
        <v>5.69414636</v>
      </c>
      <c r="AP92">
        <v>4.79973401</v>
      </c>
      <c r="AQ92">
        <v>4.51285802</v>
      </c>
      <c r="AR92">
        <v>4.36855613</v>
      </c>
      <c r="BF92">
        <v>4.425</v>
      </c>
      <c r="BG92">
        <v>0.47425805</v>
      </c>
      <c r="BH92">
        <v>4.425</v>
      </c>
      <c r="BI92">
        <v>5.68827361</v>
      </c>
      <c r="BJ92">
        <v>4.425</v>
      </c>
      <c r="BK92">
        <v>0.43916116</v>
      </c>
      <c r="BL92">
        <v>4.425</v>
      </c>
      <c r="BM92">
        <v>5.75928497</v>
      </c>
      <c r="BN92">
        <v>4.425</v>
      </c>
      <c r="BO92">
        <v>0.39007568</v>
      </c>
      <c r="BP92">
        <v>4.425</v>
      </c>
      <c r="BQ92">
        <v>3.9366093</v>
      </c>
      <c r="BR92">
        <v>4.425</v>
      </c>
      <c r="BS92">
        <v>0.38328909</v>
      </c>
      <c r="BT92">
        <v>4.425</v>
      </c>
      <c r="BU92">
        <v>6.93352794</v>
      </c>
      <c r="BV92">
        <v>4.425</v>
      </c>
      <c r="BW92">
        <v>0.47595851</v>
      </c>
      <c r="BX92">
        <v>4.425</v>
      </c>
      <c r="BY92">
        <v>2.53752637</v>
      </c>
      <c r="CB92">
        <v>4.425</v>
      </c>
      <c r="CC92">
        <v>1.92526184</v>
      </c>
      <c r="CD92">
        <v>1.3961903</v>
      </c>
      <c r="CE92">
        <v>0</v>
      </c>
      <c r="CF92">
        <v>0.5200146</v>
      </c>
      <c r="CG92">
        <v>0.81667515</v>
      </c>
      <c r="CK92">
        <v>440</v>
      </c>
      <c r="CL92">
        <v>2.93415057</v>
      </c>
      <c r="CM92">
        <v>6.91124454</v>
      </c>
      <c r="CN92">
        <v>440</v>
      </c>
      <c r="CO92">
        <v>2.34540715</v>
      </c>
      <c r="CP92">
        <v>2.71267246</v>
      </c>
      <c r="CQ92">
        <v>440</v>
      </c>
      <c r="CR92">
        <v>4.13722822</v>
      </c>
      <c r="CS92">
        <v>6.41935662</v>
      </c>
      <c r="CT92">
        <v>440</v>
      </c>
      <c r="CU92">
        <v>4.07625954</v>
      </c>
      <c r="CV92">
        <v>6.1552141</v>
      </c>
      <c r="CW92">
        <v>440</v>
      </c>
      <c r="CX92">
        <v>5.7234013</v>
      </c>
      <c r="CY92">
        <v>9.91032181</v>
      </c>
    </row>
    <row r="93" spans="20:103">
      <c r="T93">
        <v>45.908</v>
      </c>
      <c r="U93">
        <v>1.14250276983087</v>
      </c>
      <c r="V93">
        <v>45.908</v>
      </c>
      <c r="W93">
        <v>1.15514158331909</v>
      </c>
      <c r="X93">
        <v>45.908</v>
      </c>
      <c r="Y93">
        <v>1.1493830597608</v>
      </c>
      <c r="Z93">
        <v>45.908</v>
      </c>
      <c r="AA93">
        <v>1.15232681938951</v>
      </c>
      <c r="AB93">
        <v>45.908</v>
      </c>
      <c r="AC93">
        <v>1.12920009050401</v>
      </c>
      <c r="AE93">
        <v>45.908</v>
      </c>
      <c r="AF93">
        <v>-1730.72657499422</v>
      </c>
      <c r="AG93">
        <v>-1967.8776773473</v>
      </c>
      <c r="AH93">
        <v>-1855.93808010125</v>
      </c>
      <c r="AI93">
        <v>-1815.07684884822</v>
      </c>
      <c r="AJ93">
        <v>-2029.5875012786</v>
      </c>
      <c r="AM93">
        <v>455</v>
      </c>
      <c r="AN93">
        <v>5.21201984</v>
      </c>
      <c r="AO93">
        <v>5.71448105</v>
      </c>
      <c r="AP93">
        <v>4.77276065</v>
      </c>
      <c r="AQ93">
        <v>4.49849215</v>
      </c>
      <c r="AR93">
        <v>4.37109857</v>
      </c>
      <c r="BF93">
        <v>4.475</v>
      </c>
      <c r="BG93">
        <v>0.39195332</v>
      </c>
      <c r="BH93">
        <v>4.475</v>
      </c>
      <c r="BI93">
        <v>4.36393096</v>
      </c>
      <c r="BJ93">
        <v>4.475</v>
      </c>
      <c r="BK93">
        <v>0.27325609</v>
      </c>
      <c r="BL93">
        <v>4.475</v>
      </c>
      <c r="BM93">
        <v>3.49823566</v>
      </c>
      <c r="BN93">
        <v>4.475</v>
      </c>
      <c r="BO93">
        <v>0.48236855</v>
      </c>
      <c r="BP93">
        <v>4.475</v>
      </c>
      <c r="BQ93">
        <v>3.42145132</v>
      </c>
      <c r="BR93">
        <v>4.475</v>
      </c>
      <c r="BS93">
        <v>0.45867606</v>
      </c>
      <c r="BT93">
        <v>4.475</v>
      </c>
      <c r="BU93">
        <v>6.77945596</v>
      </c>
      <c r="BV93">
        <v>4.475</v>
      </c>
      <c r="BW93">
        <v>0.35754966</v>
      </c>
      <c r="BX93">
        <v>4.475</v>
      </c>
      <c r="BY93">
        <v>2.22446966</v>
      </c>
      <c r="CB93">
        <v>4.475</v>
      </c>
      <c r="CC93">
        <v>1.71134547</v>
      </c>
      <c r="CD93">
        <v>1.30828325</v>
      </c>
      <c r="CE93">
        <v>0</v>
      </c>
      <c r="CF93">
        <v>0.73444106</v>
      </c>
      <c r="CG93">
        <v>1.36890441</v>
      </c>
      <c r="CK93">
        <v>445</v>
      </c>
      <c r="CL93">
        <v>3.03344481</v>
      </c>
      <c r="CM93">
        <v>7.01427684</v>
      </c>
      <c r="CN93">
        <v>445</v>
      </c>
      <c r="CO93">
        <v>2.37833625</v>
      </c>
      <c r="CP93">
        <v>2.79973572</v>
      </c>
      <c r="CQ93">
        <v>445</v>
      </c>
      <c r="CR93">
        <v>4.13659931</v>
      </c>
      <c r="CS93">
        <v>6.51181826</v>
      </c>
      <c r="CT93">
        <v>445</v>
      </c>
      <c r="CU93">
        <v>4.18200283</v>
      </c>
      <c r="CV93">
        <v>6.24992226</v>
      </c>
      <c r="CW93">
        <v>445</v>
      </c>
      <c r="CX93">
        <v>6.03822171</v>
      </c>
      <c r="CY93">
        <v>10.10191944</v>
      </c>
    </row>
    <row r="94" spans="20:103">
      <c r="T94">
        <v>46.407</v>
      </c>
      <c r="U94">
        <v>1.1491944369902</v>
      </c>
      <c r="V94">
        <v>46.407</v>
      </c>
      <c r="W94">
        <v>1.15438952471227</v>
      </c>
      <c r="X94">
        <v>46.407</v>
      </c>
      <c r="Y94">
        <v>1.15609221738221</v>
      </c>
      <c r="Z94">
        <v>46.407</v>
      </c>
      <c r="AA94">
        <v>1.15807269411657</v>
      </c>
      <c r="AB94">
        <v>46.407</v>
      </c>
      <c r="AC94">
        <v>1.12160530608026</v>
      </c>
      <c r="AE94">
        <v>46.407</v>
      </c>
      <c r="AF94">
        <v>-1803.61752858963</v>
      </c>
      <c r="AG94">
        <v>-1946.84491658585</v>
      </c>
      <c r="AH94">
        <v>-1846.90434395052</v>
      </c>
      <c r="AI94">
        <v>-1817.17821778942</v>
      </c>
      <c r="AJ94">
        <v>-1947.68376666011</v>
      </c>
      <c r="AM94">
        <v>460</v>
      </c>
      <c r="AN94">
        <v>5.23307841</v>
      </c>
      <c r="AO94">
        <v>5.68407184</v>
      </c>
      <c r="AP94">
        <v>4.79657534</v>
      </c>
      <c r="AQ94">
        <v>4.51487353</v>
      </c>
      <c r="AR94">
        <v>4.37261967</v>
      </c>
      <c r="BF94">
        <v>4.525</v>
      </c>
      <c r="BG94">
        <v>0.50751965</v>
      </c>
      <c r="BH94">
        <v>4.525</v>
      </c>
      <c r="BI94">
        <v>3.76590379</v>
      </c>
      <c r="BJ94">
        <v>4.525</v>
      </c>
      <c r="BK94">
        <v>0.44178178</v>
      </c>
      <c r="BL94">
        <v>4.525</v>
      </c>
      <c r="BM94">
        <v>4.00548818</v>
      </c>
      <c r="BN94">
        <v>4.525</v>
      </c>
      <c r="BO94">
        <v>0.61439485</v>
      </c>
      <c r="BP94">
        <v>4.525</v>
      </c>
      <c r="BQ94">
        <v>3.59722697</v>
      </c>
      <c r="BR94">
        <v>4.525</v>
      </c>
      <c r="BS94">
        <v>0.39935957</v>
      </c>
      <c r="BT94">
        <v>4.525</v>
      </c>
      <c r="BU94">
        <v>3.72963543</v>
      </c>
      <c r="BV94">
        <v>4.525</v>
      </c>
      <c r="BW94">
        <v>0.36079307</v>
      </c>
      <c r="BX94">
        <v>4.525</v>
      </c>
      <c r="BY94">
        <v>1.08779111</v>
      </c>
      <c r="CB94">
        <v>4.525</v>
      </c>
      <c r="CC94">
        <v>1.45057035</v>
      </c>
      <c r="CD94">
        <v>1.39079451</v>
      </c>
      <c r="CE94">
        <v>0</v>
      </c>
      <c r="CF94">
        <v>1.60236189</v>
      </c>
      <c r="CG94">
        <v>1.00411487</v>
      </c>
      <c r="CK94">
        <v>450</v>
      </c>
      <c r="CL94">
        <v>3.22584091</v>
      </c>
      <c r="CM94">
        <v>7.29110972</v>
      </c>
      <c r="CN94">
        <v>450</v>
      </c>
      <c r="CO94">
        <v>2.48526095</v>
      </c>
      <c r="CP94">
        <v>2.93014611</v>
      </c>
      <c r="CQ94">
        <v>450</v>
      </c>
      <c r="CR94">
        <v>4.2730944</v>
      </c>
      <c r="CS94">
        <v>6.56939576</v>
      </c>
      <c r="CT94">
        <v>450</v>
      </c>
      <c r="CU94">
        <v>4.39903177</v>
      </c>
      <c r="CV94">
        <v>6.35474369</v>
      </c>
      <c r="CW94">
        <v>450</v>
      </c>
      <c r="CX94">
        <v>6.17170378</v>
      </c>
      <c r="CY94">
        <v>10.34231567</v>
      </c>
    </row>
    <row r="95" spans="20:103">
      <c r="T95">
        <v>46.906</v>
      </c>
      <c r="U95">
        <v>1.14518626674113</v>
      </c>
      <c r="V95">
        <v>46.906</v>
      </c>
      <c r="W95">
        <v>1.1589775820192</v>
      </c>
      <c r="X95">
        <v>46.906</v>
      </c>
      <c r="Y95">
        <v>1.15228931783401</v>
      </c>
      <c r="Z95">
        <v>46.906</v>
      </c>
      <c r="AA95">
        <v>1.17006480591453</v>
      </c>
      <c r="AB95">
        <v>46.906</v>
      </c>
      <c r="AC95">
        <v>1.12602808090483</v>
      </c>
      <c r="AE95">
        <v>46.906</v>
      </c>
      <c r="AF95">
        <v>-1901.68838599722</v>
      </c>
      <c r="AG95">
        <v>-1958.40251353673</v>
      </c>
      <c r="AH95">
        <v>-1815.42670791879</v>
      </c>
      <c r="AI95">
        <v>-1906.52199240339</v>
      </c>
      <c r="AJ95">
        <v>-1755.74731299707</v>
      </c>
      <c r="AM95">
        <v>465</v>
      </c>
      <c r="AN95">
        <v>5.26146441</v>
      </c>
      <c r="AO95">
        <v>5.69065289</v>
      </c>
      <c r="AP95">
        <v>4.78472069</v>
      </c>
      <c r="AQ95">
        <v>4.52402838</v>
      </c>
      <c r="AR95">
        <v>4.38292689</v>
      </c>
      <c r="BF95">
        <v>4.575</v>
      </c>
      <c r="BG95">
        <v>0.55986838</v>
      </c>
      <c r="BH95">
        <v>4.575</v>
      </c>
      <c r="BI95">
        <v>2.86536411</v>
      </c>
      <c r="BJ95">
        <v>4.575</v>
      </c>
      <c r="BK95">
        <v>0.46419142</v>
      </c>
      <c r="BL95">
        <v>4.575</v>
      </c>
      <c r="BM95">
        <v>3.91841582</v>
      </c>
      <c r="BN95">
        <v>4.575</v>
      </c>
      <c r="BO95">
        <v>0.499077</v>
      </c>
      <c r="BP95">
        <v>4.575</v>
      </c>
      <c r="BQ95">
        <v>2.04594738</v>
      </c>
      <c r="BR95">
        <v>4.575</v>
      </c>
      <c r="BS95">
        <v>0.4495475</v>
      </c>
      <c r="BT95">
        <v>4.575</v>
      </c>
      <c r="BU95">
        <v>2.27021488</v>
      </c>
      <c r="BV95">
        <v>4.575</v>
      </c>
      <c r="BW95">
        <v>0.48327007</v>
      </c>
      <c r="BX95">
        <v>4.575</v>
      </c>
      <c r="BY95">
        <v>1.55528799</v>
      </c>
      <c r="CB95">
        <v>4.575</v>
      </c>
      <c r="CC95">
        <v>1.52819419</v>
      </c>
      <c r="CD95">
        <v>1.30613861</v>
      </c>
      <c r="CE95">
        <v>0</v>
      </c>
      <c r="CF95">
        <v>1.62158206</v>
      </c>
      <c r="CG95">
        <v>1.03685866</v>
      </c>
      <c r="CK95">
        <v>455</v>
      </c>
      <c r="CL95">
        <v>3.42829203</v>
      </c>
      <c r="CM95">
        <v>7.46177779</v>
      </c>
      <c r="CN95">
        <v>455</v>
      </c>
      <c r="CO95">
        <v>2.5251541</v>
      </c>
      <c r="CP95">
        <v>2.99382878</v>
      </c>
      <c r="CQ95">
        <v>455</v>
      </c>
      <c r="CR95">
        <v>4.40019739</v>
      </c>
      <c r="CS95">
        <v>6.84580934</v>
      </c>
      <c r="CT95">
        <v>455</v>
      </c>
      <c r="CU95">
        <v>4.63390296</v>
      </c>
      <c r="CV95">
        <v>6.52645049</v>
      </c>
      <c r="CW95">
        <v>455</v>
      </c>
      <c r="CX95">
        <v>6.31616991</v>
      </c>
      <c r="CY95">
        <v>10.50513253</v>
      </c>
    </row>
    <row r="96" spans="20:103">
      <c r="T96">
        <v>47.405</v>
      </c>
      <c r="U96">
        <v>1.14807729236464</v>
      </c>
      <c r="V96">
        <v>47.405</v>
      </c>
      <c r="W96">
        <v>1.15240624866722</v>
      </c>
      <c r="X96">
        <v>47.405</v>
      </c>
      <c r="Y96">
        <v>1.14574832055928</v>
      </c>
      <c r="Z96">
        <v>47.405</v>
      </c>
      <c r="AA96">
        <v>1.16456421394526</v>
      </c>
      <c r="AB96">
        <v>47.405</v>
      </c>
      <c r="AC96">
        <v>1.12216469427352</v>
      </c>
      <c r="AE96">
        <v>47.405</v>
      </c>
      <c r="AF96">
        <v>-1811.03968458857</v>
      </c>
      <c r="AG96">
        <v>-1873.14698876398</v>
      </c>
      <c r="AH96">
        <v>-1752.96147184276</v>
      </c>
      <c r="AI96">
        <v>-1912.26528135946</v>
      </c>
      <c r="AJ96">
        <v>-1757.22190883062</v>
      </c>
      <c r="AM96">
        <v>470</v>
      </c>
      <c r="AN96">
        <v>5.24368549</v>
      </c>
      <c r="AO96">
        <v>5.6821676</v>
      </c>
      <c r="AP96">
        <v>4.77662845</v>
      </c>
      <c r="AQ96">
        <v>4.52396759</v>
      </c>
      <c r="AR96">
        <v>4.37876055</v>
      </c>
      <c r="BF96">
        <v>4.625</v>
      </c>
      <c r="BG96">
        <v>0.5168195</v>
      </c>
      <c r="BH96">
        <v>4.625</v>
      </c>
      <c r="BI96">
        <v>2.80374578</v>
      </c>
      <c r="BJ96">
        <v>4.625</v>
      </c>
      <c r="BK96">
        <v>0.53252112</v>
      </c>
      <c r="BL96">
        <v>4.625</v>
      </c>
      <c r="BM96">
        <v>3.59451759</v>
      </c>
      <c r="BN96">
        <v>4.625</v>
      </c>
      <c r="BO96">
        <v>0.57236085</v>
      </c>
      <c r="BP96">
        <v>4.625</v>
      </c>
      <c r="BQ96">
        <v>1.84179421</v>
      </c>
      <c r="BR96">
        <v>4.625</v>
      </c>
      <c r="BS96">
        <v>0.56032357</v>
      </c>
      <c r="BT96">
        <v>4.625</v>
      </c>
      <c r="BU96">
        <v>3.64943457</v>
      </c>
      <c r="BV96">
        <v>4.625</v>
      </c>
      <c r="BW96">
        <v>0.40380557</v>
      </c>
      <c r="BX96">
        <v>4.625</v>
      </c>
      <c r="BY96">
        <v>2.24271488</v>
      </c>
      <c r="CB96">
        <v>4.625</v>
      </c>
      <c r="CC96">
        <v>1.01468895</v>
      </c>
      <c r="CD96">
        <v>1.91707605</v>
      </c>
      <c r="CE96">
        <v>0</v>
      </c>
      <c r="CF96">
        <v>2.59162745</v>
      </c>
      <c r="CG96">
        <v>1.01456149</v>
      </c>
      <c r="CK96">
        <v>460</v>
      </c>
      <c r="CL96">
        <v>3.57808075</v>
      </c>
      <c r="CM96">
        <v>7.83579817</v>
      </c>
      <c r="CN96">
        <v>460</v>
      </c>
      <c r="CO96">
        <v>2.62344966</v>
      </c>
      <c r="CP96">
        <v>3.05235885</v>
      </c>
      <c r="CQ96">
        <v>460</v>
      </c>
      <c r="CR96">
        <v>4.6011378</v>
      </c>
      <c r="CS96">
        <v>7.01314396</v>
      </c>
      <c r="CT96">
        <v>460</v>
      </c>
      <c r="CU96">
        <v>4.83803138</v>
      </c>
      <c r="CV96">
        <v>6.73523647</v>
      </c>
      <c r="CW96">
        <v>460</v>
      </c>
      <c r="CX96">
        <v>6.58243594</v>
      </c>
      <c r="CY96">
        <v>10.8001161</v>
      </c>
    </row>
    <row r="97" spans="20:103">
      <c r="T97">
        <v>47.904</v>
      </c>
      <c r="U97">
        <v>1.14218911509483</v>
      </c>
      <c r="V97">
        <v>47.904</v>
      </c>
      <c r="W97">
        <v>1.15193268364715</v>
      </c>
      <c r="X97">
        <v>47.904</v>
      </c>
      <c r="Y97">
        <v>1.14390477769919</v>
      </c>
      <c r="Z97">
        <v>47.904</v>
      </c>
      <c r="AA97">
        <v>1.16326962230455</v>
      </c>
      <c r="AB97">
        <v>47.904</v>
      </c>
      <c r="AC97">
        <v>1.12173458382281</v>
      </c>
      <c r="AE97">
        <v>47.904</v>
      </c>
      <c r="AF97">
        <v>-1737.04415822836</v>
      </c>
      <c r="AG97">
        <v>-1787.78533098999</v>
      </c>
      <c r="AH97">
        <v>-1770.73511031653</v>
      </c>
      <c r="AI97">
        <v>-1814.30965481729</v>
      </c>
      <c r="AJ97">
        <v>-1907.62710388059</v>
      </c>
      <c r="AM97">
        <v>475</v>
      </c>
      <c r="AN97">
        <v>5.24158527</v>
      </c>
      <c r="AO97">
        <v>5.67702255</v>
      </c>
      <c r="AP97">
        <v>4.78604418</v>
      </c>
      <c r="AQ97">
        <v>4.53147685</v>
      </c>
      <c r="AR97">
        <v>4.37459137</v>
      </c>
      <c r="BF97">
        <v>4.675</v>
      </c>
      <c r="BG97">
        <v>0.54123142</v>
      </c>
      <c r="BH97">
        <v>4.675</v>
      </c>
      <c r="BI97">
        <v>2.66569121</v>
      </c>
      <c r="BJ97">
        <v>4.675</v>
      </c>
      <c r="BK97">
        <v>0.51097188</v>
      </c>
      <c r="BL97">
        <v>4.675</v>
      </c>
      <c r="BM97">
        <v>3.36168401</v>
      </c>
      <c r="BN97">
        <v>4.675</v>
      </c>
      <c r="BO97">
        <v>0.57560132</v>
      </c>
      <c r="BP97">
        <v>4.675</v>
      </c>
      <c r="BQ97">
        <v>1.95935717</v>
      </c>
      <c r="BR97">
        <v>4.675</v>
      </c>
      <c r="BS97">
        <v>0.45102241</v>
      </c>
      <c r="BT97">
        <v>4.675</v>
      </c>
      <c r="BU97">
        <v>2.40707586</v>
      </c>
      <c r="BV97">
        <v>4.675</v>
      </c>
      <c r="BW97">
        <v>0.48361749</v>
      </c>
      <c r="BX97">
        <v>4.675</v>
      </c>
      <c r="BY97">
        <v>1.72464235</v>
      </c>
      <c r="CB97">
        <v>4.675</v>
      </c>
      <c r="CC97">
        <v>1.20217447</v>
      </c>
      <c r="CD97">
        <v>1.98052701</v>
      </c>
      <c r="CE97">
        <v>0</v>
      </c>
      <c r="CF97">
        <v>1.55295217</v>
      </c>
      <c r="CG97">
        <v>0.9929759</v>
      </c>
      <c r="CK97">
        <v>465</v>
      </c>
      <c r="CL97">
        <v>3.58885384</v>
      </c>
      <c r="CM97">
        <v>8.17223076</v>
      </c>
      <c r="CN97">
        <v>465</v>
      </c>
      <c r="CO97">
        <v>2.56890652</v>
      </c>
      <c r="CP97">
        <v>3.13625395</v>
      </c>
      <c r="CQ97">
        <v>465</v>
      </c>
      <c r="CR97">
        <v>4.8648053</v>
      </c>
      <c r="CS97">
        <v>7.20672943</v>
      </c>
      <c r="CT97">
        <v>465</v>
      </c>
      <c r="CU97">
        <v>5.18044209</v>
      </c>
      <c r="CV97">
        <v>6.97562365</v>
      </c>
      <c r="CW97">
        <v>465</v>
      </c>
      <c r="CX97">
        <v>6.7625344</v>
      </c>
      <c r="CY97">
        <v>11.02171277</v>
      </c>
    </row>
    <row r="98" spans="20:103">
      <c r="T98">
        <v>48.403</v>
      </c>
      <c r="U98">
        <v>1.14076657425516</v>
      </c>
      <c r="V98">
        <v>48.403</v>
      </c>
      <c r="W98">
        <v>1.15531516203318</v>
      </c>
      <c r="X98">
        <v>48.403</v>
      </c>
      <c r="Y98">
        <v>1.15138021623416</v>
      </c>
      <c r="Z98">
        <v>48.403</v>
      </c>
      <c r="AA98">
        <v>1.15639799485043</v>
      </c>
      <c r="AB98">
        <v>48.403</v>
      </c>
      <c r="AC98">
        <v>1.12272430317917</v>
      </c>
      <c r="AE98">
        <v>48.403</v>
      </c>
      <c r="AF98">
        <v>-1804.43168861287</v>
      </c>
      <c r="AG98">
        <v>-1936.75830590841</v>
      </c>
      <c r="AH98">
        <v>-1695.5530824971</v>
      </c>
      <c r="AI98">
        <v>-1838.65504316871</v>
      </c>
      <c r="AJ98">
        <v>-2084.36334512196</v>
      </c>
      <c r="AM98">
        <v>480</v>
      </c>
      <c r="AN98">
        <v>5.22979037</v>
      </c>
      <c r="AO98">
        <v>5.68091814</v>
      </c>
      <c r="AP98">
        <v>4.78174319</v>
      </c>
      <c r="AQ98">
        <v>4.52088255</v>
      </c>
      <c r="AR98">
        <v>4.38161038</v>
      </c>
      <c r="BF98">
        <v>4.725</v>
      </c>
      <c r="BG98">
        <v>0.6239208</v>
      </c>
      <c r="BH98">
        <v>4.725</v>
      </c>
      <c r="BI98">
        <v>1.84205187</v>
      </c>
      <c r="BJ98">
        <v>4.725</v>
      </c>
      <c r="BK98">
        <v>0.48020638</v>
      </c>
      <c r="BL98">
        <v>4.725</v>
      </c>
      <c r="BM98">
        <v>3.36744725</v>
      </c>
      <c r="BN98">
        <v>4.725</v>
      </c>
      <c r="BO98">
        <v>0.42261289</v>
      </c>
      <c r="BP98">
        <v>4.725</v>
      </c>
      <c r="BQ98">
        <v>2.07155781</v>
      </c>
      <c r="BR98">
        <v>4.725</v>
      </c>
      <c r="BS98">
        <v>0.59706567</v>
      </c>
      <c r="BT98">
        <v>4.725</v>
      </c>
      <c r="BU98">
        <v>2.73646739</v>
      </c>
      <c r="BV98">
        <v>4.725</v>
      </c>
      <c r="BW98">
        <v>0.48870859</v>
      </c>
      <c r="BX98">
        <v>4.725</v>
      </c>
      <c r="BY98">
        <v>0.7674252</v>
      </c>
      <c r="CB98">
        <v>4.725</v>
      </c>
      <c r="CC98">
        <v>1.53504323</v>
      </c>
      <c r="CD98">
        <v>2.75518411</v>
      </c>
      <c r="CE98">
        <v>0</v>
      </c>
      <c r="CF98">
        <v>2.02701288</v>
      </c>
      <c r="CG98">
        <v>1.07439529</v>
      </c>
      <c r="CK98">
        <v>470</v>
      </c>
      <c r="CL98">
        <v>4.00597768</v>
      </c>
      <c r="CM98">
        <v>8.63083898</v>
      </c>
      <c r="CN98">
        <v>470</v>
      </c>
      <c r="CO98">
        <v>2.7209011</v>
      </c>
      <c r="CP98">
        <v>3.13886984</v>
      </c>
      <c r="CQ98">
        <v>470</v>
      </c>
      <c r="CR98">
        <v>5.14322369</v>
      </c>
      <c r="CS98">
        <v>7.46265378</v>
      </c>
      <c r="CT98">
        <v>470</v>
      </c>
      <c r="CU98">
        <v>5.58059949</v>
      </c>
      <c r="CV98">
        <v>6.97263563</v>
      </c>
      <c r="CW98">
        <v>470</v>
      </c>
      <c r="CX98">
        <v>7.08772154</v>
      </c>
      <c r="CY98">
        <v>11.2799306</v>
      </c>
    </row>
    <row r="99" spans="20:103">
      <c r="T99">
        <v>48.902</v>
      </c>
      <c r="U99">
        <v>1.14813400902567</v>
      </c>
      <c r="V99">
        <v>48.902</v>
      </c>
      <c r="W99">
        <v>1.15553162530595</v>
      </c>
      <c r="X99">
        <v>48.902</v>
      </c>
      <c r="Y99">
        <v>1.14739129665845</v>
      </c>
      <c r="Z99">
        <v>48.902</v>
      </c>
      <c r="AA99">
        <v>1.16229808210877</v>
      </c>
      <c r="AB99">
        <v>48.902</v>
      </c>
      <c r="AC99">
        <v>1.12566726349832</v>
      </c>
      <c r="AE99">
        <v>48.902</v>
      </c>
      <c r="AF99">
        <v>-1904.72659404748</v>
      </c>
      <c r="AG99">
        <v>-2077.30883381377</v>
      </c>
      <c r="AH99">
        <v>-1767.00989231716</v>
      </c>
      <c r="AI99">
        <v>-1812.09379756439</v>
      </c>
      <c r="AJ99">
        <v>-1913.51847356322</v>
      </c>
      <c r="AM99">
        <v>485</v>
      </c>
      <c r="AN99">
        <v>5.22766891</v>
      </c>
      <c r="AO99">
        <v>5.69279472</v>
      </c>
      <c r="AP99">
        <v>4.78167004</v>
      </c>
      <c r="AQ99">
        <v>4.53699248</v>
      </c>
      <c r="AR99">
        <v>4.37977488</v>
      </c>
      <c r="BF99">
        <v>4.775</v>
      </c>
      <c r="BG99">
        <v>0.48485946</v>
      </c>
      <c r="BH99">
        <v>4.775</v>
      </c>
      <c r="BI99">
        <v>1.65337076</v>
      </c>
      <c r="BJ99">
        <v>4.775</v>
      </c>
      <c r="BK99">
        <v>0.56816129</v>
      </c>
      <c r="BL99">
        <v>4.775</v>
      </c>
      <c r="BM99">
        <v>3.52211021</v>
      </c>
      <c r="BN99">
        <v>4.775</v>
      </c>
      <c r="BO99">
        <v>0.54189244</v>
      </c>
      <c r="BP99">
        <v>4.775</v>
      </c>
      <c r="BQ99">
        <v>2.10352793</v>
      </c>
      <c r="BR99">
        <v>4.775</v>
      </c>
      <c r="BS99">
        <v>0.6042786</v>
      </c>
      <c r="BT99">
        <v>4.775</v>
      </c>
      <c r="BU99">
        <v>3.12603635</v>
      </c>
      <c r="BV99">
        <v>4.775</v>
      </c>
      <c r="BW99">
        <v>0.43366557</v>
      </c>
      <c r="BX99">
        <v>4.775</v>
      </c>
      <c r="BY99">
        <v>1.50287553</v>
      </c>
      <c r="CB99">
        <v>4.775</v>
      </c>
      <c r="CC99">
        <v>1.75357505</v>
      </c>
      <c r="CD99">
        <v>2.34807347</v>
      </c>
      <c r="CE99">
        <v>0</v>
      </c>
      <c r="CF99">
        <v>1.53820836</v>
      </c>
      <c r="CG99">
        <v>1.35258797</v>
      </c>
      <c r="CK99">
        <v>475</v>
      </c>
      <c r="CL99">
        <v>4.08194409</v>
      </c>
      <c r="CM99">
        <v>9.0910316</v>
      </c>
      <c r="CN99">
        <v>475</v>
      </c>
      <c r="CO99">
        <v>2.93624793</v>
      </c>
      <c r="CP99">
        <v>3.30646976</v>
      </c>
      <c r="CQ99">
        <v>475</v>
      </c>
      <c r="CR99">
        <v>5.49582372</v>
      </c>
      <c r="CS99">
        <v>7.63331174</v>
      </c>
      <c r="CT99">
        <v>475</v>
      </c>
      <c r="CU99">
        <v>5.62100757</v>
      </c>
      <c r="CV99">
        <v>7.1214648</v>
      </c>
      <c r="CW99">
        <v>475</v>
      </c>
      <c r="CX99">
        <v>7.43540412</v>
      </c>
      <c r="CY99">
        <v>11.83724864</v>
      </c>
    </row>
    <row r="100" spans="20:103">
      <c r="T100">
        <v>49.401</v>
      </c>
      <c r="U100">
        <v>1.14696819169532</v>
      </c>
      <c r="V100">
        <v>49.401</v>
      </c>
      <c r="W100">
        <v>1.15049611377036</v>
      </c>
      <c r="X100">
        <v>49.401</v>
      </c>
      <c r="Y100">
        <v>1.14691344961575</v>
      </c>
      <c r="Z100">
        <v>49.401</v>
      </c>
      <c r="AA100">
        <v>1.15670855630898</v>
      </c>
      <c r="AB100">
        <v>49.401</v>
      </c>
      <c r="AC100">
        <v>1.12735562870197</v>
      </c>
      <c r="AE100">
        <v>49.401</v>
      </c>
      <c r="AF100">
        <v>-1747.60538481603</v>
      </c>
      <c r="AG100">
        <v>-1931.52816339884</v>
      </c>
      <c r="AH100">
        <v>-1899.28057190795</v>
      </c>
      <c r="AI100">
        <v>-1916.42883757997</v>
      </c>
      <c r="AJ100">
        <v>-1716.02778870872</v>
      </c>
      <c r="AM100">
        <v>490</v>
      </c>
      <c r="AN100">
        <v>5.25581792</v>
      </c>
      <c r="AO100">
        <v>5.67637948</v>
      </c>
      <c r="AP100">
        <v>4.77696816</v>
      </c>
      <c r="AQ100">
        <v>4.53676175</v>
      </c>
      <c r="AR100">
        <v>4.38401466</v>
      </c>
      <c r="BF100">
        <v>4.825</v>
      </c>
      <c r="BG100">
        <v>0.60307565</v>
      </c>
      <c r="BH100">
        <v>4.825</v>
      </c>
      <c r="BI100">
        <v>2.35531907</v>
      </c>
      <c r="BJ100">
        <v>4.825</v>
      </c>
      <c r="BK100">
        <v>0.50847747</v>
      </c>
      <c r="BL100">
        <v>4.825</v>
      </c>
      <c r="BM100">
        <v>3.66967232</v>
      </c>
      <c r="BN100">
        <v>4.825</v>
      </c>
      <c r="BO100">
        <v>0.64651321</v>
      </c>
      <c r="BP100">
        <v>4.825</v>
      </c>
      <c r="BQ100">
        <v>1.76584952</v>
      </c>
      <c r="BR100">
        <v>4.825</v>
      </c>
      <c r="BS100">
        <v>0.6495582</v>
      </c>
      <c r="BT100">
        <v>4.825</v>
      </c>
      <c r="BU100">
        <v>2.77000485</v>
      </c>
      <c r="BV100">
        <v>4.825</v>
      </c>
      <c r="BW100">
        <v>0.483307</v>
      </c>
      <c r="BX100">
        <v>4.825</v>
      </c>
      <c r="BY100">
        <v>2.42861769</v>
      </c>
      <c r="CB100">
        <v>4.825</v>
      </c>
      <c r="CC100">
        <v>1.76648931</v>
      </c>
      <c r="CD100">
        <v>2.5932351</v>
      </c>
      <c r="CE100">
        <v>0</v>
      </c>
      <c r="CF100">
        <v>1.11772125</v>
      </c>
      <c r="CG100">
        <v>1.03032266</v>
      </c>
      <c r="CK100">
        <v>480</v>
      </c>
      <c r="CL100">
        <v>4.08142194</v>
      </c>
      <c r="CM100">
        <v>9.52501897</v>
      </c>
      <c r="CN100">
        <v>480</v>
      </c>
      <c r="CO100">
        <v>3.02224167</v>
      </c>
      <c r="CP100">
        <v>3.34209658</v>
      </c>
      <c r="CQ100">
        <v>480</v>
      </c>
      <c r="CR100">
        <v>5.97043109</v>
      </c>
      <c r="CS100">
        <v>8.29325185</v>
      </c>
      <c r="CT100">
        <v>480</v>
      </c>
      <c r="CU100">
        <v>5.63635528</v>
      </c>
      <c r="CV100">
        <v>7.27193468</v>
      </c>
      <c r="CW100">
        <v>480</v>
      </c>
      <c r="CX100">
        <v>7.61135421</v>
      </c>
      <c r="CY100">
        <v>11.9816566</v>
      </c>
    </row>
    <row r="101" spans="20:103">
      <c r="T101">
        <v>49.9</v>
      </c>
      <c r="U101">
        <v>1.15090212073991</v>
      </c>
      <c r="V101">
        <v>49.9</v>
      </c>
      <c r="W101">
        <v>1.15599745123389</v>
      </c>
      <c r="X101">
        <v>49.9</v>
      </c>
      <c r="Y101">
        <v>1.14994091196962</v>
      </c>
      <c r="Z101">
        <v>49.9</v>
      </c>
      <c r="AA101">
        <v>1.15550482446961</v>
      </c>
      <c r="AB101">
        <v>49.9</v>
      </c>
      <c r="AC101">
        <v>1.12699305944848</v>
      </c>
      <c r="AE101">
        <v>49.9</v>
      </c>
      <c r="AF101">
        <v>-1762.18020403382</v>
      </c>
      <c r="AG101">
        <v>-1816.83143151715</v>
      </c>
      <c r="AH101">
        <v>-1849.01045979096</v>
      </c>
      <c r="AI101">
        <v>-1919.00350663004</v>
      </c>
      <c r="AJ101">
        <v>-1784.20824938263</v>
      </c>
      <c r="AM101">
        <v>495</v>
      </c>
      <c r="AN101">
        <v>5.25055928</v>
      </c>
      <c r="AO101">
        <v>5.66060998</v>
      </c>
      <c r="AP101">
        <v>4.78493013</v>
      </c>
      <c r="AQ101">
        <v>4.52510999</v>
      </c>
      <c r="AR101">
        <v>4.37382669</v>
      </c>
      <c r="BF101">
        <v>4.875</v>
      </c>
      <c r="BG101">
        <v>0.58146498</v>
      </c>
      <c r="BH101">
        <v>4.875</v>
      </c>
      <c r="BI101">
        <v>2.81196462</v>
      </c>
      <c r="BJ101">
        <v>4.875</v>
      </c>
      <c r="BK101">
        <v>0.60148014</v>
      </c>
      <c r="BL101">
        <v>4.875</v>
      </c>
      <c r="BM101">
        <v>3.37909665</v>
      </c>
      <c r="BN101">
        <v>4.875</v>
      </c>
      <c r="BO101">
        <v>0.59550941</v>
      </c>
      <c r="BP101">
        <v>4.875</v>
      </c>
      <c r="BQ101">
        <v>1.80188858</v>
      </c>
      <c r="BR101">
        <v>4.875</v>
      </c>
      <c r="BS101">
        <v>0.66929583</v>
      </c>
      <c r="BT101">
        <v>4.875</v>
      </c>
      <c r="BU101">
        <v>3.28473425</v>
      </c>
      <c r="BV101">
        <v>4.875</v>
      </c>
      <c r="BW101">
        <v>0.60256502</v>
      </c>
      <c r="BX101">
        <v>4.875</v>
      </c>
      <c r="BY101">
        <v>1.0092964</v>
      </c>
      <c r="CB101">
        <v>4.875</v>
      </c>
      <c r="CC101">
        <v>2.25918525</v>
      </c>
      <c r="CD101">
        <v>2.39652245</v>
      </c>
      <c r="CE101">
        <v>0</v>
      </c>
      <c r="CF101">
        <v>1.42814532</v>
      </c>
      <c r="CG101">
        <v>1.53797547</v>
      </c>
      <c r="CK101">
        <v>485</v>
      </c>
      <c r="CL101">
        <v>4.31900075</v>
      </c>
      <c r="CM101">
        <v>10.0188121</v>
      </c>
      <c r="CN101">
        <v>485</v>
      </c>
      <c r="CO101">
        <v>3.31208094</v>
      </c>
      <c r="CP101">
        <v>3.76283154</v>
      </c>
      <c r="CQ101">
        <v>485</v>
      </c>
      <c r="CR101">
        <v>6.82391715</v>
      </c>
      <c r="CS101">
        <v>8.95545164</v>
      </c>
      <c r="CT101">
        <v>485</v>
      </c>
      <c r="CU101">
        <v>6.17434348</v>
      </c>
      <c r="CV101">
        <v>7.91809789</v>
      </c>
      <c r="CW101">
        <v>485</v>
      </c>
      <c r="CX101">
        <v>7.80114479</v>
      </c>
      <c r="CY101">
        <v>12.28826536</v>
      </c>
    </row>
    <row r="102" spans="20:103">
      <c r="T102">
        <v>50.399</v>
      </c>
      <c r="U102">
        <v>1.1516357944269</v>
      </c>
      <c r="V102">
        <v>50.399</v>
      </c>
      <c r="W102">
        <v>1.15509606764793</v>
      </c>
      <c r="X102">
        <v>50.399</v>
      </c>
      <c r="Y102">
        <v>1.15323396678449</v>
      </c>
      <c r="Z102">
        <v>50.399</v>
      </c>
      <c r="AA102">
        <v>1.15484269819961</v>
      </c>
      <c r="AB102">
        <v>50.399</v>
      </c>
      <c r="AC102">
        <v>1.12950635214585</v>
      </c>
      <c r="AE102">
        <v>50.399</v>
      </c>
      <c r="AF102">
        <v>-1798.08842306476</v>
      </c>
      <c r="AG102">
        <v>-1818.2619366903</v>
      </c>
      <c r="AH102">
        <v>-1746.77349259841</v>
      </c>
      <c r="AI102">
        <v>-1917.3357081864</v>
      </c>
      <c r="AJ102">
        <v>-1974.9225220462</v>
      </c>
      <c r="AM102">
        <v>500</v>
      </c>
      <c r="AN102">
        <v>5.22648298</v>
      </c>
      <c r="AO102">
        <v>5.67107243</v>
      </c>
      <c r="AP102">
        <v>4.76912495</v>
      </c>
      <c r="AQ102">
        <v>4.53175209</v>
      </c>
      <c r="AR102">
        <v>4.37924191</v>
      </c>
      <c r="BF102">
        <v>4.925</v>
      </c>
      <c r="BG102">
        <v>0.56060311</v>
      </c>
      <c r="BH102">
        <v>4.925</v>
      </c>
      <c r="BI102">
        <v>2.54322388</v>
      </c>
      <c r="BJ102">
        <v>4.925</v>
      </c>
      <c r="BK102">
        <v>0.56630877</v>
      </c>
      <c r="BL102">
        <v>4.925</v>
      </c>
      <c r="BM102">
        <v>3.8743807</v>
      </c>
      <c r="BN102">
        <v>4.925</v>
      </c>
      <c r="BO102">
        <v>0.55106381</v>
      </c>
      <c r="BP102">
        <v>4.925</v>
      </c>
      <c r="BQ102">
        <v>1.41239043</v>
      </c>
      <c r="BR102">
        <v>4.925</v>
      </c>
      <c r="BS102">
        <v>0.60497568</v>
      </c>
      <c r="BT102">
        <v>4.925</v>
      </c>
      <c r="BU102">
        <v>3.91802571</v>
      </c>
      <c r="BV102">
        <v>4.925</v>
      </c>
      <c r="BW102">
        <v>0.54353586</v>
      </c>
      <c r="BX102">
        <v>4.925</v>
      </c>
      <c r="BY102">
        <v>1.83654209</v>
      </c>
      <c r="CB102">
        <v>4.925</v>
      </c>
      <c r="CC102">
        <v>2.91999779</v>
      </c>
      <c r="CD102">
        <v>2.20722295</v>
      </c>
      <c r="CE102">
        <v>0</v>
      </c>
      <c r="CF102">
        <v>0.37314531</v>
      </c>
      <c r="CG102">
        <v>0.98890728</v>
      </c>
      <c r="CK102">
        <v>490</v>
      </c>
      <c r="CL102">
        <v>4.52272982</v>
      </c>
      <c r="CM102">
        <v>10.59162642</v>
      </c>
      <c r="CN102">
        <v>490</v>
      </c>
      <c r="CO102">
        <v>3.65858954</v>
      </c>
      <c r="CP102">
        <v>4.35454963</v>
      </c>
      <c r="CQ102">
        <v>490</v>
      </c>
      <c r="CR102">
        <v>7.09995779</v>
      </c>
      <c r="CS102">
        <v>9.5178806</v>
      </c>
      <c r="CT102">
        <v>490</v>
      </c>
      <c r="CU102">
        <v>6.85682165</v>
      </c>
      <c r="CV102">
        <v>8.50014523</v>
      </c>
      <c r="CW102">
        <v>490</v>
      </c>
      <c r="CX102">
        <v>9.04459561</v>
      </c>
      <c r="CY102">
        <v>12.96804085</v>
      </c>
    </row>
    <row r="103" spans="20:103">
      <c r="T103">
        <v>50.898</v>
      </c>
      <c r="U103">
        <v>1.14685947707883</v>
      </c>
      <c r="V103">
        <v>50.898</v>
      </c>
      <c r="W103">
        <v>1.15983858745468</v>
      </c>
      <c r="X103">
        <v>50.898</v>
      </c>
      <c r="Y103">
        <v>1.15852167630589</v>
      </c>
      <c r="Z103">
        <v>50.898</v>
      </c>
      <c r="AA103">
        <v>1.15394815405351</v>
      </c>
      <c r="AB103">
        <v>50.898</v>
      </c>
      <c r="AC103">
        <v>1.12995629025857</v>
      </c>
      <c r="AE103">
        <v>50.898</v>
      </c>
      <c r="AF103">
        <v>-1798.54002675738</v>
      </c>
      <c r="AG103">
        <v>-2040.35349147265</v>
      </c>
      <c r="AH103">
        <v>-1734.22256497026</v>
      </c>
      <c r="AI103">
        <v>-1762.95399730261</v>
      </c>
      <c r="AJ103">
        <v>-1941.42184014099</v>
      </c>
      <c r="AN103">
        <f>AVEDEV(AN82:AN102)</f>
        <v>0.0104967119274376</v>
      </c>
      <c r="AO103">
        <f t="shared" ref="AO103:AR103" si="8">AVEDEV(AO82:AO102)</f>
        <v>0.011347351201814</v>
      </c>
      <c r="AP103">
        <f t="shared" si="8"/>
        <v>0.00779332961451262</v>
      </c>
      <c r="AQ103">
        <f t="shared" si="8"/>
        <v>0.00711977473922924</v>
      </c>
      <c r="AR103">
        <f t="shared" si="8"/>
        <v>0.00600576077097506</v>
      </c>
      <c r="BF103">
        <v>4.975</v>
      </c>
      <c r="BG103">
        <v>0.53152504</v>
      </c>
      <c r="BH103">
        <v>4.975</v>
      </c>
      <c r="BI103">
        <v>2.70005788</v>
      </c>
      <c r="BJ103">
        <v>4.975</v>
      </c>
      <c r="BK103">
        <v>0.83924254</v>
      </c>
      <c r="BL103">
        <v>4.975</v>
      </c>
      <c r="BM103">
        <v>3.7968957</v>
      </c>
      <c r="BN103">
        <v>4.975</v>
      </c>
      <c r="BO103">
        <v>0.57181013</v>
      </c>
      <c r="BP103">
        <v>4.975</v>
      </c>
      <c r="BQ103">
        <v>2.69907997</v>
      </c>
      <c r="BR103">
        <v>4.975</v>
      </c>
      <c r="BS103">
        <v>0.64718588</v>
      </c>
      <c r="BT103">
        <v>4.975</v>
      </c>
      <c r="BU103">
        <v>3.77110233</v>
      </c>
      <c r="BV103">
        <v>4.975</v>
      </c>
      <c r="BW103">
        <v>0.51888968</v>
      </c>
      <c r="BX103">
        <v>4.975</v>
      </c>
      <c r="BY103">
        <v>2.42282449</v>
      </c>
      <c r="CB103">
        <v>4.975</v>
      </c>
      <c r="CC103">
        <v>2.58467079</v>
      </c>
      <c r="CD103">
        <v>1.70285019</v>
      </c>
      <c r="CE103">
        <v>0</v>
      </c>
      <c r="CF103">
        <v>0.82278596</v>
      </c>
      <c r="CG103">
        <v>0.87683172</v>
      </c>
      <c r="CK103">
        <v>495</v>
      </c>
      <c r="CL103">
        <v>6.00563435</v>
      </c>
      <c r="CM103">
        <v>13.01436898</v>
      </c>
      <c r="CN103">
        <v>495</v>
      </c>
      <c r="CO103">
        <v>3.99619489</v>
      </c>
      <c r="CP103">
        <v>4.51317464</v>
      </c>
      <c r="CQ103">
        <v>495</v>
      </c>
      <c r="CR103">
        <v>7.75533643</v>
      </c>
      <c r="CS103">
        <v>10.71567021</v>
      </c>
      <c r="CT103">
        <v>495</v>
      </c>
      <c r="CU103">
        <v>7.64866552</v>
      </c>
      <c r="CV103">
        <v>9.31611853</v>
      </c>
      <c r="CW103">
        <v>495</v>
      </c>
      <c r="CX103">
        <v>10.13266146</v>
      </c>
      <c r="CY103">
        <v>13.85637425</v>
      </c>
    </row>
    <row r="104" spans="20:103">
      <c r="T104">
        <v>51.397</v>
      </c>
      <c r="U104">
        <v>1.14834204022845</v>
      </c>
      <c r="V104">
        <v>51.397</v>
      </c>
      <c r="W104">
        <v>1.15776437074284</v>
      </c>
      <c r="X104">
        <v>51.397</v>
      </c>
      <c r="Y104">
        <v>1.15206280160035</v>
      </c>
      <c r="Z104">
        <v>51.397</v>
      </c>
      <c r="AA104">
        <v>1.15991580598725</v>
      </c>
      <c r="AB104">
        <v>51.397</v>
      </c>
      <c r="AC104">
        <v>1.13281795693723</v>
      </c>
      <c r="AE104">
        <v>51.397</v>
      </c>
      <c r="AF104">
        <v>-1850.72761571373</v>
      </c>
      <c r="AG104">
        <v>-2015.45329741277</v>
      </c>
      <c r="AH104">
        <v>-1814.4617339101</v>
      </c>
      <c r="AI104">
        <v>-1756.81089030788</v>
      </c>
      <c r="AJ104">
        <v>-1782.24050034428</v>
      </c>
      <c r="AN104">
        <f>AVERAGE(AN82:AN102)</f>
        <v>5.23719049952381</v>
      </c>
      <c r="AO104">
        <f t="shared" ref="AO104:AR104" si="9">AVERAGE(AO82:AO102)</f>
        <v>5.67723518523809</v>
      </c>
      <c r="AP104">
        <f t="shared" si="9"/>
        <v>4.78563460238095</v>
      </c>
      <c r="AQ104">
        <f t="shared" si="9"/>
        <v>4.52309933809524</v>
      </c>
      <c r="AR104">
        <f t="shared" si="9"/>
        <v>4.37240753380952</v>
      </c>
      <c r="BF104">
        <v>5.025</v>
      </c>
      <c r="BG104">
        <v>0.48597492</v>
      </c>
      <c r="BH104">
        <v>5.025</v>
      </c>
      <c r="BI104">
        <v>3.25734542</v>
      </c>
      <c r="BJ104">
        <v>5.025</v>
      </c>
      <c r="BK104">
        <v>0.65013866</v>
      </c>
      <c r="BL104">
        <v>5.025</v>
      </c>
      <c r="BM104">
        <v>4.73672452</v>
      </c>
      <c r="BN104">
        <v>5.025</v>
      </c>
      <c r="BO104">
        <v>0.52490102</v>
      </c>
      <c r="BP104">
        <v>5.025</v>
      </c>
      <c r="BQ104">
        <v>2.10294033</v>
      </c>
      <c r="BR104">
        <v>5.025</v>
      </c>
      <c r="BS104">
        <v>0.70534928</v>
      </c>
      <c r="BT104">
        <v>5.025</v>
      </c>
      <c r="BU104">
        <v>3.69642951</v>
      </c>
      <c r="BV104">
        <v>5.025</v>
      </c>
      <c r="BW104">
        <v>0.51311599</v>
      </c>
      <c r="BX104">
        <v>5.025</v>
      </c>
      <c r="BY104">
        <v>2.23914368</v>
      </c>
      <c r="CB104">
        <v>5.025</v>
      </c>
      <c r="CC104">
        <v>1.85487725</v>
      </c>
      <c r="CD104">
        <v>1.62401984</v>
      </c>
      <c r="CE104">
        <v>0</v>
      </c>
      <c r="CF104">
        <v>0.62727289</v>
      </c>
      <c r="CG104">
        <v>0.81423406</v>
      </c>
    </row>
    <row r="105" spans="20:103">
      <c r="T105">
        <v>51.896</v>
      </c>
      <c r="U105">
        <v>1.14274232914762</v>
      </c>
      <c r="V105">
        <v>51.896</v>
      </c>
      <c r="W105">
        <v>1.15560592843443</v>
      </c>
      <c r="X105">
        <v>51.896</v>
      </c>
      <c r="Y105">
        <v>1.13957874518539</v>
      </c>
      <c r="Z105">
        <v>51.896</v>
      </c>
      <c r="AA105">
        <v>1.16269812896946</v>
      </c>
      <c r="AB105">
        <v>51.896</v>
      </c>
      <c r="AC105">
        <v>1.13134062116435</v>
      </c>
      <c r="AE105">
        <v>51.896</v>
      </c>
      <c r="AF105">
        <v>-1808.75034014522</v>
      </c>
      <c r="AG105">
        <v>-1872.82667723152</v>
      </c>
      <c r="AH105">
        <v>-1767.3217409538</v>
      </c>
      <c r="AI105">
        <v>-1901.45288712078</v>
      </c>
      <c r="AJ105">
        <v>-1760.83768953956</v>
      </c>
      <c r="BF105">
        <v>5.075</v>
      </c>
      <c r="BG105">
        <v>0.60950789</v>
      </c>
      <c r="BH105">
        <v>5.075</v>
      </c>
      <c r="BI105">
        <v>3.99184745</v>
      </c>
      <c r="BJ105">
        <v>5.075</v>
      </c>
      <c r="BK105">
        <v>0.67207922</v>
      </c>
      <c r="BL105">
        <v>5.075</v>
      </c>
      <c r="BM105">
        <v>3.78142118</v>
      </c>
      <c r="BN105">
        <v>5.075</v>
      </c>
      <c r="BO105">
        <v>0.53641465</v>
      </c>
      <c r="BP105">
        <v>5.075</v>
      </c>
      <c r="BQ105">
        <v>2.12821423</v>
      </c>
      <c r="BR105">
        <v>5.075</v>
      </c>
      <c r="BS105">
        <v>0.61323414</v>
      </c>
      <c r="BT105">
        <v>5.075</v>
      </c>
      <c r="BU105">
        <v>3.09683243</v>
      </c>
      <c r="BV105">
        <v>5.075</v>
      </c>
      <c r="BW105">
        <v>0.60896158</v>
      </c>
      <c r="BX105">
        <v>5.075</v>
      </c>
      <c r="BY105">
        <v>2.66089736</v>
      </c>
      <c r="CB105">
        <v>5.075</v>
      </c>
      <c r="CC105">
        <v>1.99592373</v>
      </c>
      <c r="CD105">
        <v>1.59217734</v>
      </c>
      <c r="CE105">
        <v>0</v>
      </c>
      <c r="CF105">
        <v>0.48319371</v>
      </c>
      <c r="CG105">
        <v>0.3991346</v>
      </c>
    </row>
    <row r="106" spans="20:103">
      <c r="T106">
        <v>52.395</v>
      </c>
      <c r="U106">
        <v>1.14967749258056</v>
      </c>
      <c r="V106">
        <v>52.395</v>
      </c>
      <c r="W106">
        <v>1.16734976921084</v>
      </c>
      <c r="X106">
        <v>52.395</v>
      </c>
      <c r="Y106">
        <v>1.15414172226422</v>
      </c>
      <c r="Z106">
        <v>52.395</v>
      </c>
      <c r="AA106">
        <v>1.1625422747406</v>
      </c>
      <c r="AB106">
        <v>52.395</v>
      </c>
      <c r="AC106">
        <v>1.13346443082984</v>
      </c>
      <c r="AE106">
        <v>52.395</v>
      </c>
      <c r="AF106">
        <v>-1812.05169607444</v>
      </c>
      <c r="AG106">
        <v>-1873.74950164573</v>
      </c>
      <c r="AH106">
        <v>-1813.02654316666</v>
      </c>
      <c r="AI106">
        <v>-1966.61400104593</v>
      </c>
      <c r="AJ106">
        <v>-1916.42969509817</v>
      </c>
      <c r="BF106">
        <v>5.125</v>
      </c>
      <c r="BG106">
        <v>0.53874764</v>
      </c>
      <c r="BH106">
        <v>5.125</v>
      </c>
      <c r="BI106">
        <v>3.58814345</v>
      </c>
      <c r="BJ106">
        <v>5.125</v>
      </c>
      <c r="BK106">
        <v>0.71005119</v>
      </c>
      <c r="BL106">
        <v>5.125</v>
      </c>
      <c r="BM106">
        <v>4.03326083</v>
      </c>
      <c r="BN106">
        <v>5.125</v>
      </c>
      <c r="BO106">
        <v>0.55593408</v>
      </c>
      <c r="BP106">
        <v>5.125</v>
      </c>
      <c r="BQ106">
        <v>2.99990581</v>
      </c>
      <c r="BR106">
        <v>5.125</v>
      </c>
      <c r="BS106">
        <v>0.60132706</v>
      </c>
      <c r="BT106">
        <v>5.125</v>
      </c>
      <c r="BU106">
        <v>4.78118986</v>
      </c>
      <c r="BV106">
        <v>5.125</v>
      </c>
      <c r="BW106">
        <v>0.5884833</v>
      </c>
      <c r="BX106">
        <v>5.125</v>
      </c>
      <c r="BY106">
        <v>2.73969264</v>
      </c>
      <c r="CB106">
        <v>5.125</v>
      </c>
      <c r="CC106">
        <v>1.87018386</v>
      </c>
      <c r="CD106">
        <v>1.47452546</v>
      </c>
      <c r="CE106">
        <v>0</v>
      </c>
      <c r="CF106">
        <v>0.51688539</v>
      </c>
      <c r="CG106">
        <v>0.30441029</v>
      </c>
    </row>
    <row r="107" spans="20:103">
      <c r="T107">
        <v>52.894</v>
      </c>
      <c r="U107">
        <v>1.14991633896824</v>
      </c>
      <c r="V107">
        <v>52.894</v>
      </c>
      <c r="W107">
        <v>1.15805899113095</v>
      </c>
      <c r="X107">
        <v>52.894</v>
      </c>
      <c r="Y107">
        <v>1.15201498599974</v>
      </c>
      <c r="Z107">
        <v>52.894</v>
      </c>
      <c r="AA107">
        <v>1.15805914110542</v>
      </c>
      <c r="AB107">
        <v>52.894</v>
      </c>
      <c r="AC107">
        <v>1.1375431214671</v>
      </c>
      <c r="AE107">
        <v>52.894</v>
      </c>
      <c r="AF107">
        <v>-1769.7349812197</v>
      </c>
      <c r="AG107">
        <v>-1857.44126025684</v>
      </c>
      <c r="AH107">
        <v>-1800.76109611622</v>
      </c>
      <c r="AI107">
        <v>-1852.06285552917</v>
      </c>
      <c r="AJ107">
        <v>-1971.90409707814</v>
      </c>
      <c r="BF107">
        <v>5.175</v>
      </c>
      <c r="BG107">
        <v>0.52013138</v>
      </c>
      <c r="BH107">
        <v>5.175</v>
      </c>
      <c r="BI107">
        <v>3.3271896</v>
      </c>
      <c r="BJ107">
        <v>5.175</v>
      </c>
      <c r="BK107">
        <v>0.65052634</v>
      </c>
      <c r="BL107">
        <v>5.175</v>
      </c>
      <c r="BM107">
        <v>3.82809729</v>
      </c>
      <c r="BN107">
        <v>5.175</v>
      </c>
      <c r="BO107">
        <v>0.60396189</v>
      </c>
      <c r="BP107">
        <v>5.175</v>
      </c>
      <c r="BQ107">
        <v>2.75033338</v>
      </c>
      <c r="BR107">
        <v>5.175</v>
      </c>
      <c r="BS107">
        <v>0.57303256</v>
      </c>
      <c r="BT107">
        <v>5.175</v>
      </c>
      <c r="BU107">
        <v>3.86546017</v>
      </c>
      <c r="BV107">
        <v>5.175</v>
      </c>
      <c r="BW107">
        <v>0.56019117</v>
      </c>
      <c r="BX107">
        <v>5.175</v>
      </c>
      <c r="BY107">
        <v>2.43110237</v>
      </c>
      <c r="CB107">
        <v>5.175</v>
      </c>
      <c r="CC107">
        <v>2.09015757</v>
      </c>
      <c r="CD107">
        <v>0.76561946</v>
      </c>
      <c r="CE107">
        <v>0</v>
      </c>
      <c r="CF107">
        <v>0.2534728</v>
      </c>
      <c r="CG107">
        <v>0.25590551</v>
      </c>
    </row>
    <row r="108" spans="20:103">
      <c r="T108">
        <v>53.393</v>
      </c>
      <c r="U108">
        <v>1.14639691087006</v>
      </c>
      <c r="V108">
        <v>53.393</v>
      </c>
      <c r="W108">
        <v>1.15641211591403</v>
      </c>
      <c r="X108">
        <v>53.393</v>
      </c>
      <c r="Y108">
        <v>1.14613534195538</v>
      </c>
      <c r="Z108">
        <v>53.393</v>
      </c>
      <c r="AA108">
        <v>1.15152901783253</v>
      </c>
      <c r="AB108">
        <v>53.393</v>
      </c>
      <c r="AC108">
        <v>1.13444841539209</v>
      </c>
      <c r="AE108">
        <v>53.393</v>
      </c>
      <c r="AF108">
        <v>-1765.32072096</v>
      </c>
      <c r="AG108">
        <v>-2077.29489637757</v>
      </c>
      <c r="AH108">
        <v>-1732.85841681418</v>
      </c>
      <c r="AI108">
        <v>-1804.70222612535</v>
      </c>
      <c r="AJ108">
        <v>-1967.94065792338</v>
      </c>
      <c r="BF108">
        <v>5.225</v>
      </c>
      <c r="BG108">
        <v>0.60741002</v>
      </c>
      <c r="BH108">
        <v>5.225</v>
      </c>
      <c r="BI108">
        <v>3.7659421</v>
      </c>
      <c r="BJ108">
        <v>5.225</v>
      </c>
      <c r="BK108">
        <v>0.65040758</v>
      </c>
      <c r="BL108">
        <v>5.225</v>
      </c>
      <c r="BM108">
        <v>4.2558745</v>
      </c>
      <c r="BN108">
        <v>5.225</v>
      </c>
      <c r="BO108">
        <v>0.63360113</v>
      </c>
      <c r="BP108">
        <v>5.225</v>
      </c>
      <c r="BQ108">
        <v>3.45086331</v>
      </c>
      <c r="BR108">
        <v>5.225</v>
      </c>
      <c r="BS108">
        <v>0.62366376</v>
      </c>
      <c r="BT108">
        <v>5.225</v>
      </c>
      <c r="BU108">
        <v>4.78641417</v>
      </c>
      <c r="BV108">
        <v>5.225</v>
      </c>
      <c r="BW108">
        <v>0.63278198</v>
      </c>
      <c r="BX108">
        <v>5.225</v>
      </c>
      <c r="BY108">
        <v>3.8909847</v>
      </c>
      <c r="CB108">
        <v>5.225</v>
      </c>
      <c r="CC108">
        <v>1.84112725</v>
      </c>
      <c r="CD108">
        <v>0.66758816</v>
      </c>
      <c r="CE108">
        <v>0</v>
      </c>
      <c r="CF108">
        <v>0.08288163</v>
      </c>
      <c r="CG108">
        <v>0.33470836</v>
      </c>
    </row>
    <row r="109" spans="20:103">
      <c r="T109">
        <v>53.892</v>
      </c>
      <c r="U109">
        <v>1.15865617849599</v>
      </c>
      <c r="V109">
        <v>53.892</v>
      </c>
      <c r="W109">
        <v>1.15693927426035</v>
      </c>
      <c r="X109">
        <v>53.892</v>
      </c>
      <c r="Y109">
        <v>1.14957479701942</v>
      </c>
      <c r="Z109">
        <v>53.892</v>
      </c>
      <c r="AA109">
        <v>1.15688770212668</v>
      </c>
      <c r="AB109">
        <v>53.892</v>
      </c>
      <c r="AC109">
        <v>1.13062258538209</v>
      </c>
      <c r="AE109">
        <v>53.892</v>
      </c>
      <c r="AF109">
        <v>-1879.02726936469</v>
      </c>
      <c r="AG109">
        <v>-2004.51773963584</v>
      </c>
      <c r="AH109">
        <v>-1741.17992726848</v>
      </c>
      <c r="AI109">
        <v>-1897.18730638526</v>
      </c>
      <c r="AJ109">
        <v>-1840.71171047721</v>
      </c>
      <c r="BF109">
        <v>5.275</v>
      </c>
      <c r="BG109">
        <v>0.68335576</v>
      </c>
      <c r="BH109">
        <v>5.275</v>
      </c>
      <c r="BI109">
        <v>4.18754055</v>
      </c>
      <c r="BJ109">
        <v>5.275</v>
      </c>
      <c r="BK109">
        <v>0.69031076</v>
      </c>
      <c r="BL109">
        <v>5.275</v>
      </c>
      <c r="BM109">
        <v>3.86854963</v>
      </c>
      <c r="BN109">
        <v>5.275</v>
      </c>
      <c r="BO109">
        <v>0.52476674</v>
      </c>
      <c r="BP109">
        <v>5.275</v>
      </c>
      <c r="BQ109">
        <v>3.63199133</v>
      </c>
      <c r="BR109">
        <v>5.275</v>
      </c>
      <c r="BS109">
        <v>0.62799942</v>
      </c>
      <c r="BT109">
        <v>5.275</v>
      </c>
      <c r="BU109">
        <v>4.81808398</v>
      </c>
      <c r="BV109">
        <v>5.275</v>
      </c>
      <c r="BW109">
        <v>0.66985698</v>
      </c>
      <c r="BX109">
        <v>5.275</v>
      </c>
      <c r="BY109">
        <v>3.14026091</v>
      </c>
      <c r="CB109">
        <v>5.275</v>
      </c>
      <c r="CC109">
        <v>2.38115051</v>
      </c>
      <c r="CD109">
        <v>0.65499253</v>
      </c>
      <c r="CE109">
        <v>0</v>
      </c>
      <c r="CF109">
        <v>0.32527149</v>
      </c>
      <c r="CG109">
        <v>0.61573743</v>
      </c>
    </row>
    <row r="110" spans="20:103">
      <c r="T110">
        <v>54.391</v>
      </c>
      <c r="U110">
        <v>1.15419391224375</v>
      </c>
      <c r="V110">
        <v>54.391</v>
      </c>
      <c r="W110">
        <v>1.16031972027873</v>
      </c>
      <c r="X110">
        <v>54.391</v>
      </c>
      <c r="Y110">
        <v>1.15168025289532</v>
      </c>
      <c r="Z110">
        <v>54.391</v>
      </c>
      <c r="AA110">
        <v>1.16103343547875</v>
      </c>
      <c r="AB110">
        <v>54.391</v>
      </c>
      <c r="AC110">
        <v>1.13722176138432</v>
      </c>
      <c r="AE110">
        <v>54.391</v>
      </c>
      <c r="AF110">
        <v>-1830.51818672294</v>
      </c>
      <c r="AG110">
        <v>-1888.61952220279</v>
      </c>
      <c r="AH110">
        <v>-1833.42193350663</v>
      </c>
      <c r="AI110">
        <v>-1858.36132882529</v>
      </c>
      <c r="AJ110">
        <v>-1875.31455048582</v>
      </c>
      <c r="BF110">
        <v>5.325</v>
      </c>
      <c r="BG110">
        <v>0.72516548</v>
      </c>
      <c r="BH110">
        <v>5.325</v>
      </c>
      <c r="BI110">
        <v>4.04884061</v>
      </c>
      <c r="BJ110">
        <v>5.325</v>
      </c>
      <c r="BK110">
        <v>0.67740813</v>
      </c>
      <c r="BL110">
        <v>5.325</v>
      </c>
      <c r="BM110">
        <v>3.49495334</v>
      </c>
      <c r="BN110">
        <v>5.325</v>
      </c>
      <c r="BO110">
        <v>0.58626022</v>
      </c>
      <c r="BP110">
        <v>5.325</v>
      </c>
      <c r="BQ110">
        <v>3.26206279</v>
      </c>
      <c r="BR110">
        <v>5.325</v>
      </c>
      <c r="BS110">
        <v>0.62021185</v>
      </c>
      <c r="BT110">
        <v>5.325</v>
      </c>
      <c r="BU110">
        <v>5.08711979</v>
      </c>
      <c r="BV110">
        <v>5.325</v>
      </c>
      <c r="BW110">
        <v>0.5731655</v>
      </c>
      <c r="BX110">
        <v>5.325</v>
      </c>
      <c r="BY110">
        <v>3.50452623</v>
      </c>
      <c r="CB110">
        <v>5.325</v>
      </c>
      <c r="CC110">
        <v>3.06180981</v>
      </c>
      <c r="CD110">
        <v>0.84360943</v>
      </c>
      <c r="CE110">
        <v>0</v>
      </c>
      <c r="CF110">
        <v>0.27929285</v>
      </c>
      <c r="CG110">
        <v>0.84592013</v>
      </c>
    </row>
    <row r="111" spans="20:103">
      <c r="T111">
        <v>54.89</v>
      </c>
      <c r="U111">
        <v>1.1623926345098</v>
      </c>
      <c r="V111">
        <v>54.89</v>
      </c>
      <c r="W111">
        <v>1.15013656050418</v>
      </c>
      <c r="X111">
        <v>54.89</v>
      </c>
      <c r="Y111">
        <v>1.14635754924972</v>
      </c>
      <c r="Z111">
        <v>54.89</v>
      </c>
      <c r="AA111">
        <v>1.15766331440816</v>
      </c>
      <c r="AB111">
        <v>54.89</v>
      </c>
      <c r="AC111">
        <v>1.13742538153729</v>
      </c>
      <c r="AE111">
        <v>54.89</v>
      </c>
      <c r="AF111">
        <v>-1764.56238267267</v>
      </c>
      <c r="AG111">
        <v>-1889.03007595729</v>
      </c>
      <c r="AH111">
        <v>-1845.56894565905</v>
      </c>
      <c r="AI111">
        <v>-1784.93777766631</v>
      </c>
      <c r="AJ111">
        <v>-1913.59711329007</v>
      </c>
      <c r="BF111">
        <v>5.375</v>
      </c>
      <c r="BG111">
        <v>0.58928752</v>
      </c>
      <c r="BH111">
        <v>5.375</v>
      </c>
      <c r="BI111">
        <v>4.38904409</v>
      </c>
      <c r="BJ111">
        <v>5.375</v>
      </c>
      <c r="BK111">
        <v>0.5991506</v>
      </c>
      <c r="BL111">
        <v>5.375</v>
      </c>
      <c r="BM111">
        <v>4.1399374</v>
      </c>
      <c r="BN111">
        <v>5.375</v>
      </c>
      <c r="BO111">
        <v>0.58706746</v>
      </c>
      <c r="BP111">
        <v>5.375</v>
      </c>
      <c r="BQ111">
        <v>4.62461416</v>
      </c>
      <c r="BR111">
        <v>5.375</v>
      </c>
      <c r="BS111">
        <v>0.60097229</v>
      </c>
      <c r="BT111">
        <v>5.375</v>
      </c>
      <c r="BU111">
        <v>5.16913717</v>
      </c>
      <c r="BV111">
        <v>5.375</v>
      </c>
      <c r="BW111">
        <v>0.59402305</v>
      </c>
      <c r="BX111">
        <v>5.375</v>
      </c>
      <c r="BY111">
        <v>3.49893343</v>
      </c>
      <c r="CB111">
        <v>5.375</v>
      </c>
      <c r="CC111">
        <v>4.23088034</v>
      </c>
      <c r="CD111">
        <v>0.94627141</v>
      </c>
      <c r="CE111">
        <v>0</v>
      </c>
      <c r="CF111">
        <v>0.54824182</v>
      </c>
      <c r="CG111">
        <v>0.83025539</v>
      </c>
    </row>
    <row r="112" spans="20:103">
      <c r="T112">
        <v>55.389</v>
      </c>
      <c r="U112">
        <v>1.16619572065174</v>
      </c>
      <c r="V112">
        <v>55.389</v>
      </c>
      <c r="W112">
        <v>1.15437590193878</v>
      </c>
      <c r="X112">
        <v>55.389</v>
      </c>
      <c r="Y112">
        <v>1.15086656157119</v>
      </c>
      <c r="Z112">
        <v>55.389</v>
      </c>
      <c r="AA112">
        <v>1.16483650542242</v>
      </c>
      <c r="AB112">
        <v>55.389</v>
      </c>
      <c r="AC112">
        <v>1.13971038680949</v>
      </c>
      <c r="AE112">
        <v>55.389</v>
      </c>
      <c r="AF112">
        <v>-1815.46044213299</v>
      </c>
      <c r="AG112">
        <v>-1896.43827550512</v>
      </c>
      <c r="AH112">
        <v>-1756.11102132435</v>
      </c>
      <c r="AI112">
        <v>-1860.38310313004</v>
      </c>
      <c r="AJ112">
        <v>-1958.75962882098</v>
      </c>
      <c r="BF112">
        <v>5.425</v>
      </c>
      <c r="BG112">
        <v>0.60852587</v>
      </c>
      <c r="BH112">
        <v>5.425</v>
      </c>
      <c r="BI112">
        <v>4.01739767</v>
      </c>
      <c r="BJ112">
        <v>5.425</v>
      </c>
      <c r="BK112">
        <v>0.67163772</v>
      </c>
      <c r="BL112">
        <v>5.425</v>
      </c>
      <c r="BM112">
        <v>3.25118192</v>
      </c>
      <c r="BN112">
        <v>5.425</v>
      </c>
      <c r="BO112">
        <v>0.6182777</v>
      </c>
      <c r="BP112">
        <v>5.425</v>
      </c>
      <c r="BQ112">
        <v>4.42335713</v>
      </c>
      <c r="BR112">
        <v>5.425</v>
      </c>
      <c r="BS112">
        <v>0.6470371</v>
      </c>
      <c r="BT112">
        <v>5.425</v>
      </c>
      <c r="BU112">
        <v>5.59325512</v>
      </c>
      <c r="BV112">
        <v>5.425</v>
      </c>
      <c r="BW112">
        <v>0.58312385</v>
      </c>
      <c r="BX112">
        <v>5.425</v>
      </c>
      <c r="BY112">
        <v>3.55116632</v>
      </c>
      <c r="CB112">
        <v>5.425</v>
      </c>
      <c r="CC112">
        <v>3.68746646</v>
      </c>
      <c r="CD112">
        <v>0.69668184</v>
      </c>
      <c r="CE112">
        <v>0</v>
      </c>
      <c r="CF112">
        <v>0.65350747</v>
      </c>
      <c r="CG112">
        <v>1.31955907</v>
      </c>
    </row>
    <row r="113" spans="20:85">
      <c r="T113">
        <v>55.888</v>
      </c>
      <c r="U113">
        <v>1.16649288118799</v>
      </c>
      <c r="V113">
        <v>55.888</v>
      </c>
      <c r="W113">
        <v>1.15695842821857</v>
      </c>
      <c r="X113">
        <v>55.888</v>
      </c>
      <c r="Y113">
        <v>1.15460489238608</v>
      </c>
      <c r="Z113">
        <v>55.888</v>
      </c>
      <c r="AA113">
        <v>1.16829403355441</v>
      </c>
      <c r="AB113">
        <v>55.888</v>
      </c>
      <c r="AC113">
        <v>1.13740107910796</v>
      </c>
      <c r="AE113">
        <v>55.888</v>
      </c>
      <c r="AF113">
        <v>-1897.51797249784</v>
      </c>
      <c r="AG113">
        <v>-1888.3068330503</v>
      </c>
      <c r="AH113">
        <v>-1753.94374955329</v>
      </c>
      <c r="AI113">
        <v>-1768.73275124374</v>
      </c>
      <c r="AJ113">
        <v>-1937.3510852604</v>
      </c>
      <c r="BF113">
        <v>5.475</v>
      </c>
      <c r="BG113">
        <v>0.68966301</v>
      </c>
      <c r="BH113">
        <v>5.475</v>
      </c>
      <c r="BI113">
        <v>5.08764774</v>
      </c>
      <c r="BJ113">
        <v>5.475</v>
      </c>
      <c r="BK113">
        <v>0.6407986</v>
      </c>
      <c r="BL113">
        <v>5.475</v>
      </c>
      <c r="BM113">
        <v>3.87608641</v>
      </c>
      <c r="BN113">
        <v>5.475</v>
      </c>
      <c r="BO113">
        <v>0.55832379</v>
      </c>
      <c r="BP113">
        <v>5.475</v>
      </c>
      <c r="BQ113">
        <v>3.71435204</v>
      </c>
      <c r="BR113">
        <v>5.475</v>
      </c>
      <c r="BS113">
        <v>0.69880043</v>
      </c>
      <c r="BT113">
        <v>5.475</v>
      </c>
      <c r="BU113">
        <v>5.32172026</v>
      </c>
      <c r="BV113">
        <v>5.475</v>
      </c>
      <c r="BW113">
        <v>0.70522564</v>
      </c>
      <c r="BX113">
        <v>5.475</v>
      </c>
      <c r="BY113">
        <v>3.25797185</v>
      </c>
      <c r="CB113">
        <v>5.475</v>
      </c>
      <c r="CC113">
        <v>3.73475265</v>
      </c>
      <c r="CD113">
        <v>0.7220161</v>
      </c>
      <c r="CE113">
        <v>0</v>
      </c>
      <c r="CF113">
        <v>0.90582473</v>
      </c>
      <c r="CG113">
        <v>1.44798749</v>
      </c>
    </row>
    <row r="114" spans="20:85">
      <c r="T114">
        <v>56.387</v>
      </c>
      <c r="U114">
        <v>1.16381754481801</v>
      </c>
      <c r="V114">
        <v>56.387</v>
      </c>
      <c r="W114">
        <v>1.16350073022654</v>
      </c>
      <c r="X114">
        <v>56.387</v>
      </c>
      <c r="Y114">
        <v>1.16212512120152</v>
      </c>
      <c r="Z114">
        <v>56.387</v>
      </c>
      <c r="AA114">
        <v>1.16163767005567</v>
      </c>
      <c r="AB114">
        <v>56.387</v>
      </c>
      <c r="AC114">
        <v>1.14149250232784</v>
      </c>
      <c r="AE114">
        <v>56.387</v>
      </c>
      <c r="AF114">
        <v>-1910.13910257825</v>
      </c>
      <c r="AG114">
        <v>-1911.29494985242</v>
      </c>
      <c r="AH114">
        <v>-1795.53119725561</v>
      </c>
      <c r="AI114">
        <v>-1800.30103125079</v>
      </c>
      <c r="AJ114">
        <v>-1837.34693126912</v>
      </c>
      <c r="BF114">
        <v>5.525</v>
      </c>
      <c r="BG114">
        <v>0.68810176</v>
      </c>
      <c r="BH114">
        <v>5.525</v>
      </c>
      <c r="BI114">
        <v>3.98555781</v>
      </c>
      <c r="BJ114">
        <v>5.525</v>
      </c>
      <c r="BK114">
        <v>0.6914466</v>
      </c>
      <c r="BL114">
        <v>5.525</v>
      </c>
      <c r="BM114">
        <v>3.30248068</v>
      </c>
      <c r="BN114">
        <v>5.525</v>
      </c>
      <c r="BO114">
        <v>0.64393443</v>
      </c>
      <c r="BP114">
        <v>5.525</v>
      </c>
      <c r="BQ114">
        <v>4.26468575</v>
      </c>
      <c r="BR114">
        <v>5.525</v>
      </c>
      <c r="BS114">
        <v>0.74125334</v>
      </c>
      <c r="BT114">
        <v>5.525</v>
      </c>
      <c r="BU114">
        <v>6.50449804</v>
      </c>
      <c r="BV114">
        <v>5.525</v>
      </c>
      <c r="BW114">
        <v>0.75209077</v>
      </c>
      <c r="BX114">
        <v>5.525</v>
      </c>
      <c r="BY114">
        <v>4.54633283</v>
      </c>
      <c r="CB114">
        <v>5.525</v>
      </c>
      <c r="CC114">
        <v>2.99384624</v>
      </c>
      <c r="CD114">
        <v>0.67169099</v>
      </c>
      <c r="CE114">
        <v>0</v>
      </c>
      <c r="CF114">
        <v>1.11188001</v>
      </c>
      <c r="CG114">
        <v>1.45931671</v>
      </c>
    </row>
    <row r="115" spans="20:85">
      <c r="T115">
        <v>56.886</v>
      </c>
      <c r="U115">
        <v>1.16231426805108</v>
      </c>
      <c r="V115">
        <v>56.886</v>
      </c>
      <c r="W115">
        <v>1.16222986629215</v>
      </c>
      <c r="X115">
        <v>56.886</v>
      </c>
      <c r="Y115">
        <v>1.15663874823259</v>
      </c>
      <c r="Z115">
        <v>56.886</v>
      </c>
      <c r="AA115">
        <v>1.1635037535008</v>
      </c>
      <c r="AB115">
        <v>56.886</v>
      </c>
      <c r="AC115">
        <v>1.14225193990268</v>
      </c>
      <c r="AE115">
        <v>56.886</v>
      </c>
      <c r="AF115">
        <v>-1841.7348029329</v>
      </c>
      <c r="AG115">
        <v>-1909.58931824909</v>
      </c>
      <c r="AH115">
        <v>-1823.63105644999</v>
      </c>
      <c r="AI115">
        <v>-1891.4377742119</v>
      </c>
      <c r="AJ115">
        <v>-1806.45499492013</v>
      </c>
      <c r="BF115">
        <v>5.575</v>
      </c>
      <c r="BG115">
        <v>0.75050985</v>
      </c>
      <c r="BH115">
        <v>5.575</v>
      </c>
      <c r="BI115">
        <v>3.74899232</v>
      </c>
      <c r="BJ115">
        <v>5.575</v>
      </c>
      <c r="BK115">
        <v>0.72940335</v>
      </c>
      <c r="BL115">
        <v>5.575</v>
      </c>
      <c r="BM115">
        <v>4.78280199</v>
      </c>
      <c r="BN115">
        <v>5.575</v>
      </c>
      <c r="BO115">
        <v>0.76615093</v>
      </c>
      <c r="BP115">
        <v>5.575</v>
      </c>
      <c r="BQ115">
        <v>4.68454314</v>
      </c>
      <c r="BR115">
        <v>5.575</v>
      </c>
      <c r="BS115">
        <v>0.69197658</v>
      </c>
      <c r="BT115">
        <v>5.575</v>
      </c>
      <c r="BU115">
        <v>6.98896345</v>
      </c>
      <c r="BV115">
        <v>5.575</v>
      </c>
      <c r="BW115">
        <v>0.77522831</v>
      </c>
      <c r="BX115">
        <v>5.575</v>
      </c>
      <c r="BY115">
        <v>3.91389735</v>
      </c>
      <c r="CB115">
        <v>5.575</v>
      </c>
      <c r="CC115">
        <v>3.27117957</v>
      </c>
      <c r="CD115">
        <v>0.98954524</v>
      </c>
      <c r="CE115">
        <v>0</v>
      </c>
      <c r="CF115">
        <v>0.91002128</v>
      </c>
      <c r="CG115">
        <v>1.61700923</v>
      </c>
    </row>
    <row r="116" spans="20:85">
      <c r="T116">
        <v>57.385</v>
      </c>
      <c r="U116">
        <v>1.16333781224197</v>
      </c>
      <c r="V116">
        <v>57.385</v>
      </c>
      <c r="W116">
        <v>1.15511707222835</v>
      </c>
      <c r="X116">
        <v>57.385</v>
      </c>
      <c r="Y116">
        <v>1.15114941705682</v>
      </c>
      <c r="Z116">
        <v>57.385</v>
      </c>
      <c r="AA116">
        <v>1.16600102940106</v>
      </c>
      <c r="AB116">
        <v>57.385</v>
      </c>
      <c r="AC116">
        <v>1.13921382672384</v>
      </c>
      <c r="AE116">
        <v>57.385</v>
      </c>
      <c r="AF116">
        <v>-1820.90857132989</v>
      </c>
      <c r="AG116">
        <v>-1948.29121069704</v>
      </c>
      <c r="AH116">
        <v>-1821.0557665165</v>
      </c>
      <c r="AI116">
        <v>-1896.05628116146</v>
      </c>
      <c r="AJ116">
        <v>-1976.20580330836</v>
      </c>
      <c r="BF116">
        <v>5.625</v>
      </c>
      <c r="BG116">
        <v>0.81409409</v>
      </c>
      <c r="BH116">
        <v>5.625</v>
      </c>
      <c r="BI116">
        <v>3.41185785</v>
      </c>
      <c r="BJ116">
        <v>5.625</v>
      </c>
      <c r="BK116">
        <v>0.75884822</v>
      </c>
      <c r="BL116">
        <v>5.625</v>
      </c>
      <c r="BM116">
        <v>3.8881265</v>
      </c>
      <c r="BN116">
        <v>5.625</v>
      </c>
      <c r="BO116">
        <v>0.69934173</v>
      </c>
      <c r="BP116">
        <v>5.625</v>
      </c>
      <c r="BQ116">
        <v>5.79264396</v>
      </c>
      <c r="BR116">
        <v>5.625</v>
      </c>
      <c r="BS116">
        <v>0.70451133</v>
      </c>
      <c r="BT116">
        <v>5.625</v>
      </c>
      <c r="BU116">
        <v>7.07980787</v>
      </c>
      <c r="BV116">
        <v>5.625</v>
      </c>
      <c r="BW116">
        <v>0.7794679</v>
      </c>
      <c r="BX116">
        <v>5.625</v>
      </c>
      <c r="BY116">
        <v>3.14068093</v>
      </c>
      <c r="CB116">
        <v>5.625</v>
      </c>
      <c r="CC116">
        <v>2.70782369</v>
      </c>
      <c r="CD116">
        <v>0.64802108</v>
      </c>
      <c r="CE116">
        <v>0</v>
      </c>
      <c r="CF116">
        <v>1.53753403</v>
      </c>
      <c r="CG116">
        <v>1.19129277</v>
      </c>
    </row>
    <row r="117" spans="20:85">
      <c r="T117">
        <v>57.884</v>
      </c>
      <c r="U117">
        <v>1.16792385348122</v>
      </c>
      <c r="V117">
        <v>57.884</v>
      </c>
      <c r="W117">
        <v>1.16188001804931</v>
      </c>
      <c r="X117">
        <v>57.884</v>
      </c>
      <c r="Y117">
        <v>1.15519723121538</v>
      </c>
      <c r="Z117">
        <v>57.884</v>
      </c>
      <c r="AA117">
        <v>1.16197067102336</v>
      </c>
      <c r="AB117">
        <v>57.884</v>
      </c>
      <c r="AC117">
        <v>1.13901328613603</v>
      </c>
      <c r="AE117">
        <v>57.884</v>
      </c>
      <c r="AF117">
        <v>-1846.66128247794</v>
      </c>
      <c r="AG117">
        <v>-1982.40313221748</v>
      </c>
      <c r="AH117">
        <v>-1769.10798255508</v>
      </c>
      <c r="AI117">
        <v>-1753.82419127117</v>
      </c>
      <c r="AJ117">
        <v>-2028.88584235593</v>
      </c>
      <c r="BF117">
        <v>5.675</v>
      </c>
      <c r="BG117">
        <v>0.78608143</v>
      </c>
      <c r="BH117">
        <v>5.675</v>
      </c>
      <c r="BI117">
        <v>3.56482778</v>
      </c>
      <c r="BJ117">
        <v>5.675</v>
      </c>
      <c r="BK117">
        <v>0.74206783</v>
      </c>
      <c r="BL117">
        <v>5.675</v>
      </c>
      <c r="BM117">
        <v>3.66075238</v>
      </c>
      <c r="BN117">
        <v>5.675</v>
      </c>
      <c r="BO117">
        <v>0.76380184</v>
      </c>
      <c r="BP117">
        <v>5.675</v>
      </c>
      <c r="BQ117">
        <v>5.37189857</v>
      </c>
      <c r="BR117">
        <v>5.675</v>
      </c>
      <c r="BS117">
        <v>0.73736775</v>
      </c>
      <c r="BT117">
        <v>5.675</v>
      </c>
      <c r="BU117">
        <v>6.53405218</v>
      </c>
      <c r="BV117">
        <v>5.675</v>
      </c>
      <c r="BW117">
        <v>0.88577944</v>
      </c>
      <c r="BX117">
        <v>5.675</v>
      </c>
      <c r="BY117">
        <v>5.10717135</v>
      </c>
      <c r="CB117">
        <v>5.675</v>
      </c>
      <c r="CC117">
        <v>2.66031924</v>
      </c>
      <c r="CD117">
        <v>1.16719641</v>
      </c>
      <c r="CE117">
        <v>0</v>
      </c>
      <c r="CF117">
        <v>1.3700432</v>
      </c>
      <c r="CG117">
        <v>1.06399403</v>
      </c>
    </row>
    <row r="118" spans="20:85">
      <c r="T118">
        <v>58.383</v>
      </c>
      <c r="U118">
        <v>1.1660757127009</v>
      </c>
      <c r="V118">
        <v>58.383</v>
      </c>
      <c r="W118">
        <v>1.1680492504287</v>
      </c>
      <c r="X118">
        <v>58.383</v>
      </c>
      <c r="Y118">
        <v>1.16037260496099</v>
      </c>
      <c r="Z118">
        <v>58.383</v>
      </c>
      <c r="AA118">
        <v>1.16515326310657</v>
      </c>
      <c r="AB118">
        <v>58.383</v>
      </c>
      <c r="AC118">
        <v>1.14017955482093</v>
      </c>
      <c r="AE118">
        <v>58.383</v>
      </c>
      <c r="AF118">
        <v>-1807.79821551467</v>
      </c>
      <c r="AG118">
        <v>-1940.09137236851</v>
      </c>
      <c r="AH118">
        <v>-1761.41336157249</v>
      </c>
      <c r="AI118">
        <v>-1855.33429302832</v>
      </c>
      <c r="AJ118">
        <v>-1908.66710618202</v>
      </c>
      <c r="BF118">
        <v>5.725</v>
      </c>
      <c r="BG118">
        <v>0.89046485</v>
      </c>
      <c r="BH118">
        <v>5.725</v>
      </c>
      <c r="BI118">
        <v>3.3982702</v>
      </c>
      <c r="BJ118">
        <v>5.725</v>
      </c>
      <c r="BK118">
        <v>0.78027216</v>
      </c>
      <c r="BL118">
        <v>5.725</v>
      </c>
      <c r="BM118">
        <v>3.80561562</v>
      </c>
      <c r="BN118">
        <v>5.725</v>
      </c>
      <c r="BO118">
        <v>0.7813619</v>
      </c>
      <c r="BP118">
        <v>5.725</v>
      </c>
      <c r="BQ118">
        <v>5.90562236</v>
      </c>
      <c r="BR118">
        <v>5.725</v>
      </c>
      <c r="BS118">
        <v>0.77580922</v>
      </c>
      <c r="BT118">
        <v>5.725</v>
      </c>
      <c r="BU118">
        <v>5.95442119</v>
      </c>
      <c r="BV118">
        <v>5.725</v>
      </c>
      <c r="BW118">
        <v>0.88771312</v>
      </c>
      <c r="BX118">
        <v>5.725</v>
      </c>
      <c r="BY118">
        <v>4.18196103</v>
      </c>
      <c r="CB118">
        <v>5.725</v>
      </c>
      <c r="CC118">
        <v>2.96259453</v>
      </c>
      <c r="CD118">
        <v>1.28591578</v>
      </c>
      <c r="CE118">
        <v>0</v>
      </c>
      <c r="CF118">
        <v>1.41525373</v>
      </c>
      <c r="CG118">
        <v>1.01064058</v>
      </c>
    </row>
    <row r="119" spans="20:85">
      <c r="T119">
        <v>58.882</v>
      </c>
      <c r="U119">
        <v>1.16870094229491</v>
      </c>
      <c r="V119">
        <v>58.882</v>
      </c>
      <c r="W119">
        <v>1.16127794745966</v>
      </c>
      <c r="X119">
        <v>58.882</v>
      </c>
      <c r="Y119">
        <v>1.15739053798213</v>
      </c>
      <c r="Z119">
        <v>58.882</v>
      </c>
      <c r="AA119">
        <v>1.16604591900664</v>
      </c>
      <c r="AB119">
        <v>58.882</v>
      </c>
      <c r="AC119">
        <v>1.13923659987044</v>
      </c>
      <c r="AE119">
        <v>58.882</v>
      </c>
      <c r="AF119">
        <v>-1936.31818622663</v>
      </c>
      <c r="AG119">
        <v>-1907.4939042432</v>
      </c>
      <c r="AH119">
        <v>-1782.40898834227</v>
      </c>
      <c r="AI119">
        <v>-1866.05439895833</v>
      </c>
      <c r="AJ119">
        <v>-1809.52001996965</v>
      </c>
      <c r="BF119">
        <v>5.775</v>
      </c>
      <c r="BG119">
        <v>0.87842721</v>
      </c>
      <c r="BH119">
        <v>5.775</v>
      </c>
      <c r="BI119">
        <v>3.33968079</v>
      </c>
      <c r="BJ119">
        <v>5.775</v>
      </c>
      <c r="BK119">
        <v>0.80700221</v>
      </c>
      <c r="BL119">
        <v>5.775</v>
      </c>
      <c r="BM119">
        <v>3.63753735</v>
      </c>
      <c r="BN119">
        <v>5.775</v>
      </c>
      <c r="BO119">
        <v>0.78136224</v>
      </c>
      <c r="BP119">
        <v>5.775</v>
      </c>
      <c r="BQ119">
        <v>4.8793041</v>
      </c>
      <c r="BR119">
        <v>5.775</v>
      </c>
      <c r="BS119">
        <v>0.79937965</v>
      </c>
      <c r="BT119">
        <v>5.775</v>
      </c>
      <c r="BU119">
        <v>6.20795549</v>
      </c>
      <c r="BV119">
        <v>5.775</v>
      </c>
      <c r="BW119">
        <v>0.97123558</v>
      </c>
      <c r="BX119">
        <v>5.775</v>
      </c>
      <c r="BY119">
        <v>3.7502473</v>
      </c>
      <c r="CB119">
        <v>5.775</v>
      </c>
      <c r="CC119">
        <v>2.50047895</v>
      </c>
      <c r="CD119">
        <v>1.09296897</v>
      </c>
      <c r="CE119">
        <v>0</v>
      </c>
      <c r="CF119">
        <v>1.45869992</v>
      </c>
      <c r="CG119">
        <v>1.06171385</v>
      </c>
    </row>
    <row r="120" spans="20:85">
      <c r="T120">
        <v>59.381</v>
      </c>
      <c r="U120">
        <v>1.17334403044424</v>
      </c>
      <c r="V120">
        <v>59.381</v>
      </c>
      <c r="W120">
        <v>1.16351061368429</v>
      </c>
      <c r="X120">
        <v>59.381</v>
      </c>
      <c r="Y120">
        <v>1.15873773228876</v>
      </c>
      <c r="Z120">
        <v>59.381</v>
      </c>
      <c r="AA120">
        <v>1.17003816494303</v>
      </c>
      <c r="AB120">
        <v>59.381</v>
      </c>
      <c r="AC120">
        <v>1.14487919983427</v>
      </c>
      <c r="AE120">
        <v>59.381</v>
      </c>
      <c r="AF120">
        <v>-1869.01457641249</v>
      </c>
      <c r="AG120">
        <v>-1954.645205692</v>
      </c>
      <c r="AH120">
        <v>-1830.87996898883</v>
      </c>
      <c r="AI120">
        <v>-1893.09162459786</v>
      </c>
      <c r="AJ120">
        <v>-1767.45368222502</v>
      </c>
      <c r="BF120">
        <v>5.825</v>
      </c>
      <c r="BG120">
        <v>0.90576777</v>
      </c>
      <c r="BH120">
        <v>5.825</v>
      </c>
      <c r="BI120">
        <v>2.82808067</v>
      </c>
      <c r="BJ120">
        <v>5.825</v>
      </c>
      <c r="BK120">
        <v>0.99726936</v>
      </c>
      <c r="BL120">
        <v>5.825</v>
      </c>
      <c r="BM120">
        <v>5.69035971</v>
      </c>
      <c r="BN120">
        <v>5.825</v>
      </c>
      <c r="BO120">
        <v>0.82097188</v>
      </c>
      <c r="BP120">
        <v>5.825</v>
      </c>
      <c r="BQ120">
        <v>5.70459594</v>
      </c>
      <c r="BR120">
        <v>5.825</v>
      </c>
      <c r="BS120">
        <v>0.96068561</v>
      </c>
      <c r="BT120">
        <v>5.825</v>
      </c>
      <c r="BU120">
        <v>6.15185428</v>
      </c>
      <c r="BV120">
        <v>5.825</v>
      </c>
      <c r="BW120">
        <v>1.12881245</v>
      </c>
      <c r="BX120">
        <v>5.825</v>
      </c>
      <c r="BY120">
        <v>3.53465679</v>
      </c>
      <c r="CB120">
        <v>5.825</v>
      </c>
      <c r="CC120">
        <v>2.08739288</v>
      </c>
      <c r="CD120">
        <v>1.41000064</v>
      </c>
      <c r="CE120">
        <v>0</v>
      </c>
      <c r="CF120">
        <v>1.23370519</v>
      </c>
      <c r="CG120">
        <v>0.94257514</v>
      </c>
    </row>
    <row r="121" spans="20:85">
      <c r="T121">
        <v>59.88</v>
      </c>
      <c r="U121">
        <v>1.16855031202585</v>
      </c>
      <c r="V121">
        <v>59.88</v>
      </c>
      <c r="W121">
        <v>1.16452042937633</v>
      </c>
      <c r="X121">
        <v>59.88</v>
      </c>
      <c r="Y121">
        <v>1.1499574667992</v>
      </c>
      <c r="Z121">
        <v>59.88</v>
      </c>
      <c r="AA121">
        <v>1.16903061348293</v>
      </c>
      <c r="AB121">
        <v>59.88</v>
      </c>
      <c r="AC121">
        <v>1.14622446732478</v>
      </c>
      <c r="AE121">
        <v>59.88</v>
      </c>
      <c r="AF121">
        <v>-1739.66951779926</v>
      </c>
      <c r="AG121">
        <v>-1953.66852795604</v>
      </c>
      <c r="AH121">
        <v>-1856.96835569088</v>
      </c>
      <c r="AI121">
        <v>-1833.17869359215</v>
      </c>
      <c r="AJ121">
        <v>-1904.70046894818</v>
      </c>
      <c r="BF121">
        <v>5.875</v>
      </c>
      <c r="BG121">
        <v>1.00572183</v>
      </c>
      <c r="BH121">
        <v>5.875</v>
      </c>
      <c r="BI121">
        <v>2.87943927</v>
      </c>
      <c r="BJ121">
        <v>5.875</v>
      </c>
      <c r="BK121">
        <v>0.91565621</v>
      </c>
      <c r="BL121">
        <v>5.875</v>
      </c>
      <c r="BM121">
        <v>4.55433809</v>
      </c>
      <c r="BN121">
        <v>5.875</v>
      </c>
      <c r="BO121">
        <v>0.93722799</v>
      </c>
      <c r="BP121">
        <v>5.875</v>
      </c>
      <c r="BQ121">
        <v>5.95530288</v>
      </c>
      <c r="BR121">
        <v>5.875</v>
      </c>
      <c r="BS121">
        <v>0.93466708</v>
      </c>
      <c r="BT121">
        <v>5.875</v>
      </c>
      <c r="BU121">
        <v>6.04758808</v>
      </c>
      <c r="BV121">
        <v>5.875</v>
      </c>
      <c r="BW121">
        <v>1.04382409</v>
      </c>
      <c r="BX121">
        <v>5.875</v>
      </c>
      <c r="BY121">
        <v>3.4747488</v>
      </c>
      <c r="CB121">
        <v>5.875</v>
      </c>
      <c r="CC121">
        <v>2.71395425</v>
      </c>
      <c r="CD121">
        <v>1.1220833</v>
      </c>
      <c r="CE121">
        <v>0</v>
      </c>
      <c r="CF121">
        <v>1.08168242</v>
      </c>
      <c r="CG121">
        <v>0.82732114</v>
      </c>
    </row>
    <row r="122" spans="20:85">
      <c r="T122">
        <v>60.379</v>
      </c>
      <c r="U122">
        <v>1.16976417137629</v>
      </c>
      <c r="V122">
        <v>60.379</v>
      </c>
      <c r="W122">
        <v>1.16430341562795</v>
      </c>
      <c r="X122">
        <v>60.379</v>
      </c>
      <c r="Y122">
        <v>1.15541558133178</v>
      </c>
      <c r="Z122">
        <v>60.379</v>
      </c>
      <c r="AA122">
        <v>1.16535916238501</v>
      </c>
      <c r="AB122">
        <v>60.379</v>
      </c>
      <c r="AC122">
        <v>1.14344793655725</v>
      </c>
      <c r="AE122">
        <v>60.379</v>
      </c>
      <c r="AF122">
        <v>-1723.35467818402</v>
      </c>
      <c r="AG122">
        <v>-1898.26326358256</v>
      </c>
      <c r="AH122">
        <v>-1852.74046842601</v>
      </c>
      <c r="AI122">
        <v>-1801.67336699525</v>
      </c>
      <c r="AJ122">
        <v>-2035.44190138842</v>
      </c>
      <c r="BF122">
        <v>5.925</v>
      </c>
      <c r="BG122">
        <v>0.99511756</v>
      </c>
      <c r="BH122">
        <v>5.925</v>
      </c>
      <c r="BI122">
        <v>3.46559138</v>
      </c>
      <c r="BJ122">
        <v>5.925</v>
      </c>
      <c r="BK122">
        <v>1.05614408</v>
      </c>
      <c r="BL122">
        <v>5.925</v>
      </c>
      <c r="BM122">
        <v>4.57513981</v>
      </c>
      <c r="BN122">
        <v>5.925</v>
      </c>
      <c r="BO122">
        <v>0.99506679</v>
      </c>
      <c r="BP122">
        <v>5.925</v>
      </c>
      <c r="BQ122">
        <v>7.17263976</v>
      </c>
      <c r="BR122">
        <v>5.925</v>
      </c>
      <c r="BS122">
        <v>0.92214959</v>
      </c>
      <c r="BT122">
        <v>5.925</v>
      </c>
      <c r="BU122">
        <v>6.42936095</v>
      </c>
      <c r="BV122">
        <v>5.925</v>
      </c>
      <c r="BW122">
        <v>1.06513101</v>
      </c>
      <c r="BX122">
        <v>5.925</v>
      </c>
      <c r="BY122">
        <v>3.17232597</v>
      </c>
      <c r="CB122">
        <v>5.925</v>
      </c>
      <c r="CC122">
        <v>2.0826089</v>
      </c>
      <c r="CD122">
        <v>1.3628076</v>
      </c>
      <c r="CE122">
        <v>0</v>
      </c>
      <c r="CF122">
        <v>1.12795806</v>
      </c>
      <c r="CG122">
        <v>0.5531235</v>
      </c>
    </row>
    <row r="123" spans="20:85">
      <c r="T123">
        <v>60.878</v>
      </c>
      <c r="U123">
        <v>1.16788566352938</v>
      </c>
      <c r="V123">
        <v>60.878</v>
      </c>
      <c r="W123">
        <v>1.17034055476453</v>
      </c>
      <c r="X123">
        <v>60.878</v>
      </c>
      <c r="Y123">
        <v>1.15125930896193</v>
      </c>
      <c r="Z123">
        <v>60.878</v>
      </c>
      <c r="AA123">
        <v>1.16463126234117</v>
      </c>
      <c r="AB123">
        <v>60.878</v>
      </c>
      <c r="AC123">
        <v>1.14514138108582</v>
      </c>
      <c r="AE123">
        <v>60.878</v>
      </c>
      <c r="AF123">
        <v>-1904.84135770708</v>
      </c>
      <c r="AG123">
        <v>-1902.26392830465</v>
      </c>
      <c r="AH123">
        <v>-1720.4593799266</v>
      </c>
      <c r="AI123">
        <v>-1861.78861246026</v>
      </c>
      <c r="AJ123">
        <v>-1941.96243348902</v>
      </c>
      <c r="BF123">
        <v>5.975</v>
      </c>
      <c r="BG123">
        <v>0.99091914</v>
      </c>
      <c r="BH123">
        <v>5.975</v>
      </c>
      <c r="BI123">
        <v>2.83186112</v>
      </c>
      <c r="BJ123">
        <v>5.975</v>
      </c>
      <c r="BK123">
        <v>1.04479837</v>
      </c>
      <c r="BL123">
        <v>5.975</v>
      </c>
      <c r="BM123">
        <v>4.88177345</v>
      </c>
      <c r="BN123">
        <v>5.975</v>
      </c>
      <c r="BO123">
        <v>1.02882267</v>
      </c>
      <c r="BP123">
        <v>5.975</v>
      </c>
      <c r="BQ123">
        <v>5.4697499</v>
      </c>
      <c r="BR123">
        <v>5.975</v>
      </c>
      <c r="BS123">
        <v>1.04483738</v>
      </c>
      <c r="BT123">
        <v>5.975</v>
      </c>
      <c r="BU123">
        <v>6.13206586</v>
      </c>
      <c r="BV123">
        <v>5.975</v>
      </c>
      <c r="BW123">
        <v>1.15880256</v>
      </c>
      <c r="BX123">
        <v>5.975</v>
      </c>
      <c r="BY123">
        <v>3.9353126</v>
      </c>
      <c r="CB123">
        <v>5.975</v>
      </c>
      <c r="CC123">
        <v>2.75186504</v>
      </c>
      <c r="CD123">
        <v>0.95721048</v>
      </c>
      <c r="CE123">
        <v>0</v>
      </c>
      <c r="CF123">
        <v>1.1091592</v>
      </c>
      <c r="CG123">
        <v>0.73587146</v>
      </c>
    </row>
    <row r="124" spans="20:85">
      <c r="T124">
        <v>61.377</v>
      </c>
      <c r="U124">
        <v>1.17368181846455</v>
      </c>
      <c r="V124">
        <v>61.377</v>
      </c>
      <c r="W124">
        <v>1.16893084758499</v>
      </c>
      <c r="X124">
        <v>61.377</v>
      </c>
      <c r="Y124">
        <v>1.14892709774445</v>
      </c>
      <c r="Z124">
        <v>61.377</v>
      </c>
      <c r="AA124">
        <v>1.16793473925092</v>
      </c>
      <c r="AB124">
        <v>61.377</v>
      </c>
      <c r="AC124">
        <v>1.143521065145</v>
      </c>
      <c r="AE124">
        <v>61.377</v>
      </c>
      <c r="AF124">
        <v>-2016.05289041754</v>
      </c>
      <c r="AG124">
        <v>-1966.31725915942</v>
      </c>
      <c r="AH124">
        <v>-1716.57939464349</v>
      </c>
      <c r="AI124">
        <v>-1867.18607755522</v>
      </c>
      <c r="AJ124">
        <v>-1755.99504797681</v>
      </c>
      <c r="BF124">
        <v>6.025</v>
      </c>
      <c r="BG124">
        <v>0.95626805</v>
      </c>
      <c r="BH124">
        <v>6.025</v>
      </c>
      <c r="BI124">
        <v>3.39871066</v>
      </c>
      <c r="BJ124">
        <v>6.025</v>
      </c>
      <c r="BK124">
        <v>1.06752303</v>
      </c>
      <c r="BL124">
        <v>6.025</v>
      </c>
      <c r="BM124">
        <v>4.28332078</v>
      </c>
      <c r="BN124">
        <v>6.025</v>
      </c>
      <c r="BO124">
        <v>0.99325227</v>
      </c>
      <c r="BP124">
        <v>6.025</v>
      </c>
      <c r="BQ124">
        <v>5.6624662</v>
      </c>
      <c r="BR124">
        <v>6.025</v>
      </c>
      <c r="BS124">
        <v>1.07385457</v>
      </c>
      <c r="BT124">
        <v>6.025</v>
      </c>
      <c r="BU124">
        <v>5.37621588</v>
      </c>
      <c r="BV124">
        <v>6.025</v>
      </c>
      <c r="BW124">
        <v>1.13025653</v>
      </c>
      <c r="BX124">
        <v>6.025</v>
      </c>
      <c r="BY124">
        <v>4.29505307</v>
      </c>
      <c r="CB124">
        <v>6.025</v>
      </c>
      <c r="CC124">
        <v>2.45462437</v>
      </c>
      <c r="CD124">
        <v>0.97276882</v>
      </c>
      <c r="CE124">
        <v>0</v>
      </c>
      <c r="CF124">
        <v>0.93499407</v>
      </c>
      <c r="CG124">
        <v>0.72370858</v>
      </c>
    </row>
    <row r="125" spans="20:85">
      <c r="T125">
        <v>61.876</v>
      </c>
      <c r="U125">
        <v>1.17515089692818</v>
      </c>
      <c r="V125">
        <v>61.876</v>
      </c>
      <c r="W125">
        <v>1.17816980084819</v>
      </c>
      <c r="X125">
        <v>61.876</v>
      </c>
      <c r="Y125">
        <v>1.15061388193592</v>
      </c>
      <c r="Z125">
        <v>61.876</v>
      </c>
      <c r="AA125">
        <v>1.1628051361346</v>
      </c>
      <c r="AB125">
        <v>61.876</v>
      </c>
      <c r="AC125">
        <v>1.13758419626464</v>
      </c>
      <c r="AE125">
        <v>61.876</v>
      </c>
      <c r="AF125">
        <v>-1766.82219192369</v>
      </c>
      <c r="AG125">
        <v>-1986.45786732285</v>
      </c>
      <c r="AH125">
        <v>-1787.86558525745</v>
      </c>
      <c r="AI125">
        <v>-1869.12469947873</v>
      </c>
      <c r="AJ125">
        <v>-1769.61549428854</v>
      </c>
      <c r="BF125">
        <v>6.075</v>
      </c>
      <c r="BG125">
        <v>1.0604125</v>
      </c>
      <c r="BH125">
        <v>6.075</v>
      </c>
      <c r="BI125">
        <v>3.01798191</v>
      </c>
      <c r="BJ125">
        <v>6.075</v>
      </c>
      <c r="BK125">
        <v>1.09541309</v>
      </c>
      <c r="BL125">
        <v>6.075</v>
      </c>
      <c r="BM125">
        <v>4.58348677</v>
      </c>
      <c r="BN125">
        <v>6.075</v>
      </c>
      <c r="BO125">
        <v>1.05001428</v>
      </c>
      <c r="BP125">
        <v>6.075</v>
      </c>
      <c r="BQ125">
        <v>5.1519179</v>
      </c>
      <c r="BR125">
        <v>6.075</v>
      </c>
      <c r="BS125">
        <v>0.89842022</v>
      </c>
      <c r="BT125">
        <v>6.075</v>
      </c>
      <c r="BU125">
        <v>6.34569982</v>
      </c>
      <c r="BV125">
        <v>6.075</v>
      </c>
      <c r="BW125">
        <v>1.21643385</v>
      </c>
      <c r="BX125">
        <v>6.075</v>
      </c>
      <c r="BY125">
        <v>4.64246588</v>
      </c>
      <c r="CB125">
        <v>6.075</v>
      </c>
      <c r="CC125">
        <v>2.84773678</v>
      </c>
      <c r="CD125">
        <v>1.32720492</v>
      </c>
      <c r="CE125">
        <v>0</v>
      </c>
      <c r="CF125">
        <v>0.98097775</v>
      </c>
      <c r="CG125">
        <v>0.92849318</v>
      </c>
    </row>
    <row r="126" spans="20:85">
      <c r="T126">
        <v>62.375</v>
      </c>
      <c r="U126">
        <v>1.17303758785341</v>
      </c>
      <c r="V126">
        <v>62.375</v>
      </c>
      <c r="W126">
        <v>1.16765067686849</v>
      </c>
      <c r="X126">
        <v>62.375</v>
      </c>
      <c r="Y126">
        <v>1.14936283369931</v>
      </c>
      <c r="Z126">
        <v>62.375</v>
      </c>
      <c r="AA126">
        <v>1.17416409219254</v>
      </c>
      <c r="AB126">
        <v>62.375</v>
      </c>
      <c r="AC126">
        <v>1.13728606879346</v>
      </c>
      <c r="AE126">
        <v>62.375</v>
      </c>
      <c r="AF126">
        <v>-1733.04612133277</v>
      </c>
      <c r="AG126">
        <v>-1965.40297441483</v>
      </c>
      <c r="AH126">
        <v>-1760.49598938365</v>
      </c>
      <c r="AI126">
        <v>-1847.75497775059</v>
      </c>
      <c r="AJ126">
        <v>-1984.72669043946</v>
      </c>
      <c r="BF126">
        <v>6.125</v>
      </c>
      <c r="BG126">
        <v>1.03432998</v>
      </c>
      <c r="BH126">
        <v>6.125</v>
      </c>
      <c r="BI126">
        <v>3.19728783</v>
      </c>
      <c r="BJ126">
        <v>6.125</v>
      </c>
      <c r="BK126">
        <v>1.06867149</v>
      </c>
      <c r="BL126">
        <v>6.125</v>
      </c>
      <c r="BM126">
        <v>4.00796461</v>
      </c>
      <c r="BN126">
        <v>6.125</v>
      </c>
      <c r="BO126">
        <v>1.07785175</v>
      </c>
      <c r="BP126">
        <v>6.125</v>
      </c>
      <c r="BQ126">
        <v>5.15946674</v>
      </c>
      <c r="BR126">
        <v>6.125</v>
      </c>
      <c r="BS126">
        <v>0.97338763</v>
      </c>
      <c r="BT126">
        <v>6.125</v>
      </c>
      <c r="BU126">
        <v>4.61403652</v>
      </c>
      <c r="BV126">
        <v>6.125</v>
      </c>
      <c r="BW126">
        <v>1.10576969</v>
      </c>
      <c r="BX126">
        <v>6.125</v>
      </c>
      <c r="BY126">
        <v>4.4299709</v>
      </c>
      <c r="CB126">
        <v>6.125</v>
      </c>
      <c r="CC126">
        <v>2.80143315</v>
      </c>
      <c r="CD126">
        <v>0.91090105</v>
      </c>
      <c r="CE126">
        <v>0</v>
      </c>
      <c r="CF126">
        <v>1.08565565</v>
      </c>
      <c r="CG126">
        <v>0.66982378</v>
      </c>
    </row>
    <row r="127" spans="20:85">
      <c r="T127">
        <v>62.874</v>
      </c>
      <c r="U127">
        <v>1.17501020918271</v>
      </c>
      <c r="V127">
        <v>62.874</v>
      </c>
      <c r="W127">
        <v>1.18096622252053</v>
      </c>
      <c r="X127">
        <v>62.874</v>
      </c>
      <c r="Y127">
        <v>1.15850789061363</v>
      </c>
      <c r="Z127">
        <v>62.874</v>
      </c>
      <c r="AA127">
        <v>1.16869228246783</v>
      </c>
      <c r="AB127">
        <v>62.874</v>
      </c>
      <c r="AC127">
        <v>1.13906379111382</v>
      </c>
      <c r="AE127">
        <v>62.874</v>
      </c>
      <c r="AF127">
        <v>-1734.29488532008</v>
      </c>
      <c r="AG127">
        <v>-1912.65145161294</v>
      </c>
      <c r="AH127">
        <v>-1780.02316373916</v>
      </c>
      <c r="AI127">
        <v>-1926.65856797532</v>
      </c>
      <c r="AJ127">
        <v>-1954.51798367362</v>
      </c>
      <c r="BF127">
        <v>6.175</v>
      </c>
      <c r="BG127">
        <v>1.05243897</v>
      </c>
      <c r="BH127">
        <v>6.175</v>
      </c>
      <c r="BI127">
        <v>3.10078094</v>
      </c>
      <c r="BJ127">
        <v>6.175</v>
      </c>
      <c r="BK127">
        <v>1.13344132</v>
      </c>
      <c r="BL127">
        <v>6.175</v>
      </c>
      <c r="BM127">
        <v>4.16737378</v>
      </c>
      <c r="BN127">
        <v>6.175</v>
      </c>
      <c r="BO127">
        <v>1.04868445</v>
      </c>
      <c r="BP127">
        <v>6.175</v>
      </c>
      <c r="BQ127">
        <v>5.03132877</v>
      </c>
      <c r="BR127">
        <v>6.175</v>
      </c>
      <c r="BS127">
        <v>1.10457286</v>
      </c>
      <c r="BT127">
        <v>6.175</v>
      </c>
      <c r="BU127">
        <v>4.22807578</v>
      </c>
      <c r="BV127">
        <v>6.175</v>
      </c>
      <c r="BW127">
        <v>1.10581895</v>
      </c>
      <c r="BX127">
        <v>6.175</v>
      </c>
      <c r="BY127">
        <v>5.97611686</v>
      </c>
      <c r="CB127">
        <v>6.175</v>
      </c>
      <c r="CC127">
        <v>2.72629049</v>
      </c>
      <c r="CD127">
        <v>1.04557765</v>
      </c>
      <c r="CE127">
        <v>0</v>
      </c>
      <c r="CF127">
        <v>1.00880405</v>
      </c>
      <c r="CG127">
        <v>0.47928757</v>
      </c>
    </row>
    <row r="128" spans="20:85">
      <c r="T128">
        <v>63.373</v>
      </c>
      <c r="U128">
        <v>1.18637089057824</v>
      </c>
      <c r="V128">
        <v>63.373</v>
      </c>
      <c r="W128">
        <v>1.1734661428226</v>
      </c>
      <c r="X128">
        <v>63.373</v>
      </c>
      <c r="Y128">
        <v>1.15781568152431</v>
      </c>
      <c r="Z128">
        <v>63.373</v>
      </c>
      <c r="AA128">
        <v>1.16805507446749</v>
      </c>
      <c r="AB128">
        <v>63.373</v>
      </c>
      <c r="AC128">
        <v>1.13687828923425</v>
      </c>
      <c r="AE128">
        <v>63.373</v>
      </c>
      <c r="AF128">
        <v>-1932.84912884155</v>
      </c>
      <c r="AG128">
        <v>-1901.33115803699</v>
      </c>
      <c r="AH128">
        <v>-1814.70750503643</v>
      </c>
      <c r="AI128">
        <v>-1823.51375552609</v>
      </c>
      <c r="AJ128">
        <v>-1791.85563948005</v>
      </c>
      <c r="BF128">
        <v>6.225</v>
      </c>
      <c r="BG128">
        <v>0.9557193</v>
      </c>
      <c r="BH128">
        <v>6.225</v>
      </c>
      <c r="BI128">
        <v>3.05116952</v>
      </c>
      <c r="BJ128">
        <v>6.225</v>
      </c>
      <c r="BK128">
        <v>1.12395244</v>
      </c>
      <c r="BL128">
        <v>6.225</v>
      </c>
      <c r="BM128">
        <v>3.96841668</v>
      </c>
      <c r="BN128">
        <v>6.225</v>
      </c>
      <c r="BO128">
        <v>0.96523779</v>
      </c>
      <c r="BP128">
        <v>6.225</v>
      </c>
      <c r="BQ128">
        <v>5.61388673</v>
      </c>
      <c r="BR128">
        <v>6.225</v>
      </c>
      <c r="BS128">
        <v>1.11002561</v>
      </c>
      <c r="BT128">
        <v>6.225</v>
      </c>
      <c r="BU128">
        <v>4.46698588</v>
      </c>
      <c r="BV128">
        <v>6.225</v>
      </c>
      <c r="BW128">
        <v>1.01480236</v>
      </c>
      <c r="BX128">
        <v>6.225</v>
      </c>
      <c r="BY128">
        <v>3.93507213</v>
      </c>
      <c r="CB128">
        <v>6.225</v>
      </c>
      <c r="CC128">
        <v>2.94798987</v>
      </c>
      <c r="CD128">
        <v>0.79368334</v>
      </c>
      <c r="CE128">
        <v>0</v>
      </c>
      <c r="CF128">
        <v>1.13864346</v>
      </c>
      <c r="CG128">
        <v>0.26528576</v>
      </c>
    </row>
    <row r="129" spans="20:85">
      <c r="T129">
        <v>63.872</v>
      </c>
      <c r="U129">
        <v>1.18424217025932</v>
      </c>
      <c r="V129">
        <v>63.872</v>
      </c>
      <c r="W129">
        <v>1.17163736177356</v>
      </c>
      <c r="X129">
        <v>63.872</v>
      </c>
      <c r="Y129">
        <v>1.1558971430036</v>
      </c>
      <c r="Z129">
        <v>63.872</v>
      </c>
      <c r="AA129">
        <v>1.16593999062403</v>
      </c>
      <c r="AB129">
        <v>63.872</v>
      </c>
      <c r="AC129">
        <v>1.13477173750798</v>
      </c>
      <c r="AE129">
        <v>63.872</v>
      </c>
      <c r="AF129">
        <v>-1955.31212171392</v>
      </c>
      <c r="AG129">
        <v>-2029.82634265102</v>
      </c>
      <c r="AH129">
        <v>-1840.84127882643</v>
      </c>
      <c r="AI129">
        <v>-1751.10191103589</v>
      </c>
      <c r="AJ129">
        <v>-1884.24516878869</v>
      </c>
      <c r="BF129">
        <v>6.275</v>
      </c>
      <c r="BG129">
        <v>1.06127672</v>
      </c>
      <c r="BH129">
        <v>6.275</v>
      </c>
      <c r="BI129">
        <v>2.48052375</v>
      </c>
      <c r="BJ129">
        <v>6.275</v>
      </c>
      <c r="BK129">
        <v>1.03520766</v>
      </c>
      <c r="BL129">
        <v>6.275</v>
      </c>
      <c r="BM129">
        <v>3.73185273</v>
      </c>
      <c r="BN129">
        <v>6.275</v>
      </c>
      <c r="BO129">
        <v>1.05261059</v>
      </c>
      <c r="BP129">
        <v>6.275</v>
      </c>
      <c r="BQ129">
        <v>5.9598013</v>
      </c>
      <c r="BR129">
        <v>6.275</v>
      </c>
      <c r="BS129">
        <v>0.91033877</v>
      </c>
      <c r="BT129">
        <v>6.275</v>
      </c>
      <c r="BU129">
        <v>4.39608284</v>
      </c>
      <c r="BV129">
        <v>6.275</v>
      </c>
      <c r="BW129">
        <v>1.07951395</v>
      </c>
      <c r="BX129">
        <v>6.275</v>
      </c>
      <c r="BY129">
        <v>5.70013674</v>
      </c>
      <c r="CB129">
        <v>6.275</v>
      </c>
      <c r="CC129">
        <v>2.66910158</v>
      </c>
      <c r="CD129">
        <v>0.92573091</v>
      </c>
      <c r="CE129">
        <v>0</v>
      </c>
      <c r="CF129">
        <v>1.00563987</v>
      </c>
      <c r="CG129">
        <v>0.69619991</v>
      </c>
    </row>
    <row r="130" spans="20:85">
      <c r="T130">
        <v>64.371</v>
      </c>
      <c r="U130">
        <v>1.18069689438157</v>
      </c>
      <c r="V130">
        <v>64.371</v>
      </c>
      <c r="W130">
        <v>1.1691583226561</v>
      </c>
      <c r="X130">
        <v>64.371</v>
      </c>
      <c r="Y130">
        <v>1.14969429754462</v>
      </c>
      <c r="Z130">
        <v>64.371</v>
      </c>
      <c r="AA130">
        <v>1.17036127563399</v>
      </c>
      <c r="AB130">
        <v>64.371</v>
      </c>
      <c r="AC130">
        <v>1.14687328302906</v>
      </c>
      <c r="AE130">
        <v>64.371</v>
      </c>
      <c r="AF130">
        <v>-1859.68053182651</v>
      </c>
      <c r="AG130">
        <v>-1971.28579567051</v>
      </c>
      <c r="AH130">
        <v>-1818.73821968706</v>
      </c>
      <c r="AI130">
        <v>-1888.51219084625</v>
      </c>
      <c r="AJ130">
        <v>-1933.59615113635</v>
      </c>
      <c r="BF130">
        <v>6.325</v>
      </c>
      <c r="BG130">
        <v>1.08048821</v>
      </c>
      <c r="BH130">
        <v>6.325</v>
      </c>
      <c r="BI130">
        <v>3.04111834</v>
      </c>
      <c r="BJ130">
        <v>6.325</v>
      </c>
      <c r="BK130">
        <v>1.03286313</v>
      </c>
      <c r="BL130">
        <v>6.325</v>
      </c>
      <c r="BM130">
        <v>3.20327147</v>
      </c>
      <c r="BN130">
        <v>6.325</v>
      </c>
      <c r="BO130">
        <v>1.08938034</v>
      </c>
      <c r="BP130">
        <v>6.325</v>
      </c>
      <c r="BQ130">
        <v>5.05242246</v>
      </c>
      <c r="BR130">
        <v>6.325</v>
      </c>
      <c r="BS130">
        <v>1.05280356</v>
      </c>
      <c r="BT130">
        <v>6.325</v>
      </c>
      <c r="BU130">
        <v>3.9026532</v>
      </c>
      <c r="BV130">
        <v>6.325</v>
      </c>
      <c r="BW130">
        <v>1.02558178</v>
      </c>
      <c r="BX130">
        <v>6.325</v>
      </c>
      <c r="BY130">
        <v>6.08147268</v>
      </c>
      <c r="CB130">
        <v>6.325</v>
      </c>
      <c r="CC130">
        <v>2.71273467</v>
      </c>
      <c r="CD130">
        <v>0.76878515</v>
      </c>
      <c r="CE130">
        <v>0</v>
      </c>
      <c r="CF130">
        <v>1.15948392</v>
      </c>
      <c r="CG130">
        <v>0.42827272</v>
      </c>
    </row>
    <row r="131" spans="20:85">
      <c r="T131">
        <v>64.87</v>
      </c>
      <c r="U131">
        <v>1.17964787569729</v>
      </c>
      <c r="V131">
        <v>64.87</v>
      </c>
      <c r="W131">
        <v>1.17617628269726</v>
      </c>
      <c r="X131">
        <v>64.87</v>
      </c>
      <c r="Y131">
        <v>1.15174005557255</v>
      </c>
      <c r="Z131">
        <v>64.87</v>
      </c>
      <c r="AA131">
        <v>1.17498874807523</v>
      </c>
      <c r="AB131">
        <v>64.87</v>
      </c>
      <c r="AC131">
        <v>1.1467908284738</v>
      </c>
      <c r="AE131">
        <v>64.87</v>
      </c>
      <c r="AF131">
        <v>-1754.54292279019</v>
      </c>
      <c r="AG131">
        <v>-1962.67381490727</v>
      </c>
      <c r="AH131">
        <v>-1735.57942821303</v>
      </c>
      <c r="AI131">
        <v>-1950.75472839344</v>
      </c>
      <c r="AJ131">
        <v>-1886.33116831436</v>
      </c>
      <c r="BF131">
        <v>6.375</v>
      </c>
      <c r="BG131">
        <v>1.08264746</v>
      </c>
      <c r="BH131">
        <v>6.375</v>
      </c>
      <c r="BI131">
        <v>3.16225546</v>
      </c>
      <c r="BJ131">
        <v>6.375</v>
      </c>
      <c r="BK131">
        <v>1.04420403</v>
      </c>
      <c r="BL131">
        <v>6.375</v>
      </c>
      <c r="BM131">
        <v>3.36343614</v>
      </c>
      <c r="BN131">
        <v>6.375</v>
      </c>
      <c r="BO131">
        <v>0.99773619</v>
      </c>
      <c r="BP131">
        <v>6.375</v>
      </c>
      <c r="BQ131">
        <v>5.05777625</v>
      </c>
      <c r="BR131">
        <v>6.375</v>
      </c>
      <c r="BS131">
        <v>1.0115475</v>
      </c>
      <c r="BT131">
        <v>6.375</v>
      </c>
      <c r="BU131">
        <v>2.92301396</v>
      </c>
      <c r="BV131">
        <v>6.375</v>
      </c>
      <c r="BW131">
        <v>0.91447443</v>
      </c>
      <c r="BX131">
        <v>6.375</v>
      </c>
      <c r="BY131">
        <v>5.18544753</v>
      </c>
      <c r="CB131">
        <v>6.375</v>
      </c>
      <c r="CC131">
        <v>1.91140775</v>
      </c>
      <c r="CD131">
        <v>0.92494494</v>
      </c>
      <c r="CE131">
        <v>0</v>
      </c>
      <c r="CF131">
        <v>1.0856909</v>
      </c>
      <c r="CG131">
        <v>0.8431622</v>
      </c>
    </row>
    <row r="132" spans="20:85">
      <c r="T132">
        <v>65.369</v>
      </c>
      <c r="U132">
        <v>1.19010796765634</v>
      </c>
      <c r="V132">
        <v>65.369</v>
      </c>
      <c r="W132">
        <v>1.17615912832681</v>
      </c>
      <c r="X132">
        <v>65.369</v>
      </c>
      <c r="Y132">
        <v>1.15012255406176</v>
      </c>
      <c r="Z132">
        <v>65.369</v>
      </c>
      <c r="AA132">
        <v>1.16830579192959</v>
      </c>
      <c r="AB132">
        <v>65.369</v>
      </c>
      <c r="AC132">
        <v>1.13896339611937</v>
      </c>
      <c r="AE132">
        <v>65.369</v>
      </c>
      <c r="AF132">
        <v>-1762.21375466153</v>
      </c>
      <c r="AG132">
        <v>-1974.26921992462</v>
      </c>
      <c r="AH132">
        <v>-1764.25755315538</v>
      </c>
      <c r="AI132">
        <v>-1904.21956289893</v>
      </c>
      <c r="AJ132">
        <v>-1911.71481961168</v>
      </c>
      <c r="BF132">
        <v>6.425</v>
      </c>
      <c r="BG132">
        <v>1.0390821</v>
      </c>
      <c r="BH132">
        <v>6.425</v>
      </c>
      <c r="BI132">
        <v>2.8641709</v>
      </c>
      <c r="BJ132">
        <v>6.425</v>
      </c>
      <c r="BK132">
        <v>1.0740053</v>
      </c>
      <c r="BL132">
        <v>6.425</v>
      </c>
      <c r="BM132">
        <v>2.5248593</v>
      </c>
      <c r="BN132">
        <v>6.425</v>
      </c>
      <c r="BO132">
        <v>0.97954676</v>
      </c>
      <c r="BP132">
        <v>6.425</v>
      </c>
      <c r="BQ132">
        <v>5.10384677</v>
      </c>
      <c r="BR132">
        <v>6.425</v>
      </c>
      <c r="BS132">
        <v>0.89817789</v>
      </c>
      <c r="BT132">
        <v>6.425</v>
      </c>
      <c r="BU132">
        <v>3.16546651</v>
      </c>
      <c r="BV132">
        <v>6.425</v>
      </c>
      <c r="BW132">
        <v>1.07099529</v>
      </c>
      <c r="BX132">
        <v>6.425</v>
      </c>
      <c r="BY132">
        <v>4.6070005</v>
      </c>
      <c r="CB132">
        <v>6.425</v>
      </c>
      <c r="CC132">
        <v>1.71573522</v>
      </c>
      <c r="CD132">
        <v>1.02098136</v>
      </c>
      <c r="CE132">
        <v>0</v>
      </c>
      <c r="CF132">
        <v>1.34292519</v>
      </c>
      <c r="CG132">
        <v>0.94076887</v>
      </c>
    </row>
    <row r="133" spans="20:85">
      <c r="T133">
        <v>65.868</v>
      </c>
      <c r="U133">
        <v>1.18754323068866</v>
      </c>
      <c r="V133">
        <v>65.868</v>
      </c>
      <c r="W133">
        <v>1.17437658236255</v>
      </c>
      <c r="X133">
        <v>65.868</v>
      </c>
      <c r="Y133">
        <v>1.15576191209139</v>
      </c>
      <c r="Z133">
        <v>65.868</v>
      </c>
      <c r="AA133">
        <v>1.17010174190069</v>
      </c>
      <c r="AB133">
        <v>65.868</v>
      </c>
      <c r="AC133">
        <v>1.13400655830426</v>
      </c>
      <c r="AE133">
        <v>65.868</v>
      </c>
      <c r="AF133">
        <v>-1948.98782643284</v>
      </c>
      <c r="AG133">
        <v>-2013.63609655171</v>
      </c>
      <c r="AH133">
        <v>-1872.41271461494</v>
      </c>
      <c r="AI133">
        <v>-1795.1975607755</v>
      </c>
      <c r="AJ133">
        <v>-1938.22878834349</v>
      </c>
      <c r="BF133">
        <v>6.475</v>
      </c>
      <c r="BG133">
        <v>0.9756333</v>
      </c>
      <c r="BH133">
        <v>6.475</v>
      </c>
      <c r="BI133">
        <v>2.57488086</v>
      </c>
      <c r="BJ133">
        <v>6.475</v>
      </c>
      <c r="BK133">
        <v>0.92163459</v>
      </c>
      <c r="BL133">
        <v>6.475</v>
      </c>
      <c r="BM133">
        <v>2.11922683</v>
      </c>
      <c r="BN133">
        <v>6.475</v>
      </c>
      <c r="BO133">
        <v>1.06896213</v>
      </c>
      <c r="BP133">
        <v>6.475</v>
      </c>
      <c r="BQ133">
        <v>4.69847703</v>
      </c>
      <c r="BR133">
        <v>6.475</v>
      </c>
      <c r="BS133">
        <v>0.95115461</v>
      </c>
      <c r="BT133">
        <v>6.475</v>
      </c>
      <c r="BU133">
        <v>3.1572455</v>
      </c>
      <c r="BV133">
        <v>6.475</v>
      </c>
      <c r="BW133">
        <v>0.97048257</v>
      </c>
      <c r="BX133">
        <v>6.475</v>
      </c>
      <c r="BY133">
        <v>4.57699097</v>
      </c>
      <c r="CB133">
        <v>6.475</v>
      </c>
      <c r="CC133">
        <v>1.71658724</v>
      </c>
      <c r="CD133">
        <v>0.81508724</v>
      </c>
      <c r="CE133">
        <v>0</v>
      </c>
      <c r="CF133">
        <v>1.2413102</v>
      </c>
      <c r="CG133">
        <v>1.22597973</v>
      </c>
    </row>
    <row r="134" spans="20:85">
      <c r="T134">
        <v>66.367</v>
      </c>
      <c r="U134">
        <v>1.18339790286622</v>
      </c>
      <c r="V134">
        <v>66.367</v>
      </c>
      <c r="W134">
        <v>1.17941783695425</v>
      </c>
      <c r="X134">
        <v>66.367</v>
      </c>
      <c r="Y134">
        <v>1.15341606929694</v>
      </c>
      <c r="Z134">
        <v>66.367</v>
      </c>
      <c r="AA134">
        <v>1.17039328371858</v>
      </c>
      <c r="AB134">
        <v>66.367</v>
      </c>
      <c r="AC134">
        <v>1.13641396379351</v>
      </c>
      <c r="AE134">
        <v>66.367</v>
      </c>
      <c r="AF134">
        <v>-1909.5648713637</v>
      </c>
      <c r="AG134">
        <v>-2022.1050949436</v>
      </c>
      <c r="AH134">
        <v>-1903.29873867769</v>
      </c>
      <c r="AI134">
        <v>-1844.26836134983</v>
      </c>
      <c r="AJ134">
        <v>-1882.79038026708</v>
      </c>
      <c r="BF134">
        <v>6.525</v>
      </c>
      <c r="BG134">
        <v>1.01786341</v>
      </c>
      <c r="BH134">
        <v>6.525</v>
      </c>
      <c r="BI134">
        <v>2.37458187</v>
      </c>
      <c r="BJ134">
        <v>6.525</v>
      </c>
      <c r="BK134">
        <v>0.96789352</v>
      </c>
      <c r="BL134">
        <v>6.525</v>
      </c>
      <c r="BM134">
        <v>1.72568332</v>
      </c>
      <c r="BN134">
        <v>6.525</v>
      </c>
      <c r="BO134">
        <v>1.020984</v>
      </c>
      <c r="BP134">
        <v>6.525</v>
      </c>
      <c r="BQ134">
        <v>3.62093162</v>
      </c>
      <c r="BR134">
        <v>6.525</v>
      </c>
      <c r="BS134">
        <v>0.97872933</v>
      </c>
      <c r="BT134">
        <v>6.525</v>
      </c>
      <c r="BU134">
        <v>2.9894656</v>
      </c>
      <c r="BV134">
        <v>6.525</v>
      </c>
      <c r="BW134">
        <v>0.91562445</v>
      </c>
      <c r="BX134">
        <v>6.525</v>
      </c>
      <c r="BY134">
        <v>3.78275691</v>
      </c>
      <c r="CB134">
        <v>6.525</v>
      </c>
      <c r="CC134">
        <v>1.63671744</v>
      </c>
      <c r="CD134">
        <v>0.93641731</v>
      </c>
      <c r="CE134">
        <v>0</v>
      </c>
      <c r="CF134">
        <v>1.5412356</v>
      </c>
      <c r="CG134">
        <v>1.07312253</v>
      </c>
    </row>
    <row r="135" spans="20:85">
      <c r="T135">
        <v>66.866</v>
      </c>
      <c r="U135">
        <v>1.17734902286138</v>
      </c>
      <c r="V135">
        <v>66.866</v>
      </c>
      <c r="W135">
        <v>1.18039893993245</v>
      </c>
      <c r="X135">
        <v>66.866</v>
      </c>
      <c r="Y135">
        <v>1.15030845938187</v>
      </c>
      <c r="Z135">
        <v>66.866</v>
      </c>
      <c r="AA135">
        <v>1.17943741749486</v>
      </c>
      <c r="AB135">
        <v>66.866</v>
      </c>
      <c r="AC135">
        <v>1.14287746493342</v>
      </c>
      <c r="AE135">
        <v>66.866</v>
      </c>
      <c r="AF135">
        <v>-1865.58577716768</v>
      </c>
      <c r="AG135">
        <v>-1978.03334104866</v>
      </c>
      <c r="AH135">
        <v>-1827.24487499239</v>
      </c>
      <c r="AI135">
        <v>-1835.3703008864</v>
      </c>
      <c r="AJ135">
        <v>-1824.49533873776</v>
      </c>
      <c r="BF135">
        <v>6.575</v>
      </c>
      <c r="BG135">
        <v>1.05102927</v>
      </c>
      <c r="BH135">
        <v>6.575</v>
      </c>
      <c r="BI135">
        <v>2.10077991</v>
      </c>
      <c r="BJ135">
        <v>6.575</v>
      </c>
      <c r="BK135">
        <v>1.0436434</v>
      </c>
      <c r="BL135">
        <v>6.575</v>
      </c>
      <c r="BM135">
        <v>1.81810946</v>
      </c>
      <c r="BN135">
        <v>6.575</v>
      </c>
      <c r="BO135">
        <v>1.00551484</v>
      </c>
      <c r="BP135">
        <v>6.575</v>
      </c>
      <c r="BQ135">
        <v>3.72456208</v>
      </c>
      <c r="BR135">
        <v>6.575</v>
      </c>
      <c r="BS135">
        <v>0.9224423</v>
      </c>
      <c r="BT135">
        <v>6.575</v>
      </c>
      <c r="BU135">
        <v>2.63012658</v>
      </c>
      <c r="BV135">
        <v>6.575</v>
      </c>
      <c r="BW135">
        <v>0.91226767</v>
      </c>
      <c r="BX135">
        <v>6.575</v>
      </c>
      <c r="BY135">
        <v>2.45720743</v>
      </c>
      <c r="CB135">
        <v>6.575</v>
      </c>
      <c r="CC135">
        <v>1.82331841</v>
      </c>
      <c r="CD135">
        <v>1.23842239</v>
      </c>
      <c r="CE135">
        <v>0</v>
      </c>
      <c r="CF135">
        <v>1.62256565</v>
      </c>
      <c r="CG135">
        <v>0.92475548</v>
      </c>
    </row>
    <row r="136" spans="20:85">
      <c r="T136">
        <v>67.365</v>
      </c>
      <c r="U136">
        <v>1.17684957049777</v>
      </c>
      <c r="V136">
        <v>67.365</v>
      </c>
      <c r="W136">
        <v>1.17630886970228</v>
      </c>
      <c r="X136">
        <v>67.365</v>
      </c>
      <c r="Y136">
        <v>1.14954400974906</v>
      </c>
      <c r="Z136">
        <v>67.365</v>
      </c>
      <c r="AA136">
        <v>1.1699327070815</v>
      </c>
      <c r="AB136">
        <v>67.365</v>
      </c>
      <c r="AC136">
        <v>1.14269324623937</v>
      </c>
      <c r="AE136">
        <v>67.365</v>
      </c>
      <c r="AF136">
        <v>-1701.51140843418</v>
      </c>
      <c r="AG136">
        <v>-1972.19414760002</v>
      </c>
      <c r="AH136">
        <v>-1823.07438842896</v>
      </c>
      <c r="AI136">
        <v>-1888.21719683644</v>
      </c>
      <c r="AJ136">
        <v>-1818.85415085046</v>
      </c>
      <c r="BF136">
        <v>6.625</v>
      </c>
      <c r="BG136">
        <v>1.02011185</v>
      </c>
      <c r="BH136">
        <v>6.625</v>
      </c>
      <c r="BI136">
        <v>1.91302456</v>
      </c>
      <c r="BJ136">
        <v>6.625</v>
      </c>
      <c r="BK136">
        <v>1.06357183</v>
      </c>
      <c r="BL136">
        <v>6.625</v>
      </c>
      <c r="BM136">
        <v>1.47933173</v>
      </c>
      <c r="BN136">
        <v>6.625</v>
      </c>
      <c r="BO136">
        <v>0.98783545</v>
      </c>
      <c r="BP136">
        <v>6.625</v>
      </c>
      <c r="BQ136">
        <v>2.92703832</v>
      </c>
      <c r="BR136">
        <v>6.625</v>
      </c>
      <c r="BS136">
        <v>0.86008009</v>
      </c>
      <c r="BT136">
        <v>6.625</v>
      </c>
      <c r="BU136">
        <v>1.9719314</v>
      </c>
      <c r="BV136">
        <v>6.625</v>
      </c>
      <c r="BW136">
        <v>0.88560222</v>
      </c>
      <c r="BX136">
        <v>6.625</v>
      </c>
      <c r="BY136">
        <v>2.57640329</v>
      </c>
      <c r="CB136">
        <v>6.625</v>
      </c>
      <c r="CC136">
        <v>1.90001079</v>
      </c>
      <c r="CD136">
        <v>1.27170623</v>
      </c>
      <c r="CE136">
        <v>0.02601812</v>
      </c>
      <c r="CF136">
        <v>1.52083598</v>
      </c>
      <c r="CG136">
        <v>0.98892248</v>
      </c>
    </row>
    <row r="137" spans="20:85">
      <c r="T137">
        <v>67.864</v>
      </c>
      <c r="U137">
        <v>1.17972697303043</v>
      </c>
      <c r="V137">
        <v>67.864</v>
      </c>
      <c r="W137">
        <v>1.17273329876936</v>
      </c>
      <c r="X137">
        <v>67.864</v>
      </c>
      <c r="Y137">
        <v>1.14692543815008</v>
      </c>
      <c r="Z137">
        <v>67.864</v>
      </c>
      <c r="AA137">
        <v>1.16345228537843</v>
      </c>
      <c r="AB137">
        <v>67.864</v>
      </c>
      <c r="AC137">
        <v>1.14043217451273</v>
      </c>
      <c r="AE137">
        <v>67.864</v>
      </c>
      <c r="AF137">
        <v>-1737.99155320252</v>
      </c>
      <c r="AG137">
        <v>-1931.02410834507</v>
      </c>
      <c r="AH137">
        <v>-1759.36149135872</v>
      </c>
      <c r="AI137">
        <v>-1848.68573589824</v>
      </c>
      <c r="AJ137">
        <v>-1870.11698893173</v>
      </c>
      <c r="BF137">
        <v>6.675</v>
      </c>
      <c r="BG137">
        <v>0.96518736</v>
      </c>
      <c r="BH137">
        <v>6.675</v>
      </c>
      <c r="BI137">
        <v>0.96146556</v>
      </c>
      <c r="BJ137">
        <v>6.675</v>
      </c>
      <c r="BK137">
        <v>0.94743975</v>
      </c>
      <c r="BL137">
        <v>6.675</v>
      </c>
      <c r="BM137">
        <v>1.61064757</v>
      </c>
      <c r="BN137">
        <v>6.675</v>
      </c>
      <c r="BO137">
        <v>0.99325962</v>
      </c>
      <c r="BP137">
        <v>6.675</v>
      </c>
      <c r="BQ137">
        <v>2.3066816</v>
      </c>
      <c r="BR137">
        <v>6.675</v>
      </c>
      <c r="BS137">
        <v>0.92517964</v>
      </c>
      <c r="BT137">
        <v>6.675</v>
      </c>
      <c r="BU137">
        <v>2.05676486</v>
      </c>
      <c r="BV137">
        <v>6.675</v>
      </c>
      <c r="BW137">
        <v>0.94635865</v>
      </c>
      <c r="BX137">
        <v>6.675</v>
      </c>
      <c r="BY137">
        <v>2.11495853</v>
      </c>
      <c r="CB137">
        <v>6.675</v>
      </c>
      <c r="CC137">
        <v>1.33323224</v>
      </c>
      <c r="CD137">
        <v>1.45725257</v>
      </c>
      <c r="CE137">
        <v>0</v>
      </c>
      <c r="CF137">
        <v>2.08215702</v>
      </c>
      <c r="CG137">
        <v>1.12797788</v>
      </c>
    </row>
    <row r="138" spans="20:85">
      <c r="T138">
        <v>68.363</v>
      </c>
      <c r="U138">
        <v>1.18330135891372</v>
      </c>
      <c r="V138">
        <v>68.363</v>
      </c>
      <c r="W138">
        <v>1.17306251508437</v>
      </c>
      <c r="X138">
        <v>68.363</v>
      </c>
      <c r="Y138">
        <v>1.15306028220559</v>
      </c>
      <c r="Z138">
        <v>68.363</v>
      </c>
      <c r="AA138">
        <v>1.16512107723731</v>
      </c>
      <c r="AB138">
        <v>68.363</v>
      </c>
      <c r="AC138">
        <v>1.14252965690078</v>
      </c>
      <c r="AE138">
        <v>68.363</v>
      </c>
      <c r="AF138">
        <v>-1882.62059914582</v>
      </c>
      <c r="AG138">
        <v>-1934.37427932973</v>
      </c>
      <c r="AH138">
        <v>-1794.03651297922</v>
      </c>
      <c r="AI138">
        <v>-1830.66311953245</v>
      </c>
      <c r="AJ138">
        <v>-2061.79084643615</v>
      </c>
      <c r="BF138">
        <v>6.725</v>
      </c>
      <c r="BG138">
        <v>0.99244409</v>
      </c>
      <c r="BH138">
        <v>6.725</v>
      </c>
      <c r="BI138">
        <v>1.21244401</v>
      </c>
      <c r="BJ138">
        <v>6.725</v>
      </c>
      <c r="BK138">
        <v>0.9482198</v>
      </c>
      <c r="BL138">
        <v>6.725</v>
      </c>
      <c r="BM138">
        <v>1.20898024</v>
      </c>
      <c r="BN138">
        <v>6.725</v>
      </c>
      <c r="BO138">
        <v>1.02076641</v>
      </c>
      <c r="BP138">
        <v>6.725</v>
      </c>
      <c r="BQ138">
        <v>1.55288126</v>
      </c>
      <c r="BR138">
        <v>6.725</v>
      </c>
      <c r="BS138">
        <v>0.87432108</v>
      </c>
      <c r="BT138">
        <v>6.725</v>
      </c>
      <c r="BU138">
        <v>1.50095913</v>
      </c>
      <c r="BV138">
        <v>6.725</v>
      </c>
      <c r="BW138">
        <v>0.86448663</v>
      </c>
      <c r="BX138">
        <v>6.725</v>
      </c>
      <c r="BY138">
        <v>1.4017123</v>
      </c>
      <c r="CB138">
        <v>6.725</v>
      </c>
      <c r="CC138">
        <v>1.99548077</v>
      </c>
      <c r="CD138">
        <v>1.23416733</v>
      </c>
      <c r="CE138">
        <v>0.0252501</v>
      </c>
      <c r="CF138">
        <v>1.82616694</v>
      </c>
      <c r="CG138">
        <v>1.11126741</v>
      </c>
    </row>
    <row r="139" spans="20:85">
      <c r="T139">
        <v>68.862</v>
      </c>
      <c r="U139">
        <v>1.18850976792116</v>
      </c>
      <c r="V139">
        <v>68.862</v>
      </c>
      <c r="W139">
        <v>1.17205547621717</v>
      </c>
      <c r="X139">
        <v>68.862</v>
      </c>
      <c r="Y139">
        <v>1.15335652629771</v>
      </c>
      <c r="Z139">
        <v>68.862</v>
      </c>
      <c r="AA139">
        <v>1.16429031792771</v>
      </c>
      <c r="AB139">
        <v>68.862</v>
      </c>
      <c r="AC139">
        <v>1.14031589008198</v>
      </c>
      <c r="AE139">
        <v>68.862</v>
      </c>
      <c r="AF139">
        <v>-1894.38370042701</v>
      </c>
      <c r="AG139">
        <v>-1854.5185640848</v>
      </c>
      <c r="AH139">
        <v>-1832.52152173067</v>
      </c>
      <c r="AI139">
        <v>-1798.60900135577</v>
      </c>
      <c r="AJ139">
        <v>-1952.8408345173</v>
      </c>
      <c r="BF139">
        <v>6.775</v>
      </c>
      <c r="BG139">
        <v>0.97544109</v>
      </c>
      <c r="BH139">
        <v>6.775</v>
      </c>
      <c r="BI139">
        <v>1.04528749</v>
      </c>
      <c r="BJ139">
        <v>6.775</v>
      </c>
      <c r="BK139">
        <v>0.92697661</v>
      </c>
      <c r="BL139">
        <v>6.775</v>
      </c>
      <c r="BM139">
        <v>0.70727586</v>
      </c>
      <c r="BN139">
        <v>6.775</v>
      </c>
      <c r="BO139">
        <v>0.94702517</v>
      </c>
      <c r="BP139">
        <v>6.775</v>
      </c>
      <c r="BQ139">
        <v>2.20177235</v>
      </c>
      <c r="BR139">
        <v>6.775</v>
      </c>
      <c r="BS139">
        <v>0.88586772</v>
      </c>
      <c r="BT139">
        <v>6.775</v>
      </c>
      <c r="BU139">
        <v>1.44191444</v>
      </c>
      <c r="BV139">
        <v>6.775</v>
      </c>
      <c r="BW139">
        <v>0.88396295</v>
      </c>
      <c r="BX139">
        <v>6.775</v>
      </c>
      <c r="BY139">
        <v>0.89584816</v>
      </c>
      <c r="CB139">
        <v>6.775</v>
      </c>
      <c r="CC139">
        <v>1.66748243</v>
      </c>
      <c r="CD139">
        <v>1.34010162</v>
      </c>
      <c r="CE139">
        <v>0.02487878</v>
      </c>
      <c r="CF139">
        <v>2.24297802</v>
      </c>
      <c r="CG139">
        <v>0.62211678</v>
      </c>
    </row>
    <row r="140" spans="20:85">
      <c r="T140">
        <v>69.361</v>
      </c>
      <c r="U140">
        <v>1.18101070196538</v>
      </c>
      <c r="V140">
        <v>69.361</v>
      </c>
      <c r="W140">
        <v>1.17949722066982</v>
      </c>
      <c r="X140">
        <v>69.361</v>
      </c>
      <c r="Y140">
        <v>1.15151154266235</v>
      </c>
      <c r="Z140">
        <v>69.361</v>
      </c>
      <c r="AA140">
        <v>1.17445252999131</v>
      </c>
      <c r="AB140">
        <v>69.361</v>
      </c>
      <c r="AC140">
        <v>1.14118026024342</v>
      </c>
      <c r="AE140">
        <v>69.361</v>
      </c>
      <c r="AF140">
        <v>-1662.8909623878</v>
      </c>
      <c r="AG140">
        <v>-1945.74457474273</v>
      </c>
      <c r="AH140">
        <v>-1813.83217478341</v>
      </c>
      <c r="AI140">
        <v>-1807.35934122661</v>
      </c>
      <c r="AJ140">
        <v>-1832.50274863061</v>
      </c>
      <c r="BF140">
        <v>6.825</v>
      </c>
      <c r="BG140">
        <v>0.92560128</v>
      </c>
      <c r="BH140">
        <v>6.825</v>
      </c>
      <c r="BI140">
        <v>0.44144061</v>
      </c>
      <c r="BJ140">
        <v>6.825</v>
      </c>
      <c r="BK140">
        <v>0.99495907</v>
      </c>
      <c r="BL140">
        <v>6.825</v>
      </c>
      <c r="BM140">
        <v>0.66026922</v>
      </c>
      <c r="BN140">
        <v>6.825</v>
      </c>
      <c r="BO140">
        <v>0.99830723</v>
      </c>
      <c r="BP140">
        <v>6.825</v>
      </c>
      <c r="BQ140">
        <v>1.32384219</v>
      </c>
      <c r="BR140">
        <v>6.825</v>
      </c>
      <c r="BS140">
        <v>0.83205429</v>
      </c>
      <c r="BT140">
        <v>6.825</v>
      </c>
      <c r="BU140">
        <v>1.05654062</v>
      </c>
      <c r="BV140">
        <v>6.825</v>
      </c>
      <c r="BW140">
        <v>0.93693699</v>
      </c>
      <c r="BX140">
        <v>6.825</v>
      </c>
      <c r="BY140">
        <v>0.58851355</v>
      </c>
      <c r="CB140">
        <v>6.825</v>
      </c>
      <c r="CC140">
        <v>1.79028692</v>
      </c>
      <c r="CD140">
        <v>1.66290027</v>
      </c>
      <c r="CE140">
        <v>0.04903119</v>
      </c>
      <c r="CF140">
        <v>2.18594611</v>
      </c>
      <c r="CG140">
        <v>1.27511269</v>
      </c>
    </row>
    <row r="141" spans="20:85">
      <c r="T141">
        <v>69.86</v>
      </c>
      <c r="U141">
        <v>1.18820234122933</v>
      </c>
      <c r="V141">
        <v>69.86</v>
      </c>
      <c r="W141">
        <v>1.18032767855189</v>
      </c>
      <c r="X141">
        <v>69.86</v>
      </c>
      <c r="Y141">
        <v>1.1627393325614</v>
      </c>
      <c r="Z141">
        <v>69.86</v>
      </c>
      <c r="AA141">
        <v>1.170312945562</v>
      </c>
      <c r="AB141">
        <v>69.86</v>
      </c>
      <c r="AC141">
        <v>1.14432996850531</v>
      </c>
      <c r="AE141">
        <v>69.86</v>
      </c>
      <c r="AF141">
        <v>-1832.03343394502</v>
      </c>
      <c r="AG141">
        <v>-2048.80812593154</v>
      </c>
      <c r="AH141">
        <v>-1811.84413956506</v>
      </c>
      <c r="AI141">
        <v>-1784.87889091159</v>
      </c>
      <c r="AJ141">
        <v>-1788.54779962342</v>
      </c>
      <c r="BF141">
        <v>6.875</v>
      </c>
      <c r="BG141">
        <v>0.91452595</v>
      </c>
      <c r="BH141">
        <v>6.875</v>
      </c>
      <c r="BI141">
        <v>1.051354</v>
      </c>
      <c r="BJ141">
        <v>6.875</v>
      </c>
      <c r="BK141">
        <v>1.05378476</v>
      </c>
      <c r="BL141">
        <v>6.875</v>
      </c>
      <c r="BM141">
        <v>0.65070027</v>
      </c>
      <c r="BN141">
        <v>6.875</v>
      </c>
      <c r="BO141">
        <v>0.90304087</v>
      </c>
      <c r="BP141">
        <v>6.875</v>
      </c>
      <c r="BQ141">
        <v>1.08721368</v>
      </c>
      <c r="BR141">
        <v>6.875</v>
      </c>
      <c r="BS141">
        <v>0.96456147</v>
      </c>
      <c r="BT141">
        <v>6.875</v>
      </c>
      <c r="BU141">
        <v>1.36436865</v>
      </c>
      <c r="BV141">
        <v>6.875</v>
      </c>
      <c r="BW141">
        <v>0.92816759</v>
      </c>
      <c r="BX141">
        <v>6.875</v>
      </c>
      <c r="BY141">
        <v>0.50748645</v>
      </c>
      <c r="CB141">
        <v>6.875</v>
      </c>
      <c r="CC141">
        <v>1.81267931</v>
      </c>
      <c r="CD141">
        <v>1.87980079</v>
      </c>
      <c r="CE141">
        <v>0.04832061</v>
      </c>
      <c r="CF141">
        <v>2.08245741</v>
      </c>
      <c r="CG141">
        <v>1.25663312</v>
      </c>
    </row>
    <row r="142" spans="20:85">
      <c r="T142">
        <v>70.359</v>
      </c>
      <c r="U142">
        <v>1.18426727350912</v>
      </c>
      <c r="V142">
        <v>70.359</v>
      </c>
      <c r="W142">
        <v>1.17556958412865</v>
      </c>
      <c r="X142">
        <v>70.359</v>
      </c>
      <c r="Y142">
        <v>1.15525944271179</v>
      </c>
      <c r="Z142">
        <v>70.359</v>
      </c>
      <c r="AA142">
        <v>1.16835850510846</v>
      </c>
      <c r="AB142">
        <v>70.359</v>
      </c>
      <c r="AC142">
        <v>1.1431663618198</v>
      </c>
      <c r="AE142">
        <v>70.359</v>
      </c>
      <c r="AF142">
        <v>-1817.08031862142</v>
      </c>
      <c r="AG142">
        <v>-1962.0936851541</v>
      </c>
      <c r="AH142">
        <v>-1785.89274255964</v>
      </c>
      <c r="AI142">
        <v>-1890.27989840734</v>
      </c>
      <c r="AJ142">
        <v>-1935.67393285342</v>
      </c>
      <c r="BF142">
        <v>6.925</v>
      </c>
      <c r="BG142">
        <v>0.87600936</v>
      </c>
      <c r="BH142">
        <v>6.925</v>
      </c>
      <c r="BI142">
        <v>0.96476294</v>
      </c>
      <c r="BJ142">
        <v>6.925</v>
      </c>
      <c r="BK142">
        <v>0.93848638</v>
      </c>
      <c r="BL142">
        <v>6.925</v>
      </c>
      <c r="BM142">
        <v>0.42755856</v>
      </c>
      <c r="BN142">
        <v>6.925</v>
      </c>
      <c r="BO142">
        <v>1.0118437</v>
      </c>
      <c r="BP142">
        <v>6.925</v>
      </c>
      <c r="BQ142">
        <v>0.89297549</v>
      </c>
      <c r="BR142">
        <v>6.925</v>
      </c>
      <c r="BS142">
        <v>0.88060821</v>
      </c>
      <c r="BT142">
        <v>6.925</v>
      </c>
      <c r="BU142">
        <v>1.48628913</v>
      </c>
      <c r="BV142">
        <v>6.925</v>
      </c>
      <c r="BW142">
        <v>0.82949356</v>
      </c>
      <c r="BX142">
        <v>6.925</v>
      </c>
      <c r="BY142">
        <v>0.32154725</v>
      </c>
      <c r="CB142">
        <v>6.925</v>
      </c>
      <c r="CC142">
        <v>1.71513412</v>
      </c>
      <c r="CD142">
        <v>1.49645496</v>
      </c>
      <c r="CE142">
        <v>0.09525072</v>
      </c>
      <c r="CF142">
        <v>1.74579993</v>
      </c>
      <c r="CG142">
        <v>0.90509597</v>
      </c>
    </row>
    <row r="143" spans="20:85">
      <c r="T143">
        <v>70.858</v>
      </c>
      <c r="U143">
        <v>1.17792658878429</v>
      </c>
      <c r="V143">
        <v>70.858</v>
      </c>
      <c r="W143">
        <v>1.18185145972521</v>
      </c>
      <c r="X143">
        <v>70.858</v>
      </c>
      <c r="Y143">
        <v>1.15678395490721</v>
      </c>
      <c r="Z143">
        <v>70.858</v>
      </c>
      <c r="AA143">
        <v>1.17891410689877</v>
      </c>
      <c r="AB143">
        <v>70.858</v>
      </c>
      <c r="AC143">
        <v>1.13941341437839</v>
      </c>
      <c r="AE143">
        <v>70.858</v>
      </c>
      <c r="AF143">
        <v>-1816.74456804277</v>
      </c>
      <c r="AG143">
        <v>-1878.39985939791</v>
      </c>
      <c r="AH143">
        <v>-1829.12471478082</v>
      </c>
      <c r="AI143">
        <v>-1985.4749094626</v>
      </c>
      <c r="AJ143">
        <v>-1983.204257383</v>
      </c>
      <c r="BF143">
        <v>6.975</v>
      </c>
      <c r="BG143">
        <v>0.95438939</v>
      </c>
      <c r="BH143">
        <v>6.975</v>
      </c>
      <c r="BI143">
        <v>0.95098085</v>
      </c>
      <c r="BJ143">
        <v>6.975</v>
      </c>
      <c r="BK143">
        <v>0.89523839</v>
      </c>
      <c r="BL143">
        <v>6.975</v>
      </c>
      <c r="BM143">
        <v>0.17560445</v>
      </c>
      <c r="BN143">
        <v>6.975</v>
      </c>
      <c r="BO143">
        <v>0.89118558</v>
      </c>
      <c r="BP143">
        <v>6.975</v>
      </c>
      <c r="BQ143">
        <v>0.73938389</v>
      </c>
      <c r="BR143">
        <v>6.975</v>
      </c>
      <c r="BS143">
        <v>0.87033077</v>
      </c>
      <c r="BT143">
        <v>6.975</v>
      </c>
      <c r="BU143">
        <v>1.36040988</v>
      </c>
      <c r="BV143">
        <v>6.975</v>
      </c>
      <c r="BW143">
        <v>0.81530773</v>
      </c>
      <c r="BX143">
        <v>6.975</v>
      </c>
      <c r="BY143">
        <v>0.42260507</v>
      </c>
      <c r="CB143">
        <v>6.975</v>
      </c>
      <c r="CC143">
        <v>2.25417684</v>
      </c>
      <c r="CD143">
        <v>1.63897489</v>
      </c>
      <c r="CE143">
        <v>0.21125254</v>
      </c>
      <c r="CF143">
        <v>1.95340906</v>
      </c>
      <c r="CG143">
        <v>0.89216625</v>
      </c>
    </row>
    <row r="144" spans="20:85">
      <c r="T144">
        <v>71.357</v>
      </c>
      <c r="U144">
        <v>1.17727691744851</v>
      </c>
      <c r="V144">
        <v>71.357</v>
      </c>
      <c r="W144">
        <v>1.17741070093064</v>
      </c>
      <c r="X144">
        <v>71.357</v>
      </c>
      <c r="Y144">
        <v>1.15801255610092</v>
      </c>
      <c r="Z144">
        <v>71.357</v>
      </c>
      <c r="AA144">
        <v>1.17394909772831</v>
      </c>
      <c r="AB144">
        <v>71.357</v>
      </c>
      <c r="AC144">
        <v>1.14577438003806</v>
      </c>
      <c r="AE144">
        <v>71.357</v>
      </c>
      <c r="AF144">
        <v>-1845.26140424851</v>
      </c>
      <c r="AG144">
        <v>-1941.18966386689</v>
      </c>
      <c r="AH144">
        <v>-1870.81952985027</v>
      </c>
      <c r="AI144">
        <v>-1857.98511203122</v>
      </c>
      <c r="AJ144">
        <v>-1881.16843013286</v>
      </c>
    </row>
    <row r="145" spans="20:36">
      <c r="T145">
        <v>71.856</v>
      </c>
      <c r="U145">
        <v>1.18513206365267</v>
      </c>
      <c r="V145">
        <v>71.856</v>
      </c>
      <c r="W145">
        <v>1.16986614783357</v>
      </c>
      <c r="X145">
        <v>71.856</v>
      </c>
      <c r="Y145">
        <v>1.15823207066956</v>
      </c>
      <c r="Z145">
        <v>71.856</v>
      </c>
      <c r="AA145">
        <v>1.17044080596402</v>
      </c>
      <c r="AB145">
        <v>71.856</v>
      </c>
      <c r="AC145">
        <v>1.14399116684673</v>
      </c>
      <c r="AE145">
        <v>71.856</v>
      </c>
      <c r="AF145">
        <v>-1845.2918480622</v>
      </c>
      <c r="AG145">
        <v>-1975.92803359919</v>
      </c>
      <c r="AH145">
        <v>-1824.42545417246</v>
      </c>
      <c r="AI145">
        <v>-1771.36079441457</v>
      </c>
      <c r="AJ145">
        <v>-1813.21916298469</v>
      </c>
    </row>
    <row r="146" spans="20:36">
      <c r="T146">
        <v>72.355</v>
      </c>
      <c r="U146">
        <v>1.1853588172073</v>
      </c>
      <c r="V146">
        <v>72.355</v>
      </c>
      <c r="W146">
        <v>1.17761449728149</v>
      </c>
      <c r="X146">
        <v>72.355</v>
      </c>
      <c r="Y146">
        <v>1.15005454244829</v>
      </c>
      <c r="Z146">
        <v>72.355</v>
      </c>
      <c r="AA146">
        <v>1.17792840481628</v>
      </c>
      <c r="AB146">
        <v>72.355</v>
      </c>
      <c r="AC146">
        <v>1.13500832472605</v>
      </c>
      <c r="AE146">
        <v>72.355</v>
      </c>
      <c r="AF146">
        <v>-1772.98130751575</v>
      </c>
      <c r="AG146">
        <v>-2005.5372619434</v>
      </c>
      <c r="AH146">
        <v>-1744.85202627458</v>
      </c>
      <c r="AI146">
        <v>-1876.70109033384</v>
      </c>
      <c r="AJ146">
        <v>-1869.33927691989</v>
      </c>
    </row>
    <row r="147" spans="20:36">
      <c r="T147">
        <v>72.854</v>
      </c>
      <c r="U147">
        <v>1.19179707302469</v>
      </c>
      <c r="V147">
        <v>72.854</v>
      </c>
      <c r="W147">
        <v>1.1812531186373</v>
      </c>
      <c r="X147">
        <v>72.854</v>
      </c>
      <c r="Y147">
        <v>1.16147596227884</v>
      </c>
      <c r="Z147">
        <v>72.854</v>
      </c>
      <c r="AA147">
        <v>1.17844049751987</v>
      </c>
      <c r="AB147">
        <v>72.854</v>
      </c>
      <c r="AC147">
        <v>1.1425819612781</v>
      </c>
      <c r="AE147">
        <v>72.854</v>
      </c>
      <c r="AF147">
        <v>-1826.47308570108</v>
      </c>
      <c r="AG147">
        <v>-1982.19441500527</v>
      </c>
      <c r="AH147">
        <v>-1929.17533787221</v>
      </c>
      <c r="AI147">
        <v>-1924.78339490519</v>
      </c>
      <c r="AJ147">
        <v>-1972.30174679826</v>
      </c>
    </row>
    <row r="148" spans="20:36">
      <c r="T148">
        <v>73.353</v>
      </c>
      <c r="U148">
        <v>1.18989251911522</v>
      </c>
      <c r="V148">
        <v>73.353</v>
      </c>
      <c r="W148">
        <v>1.17429190914435</v>
      </c>
      <c r="X148">
        <v>73.353</v>
      </c>
      <c r="Y148">
        <v>1.16115088488126</v>
      </c>
      <c r="Z148">
        <v>73.353</v>
      </c>
      <c r="AA148">
        <v>1.17716404004914</v>
      </c>
      <c r="AB148">
        <v>73.353</v>
      </c>
      <c r="AC148">
        <v>1.13457701012491</v>
      </c>
      <c r="AE148">
        <v>73.353</v>
      </c>
      <c r="AF148">
        <v>-1833.70166266419</v>
      </c>
      <c r="AG148">
        <v>-1970.92373349429</v>
      </c>
      <c r="AH148">
        <v>-1848.58153362024</v>
      </c>
      <c r="AI148">
        <v>-1844.18554384691</v>
      </c>
      <c r="AJ148">
        <v>-1819.39614895526</v>
      </c>
    </row>
    <row r="149" spans="20:36">
      <c r="T149">
        <v>73.852</v>
      </c>
      <c r="U149">
        <v>1.19378187634981</v>
      </c>
      <c r="V149">
        <v>73.852</v>
      </c>
      <c r="W149">
        <v>1.18143951841006</v>
      </c>
      <c r="X149">
        <v>73.852</v>
      </c>
      <c r="Y149">
        <v>1.15818847536176</v>
      </c>
      <c r="Z149">
        <v>73.852</v>
      </c>
      <c r="AA149">
        <v>1.17580617959912</v>
      </c>
      <c r="AB149">
        <v>73.852</v>
      </c>
      <c r="AC149">
        <v>1.14205301861281</v>
      </c>
      <c r="AE149">
        <v>73.852</v>
      </c>
      <c r="AF149">
        <v>-1848.75089003373</v>
      </c>
      <c r="AG149">
        <v>-1961.99374934073</v>
      </c>
      <c r="AH149">
        <v>-1779.23622186521</v>
      </c>
      <c r="AI149">
        <v>-1762.84504384728</v>
      </c>
      <c r="AJ149">
        <v>-1785.63106596364</v>
      </c>
    </row>
    <row r="150" spans="20:36">
      <c r="T150">
        <v>74.351</v>
      </c>
      <c r="U150">
        <v>1.1883825371327</v>
      </c>
      <c r="V150">
        <v>74.351</v>
      </c>
      <c r="W150">
        <v>1.17964676158392</v>
      </c>
      <c r="X150">
        <v>74.351</v>
      </c>
      <c r="Y150">
        <v>1.16656083665328</v>
      </c>
      <c r="Z150">
        <v>74.351</v>
      </c>
      <c r="AA150">
        <v>1.17488840410558</v>
      </c>
      <c r="AB150">
        <v>74.351</v>
      </c>
      <c r="AC150">
        <v>1.13397922334092</v>
      </c>
      <c r="AE150">
        <v>74.351</v>
      </c>
      <c r="AF150">
        <v>-1819.486529571</v>
      </c>
      <c r="AG150">
        <v>-1952.0247320698</v>
      </c>
      <c r="AH150">
        <v>-1694.17962629029</v>
      </c>
      <c r="AI150">
        <v>-1784.03728361867</v>
      </c>
      <c r="AJ150">
        <v>-1857.29253527671</v>
      </c>
    </row>
    <row r="151" spans="20:36">
      <c r="T151">
        <v>74.85</v>
      </c>
      <c r="U151">
        <v>1.18784241168328</v>
      </c>
      <c r="V151">
        <v>74.85</v>
      </c>
      <c r="W151">
        <v>1.17792566855946</v>
      </c>
      <c r="X151">
        <v>74.85</v>
      </c>
      <c r="Y151">
        <v>1.1580510404214</v>
      </c>
      <c r="Z151">
        <v>74.85</v>
      </c>
      <c r="AA151">
        <v>1.1724749421576</v>
      </c>
      <c r="AB151">
        <v>74.85</v>
      </c>
      <c r="AC151">
        <v>1.1388468569422</v>
      </c>
      <c r="AE151">
        <v>74.85</v>
      </c>
      <c r="AF151">
        <v>-1870.88750833086</v>
      </c>
      <c r="AG151">
        <v>-1973.54479754961</v>
      </c>
      <c r="AH151">
        <v>-1764.92512392068</v>
      </c>
      <c r="AI151">
        <v>-1851.02112268879</v>
      </c>
      <c r="AJ151">
        <v>-1957.65236988874</v>
      </c>
    </row>
    <row r="152" spans="20:36">
      <c r="T152">
        <v>75.349</v>
      </c>
      <c r="U152">
        <v>1.18640899056285</v>
      </c>
      <c r="V152">
        <v>75.349</v>
      </c>
      <c r="W152">
        <v>1.17508446525993</v>
      </c>
      <c r="X152">
        <v>75.349</v>
      </c>
      <c r="Y152">
        <v>1.17058935332475</v>
      </c>
      <c r="Z152">
        <v>75.349</v>
      </c>
      <c r="AA152">
        <v>1.17016343926513</v>
      </c>
      <c r="AB152">
        <v>75.349</v>
      </c>
      <c r="AC152">
        <v>1.13351484811065</v>
      </c>
      <c r="AE152">
        <v>75.349</v>
      </c>
      <c r="AF152">
        <v>-1947.28429107846</v>
      </c>
      <c r="AG152">
        <v>-1910.5374626813</v>
      </c>
      <c r="AH152">
        <v>-1954.62814040556</v>
      </c>
      <c r="AI152">
        <v>-1896.94779320891</v>
      </c>
      <c r="AJ152">
        <v>-1816.73107671993</v>
      </c>
    </row>
    <row r="153" spans="20:36">
      <c r="T153">
        <v>75.848</v>
      </c>
      <c r="U153">
        <v>1.18060812855401</v>
      </c>
      <c r="V153">
        <v>75.848</v>
      </c>
      <c r="W153">
        <v>1.17847703283397</v>
      </c>
      <c r="X153">
        <v>75.848</v>
      </c>
      <c r="Y153">
        <v>1.15581410136447</v>
      </c>
      <c r="Z153">
        <v>75.848</v>
      </c>
      <c r="AA153">
        <v>1.17065496592319</v>
      </c>
      <c r="AB153">
        <v>75.848</v>
      </c>
      <c r="AC153">
        <v>1.1346829996237</v>
      </c>
      <c r="AE153">
        <v>75.848</v>
      </c>
      <c r="AF153">
        <v>-1814.93796328827</v>
      </c>
      <c r="AG153">
        <v>-1931.24356210164</v>
      </c>
      <c r="AH153">
        <v>-1907.86873173431</v>
      </c>
      <c r="AI153">
        <v>-1820.39340763314</v>
      </c>
      <c r="AJ153">
        <v>-1781.4631896207</v>
      </c>
    </row>
    <row r="154" spans="20:36">
      <c r="T154">
        <v>76.347</v>
      </c>
      <c r="U154">
        <v>1.18709765494106</v>
      </c>
      <c r="V154">
        <v>76.347</v>
      </c>
      <c r="W154">
        <v>1.17716145787764</v>
      </c>
      <c r="X154">
        <v>76.347</v>
      </c>
      <c r="Y154">
        <v>1.16531033308035</v>
      </c>
      <c r="Z154">
        <v>76.347</v>
      </c>
      <c r="AA154">
        <v>1.18509864634301</v>
      </c>
      <c r="AB154">
        <v>76.347</v>
      </c>
      <c r="AC154">
        <v>1.13326529681461</v>
      </c>
      <c r="AE154">
        <v>76.347</v>
      </c>
      <c r="AF154">
        <v>-1754.10628346183</v>
      </c>
      <c r="AG154">
        <v>-2000.84504220731</v>
      </c>
      <c r="AH154">
        <v>-1799.14296538882</v>
      </c>
      <c r="AI154">
        <v>-1978.30405640929</v>
      </c>
      <c r="AJ154">
        <v>-1846.19216584652</v>
      </c>
    </row>
    <row r="155" spans="20:36">
      <c r="T155">
        <v>76.846</v>
      </c>
      <c r="U155">
        <v>1.18905188744925</v>
      </c>
      <c r="V155">
        <v>76.846</v>
      </c>
      <c r="W155">
        <v>1.1729454879124</v>
      </c>
      <c r="X155">
        <v>76.846</v>
      </c>
      <c r="Y155">
        <v>1.16309430989388</v>
      </c>
      <c r="Z155">
        <v>76.846</v>
      </c>
      <c r="AA155">
        <v>1.17277951911833</v>
      </c>
      <c r="AB155">
        <v>76.846</v>
      </c>
      <c r="AC155">
        <v>1.13364203062808</v>
      </c>
      <c r="AE155">
        <v>76.846</v>
      </c>
      <c r="AF155">
        <v>-1862.20328295461</v>
      </c>
      <c r="AG155">
        <v>-1943.1865680522</v>
      </c>
      <c r="AH155">
        <v>-1753.32828644399</v>
      </c>
      <c r="AI155">
        <v>-1894.06649465052</v>
      </c>
      <c r="AJ155">
        <v>-1881.1020490787</v>
      </c>
    </row>
    <row r="156" spans="20:36">
      <c r="T156">
        <v>77.345</v>
      </c>
      <c r="U156">
        <v>1.18119292829884</v>
      </c>
      <c r="V156">
        <v>77.345</v>
      </c>
      <c r="W156">
        <v>1.17186912224252</v>
      </c>
      <c r="X156">
        <v>77.345</v>
      </c>
      <c r="Y156">
        <v>1.16432883561006</v>
      </c>
      <c r="Z156">
        <v>77.345</v>
      </c>
      <c r="AA156">
        <v>1.17465814558015</v>
      </c>
      <c r="AB156">
        <v>77.345</v>
      </c>
      <c r="AC156">
        <v>1.12682788411602</v>
      </c>
      <c r="AE156">
        <v>77.345</v>
      </c>
      <c r="AF156">
        <v>-1852.21758845702</v>
      </c>
      <c r="AG156">
        <v>-1960.19871540776</v>
      </c>
      <c r="AH156">
        <v>-1741.83823646983</v>
      </c>
      <c r="AI156">
        <v>-1800.65288913681</v>
      </c>
      <c r="AJ156">
        <v>-1861.80043715318</v>
      </c>
    </row>
    <row r="157" spans="20:36">
      <c r="T157">
        <v>77.844</v>
      </c>
      <c r="U157">
        <v>1.18558102590348</v>
      </c>
      <c r="V157">
        <v>77.844</v>
      </c>
      <c r="W157">
        <v>1.16950019750712</v>
      </c>
      <c r="X157">
        <v>77.844</v>
      </c>
      <c r="Y157">
        <v>1.17307340279737</v>
      </c>
      <c r="Z157">
        <v>77.844</v>
      </c>
      <c r="AA157">
        <v>1.17456699882389</v>
      </c>
      <c r="AB157">
        <v>77.844</v>
      </c>
      <c r="AC157">
        <v>1.13222385399821</v>
      </c>
      <c r="AE157">
        <v>77.844</v>
      </c>
      <c r="AF157">
        <v>-1880.51499023806</v>
      </c>
      <c r="AG157">
        <v>-1977.64032010263</v>
      </c>
      <c r="AH157">
        <v>-1900.17177956114</v>
      </c>
      <c r="AI157">
        <v>-1789.48005917671</v>
      </c>
      <c r="AJ157">
        <v>-1870.8702705814</v>
      </c>
    </row>
    <row r="158" spans="20:36">
      <c r="T158">
        <v>78.343</v>
      </c>
      <c r="U158">
        <v>1.18386232761668</v>
      </c>
      <c r="V158">
        <v>78.343</v>
      </c>
      <c r="W158">
        <v>1.17862461085482</v>
      </c>
      <c r="X158">
        <v>78.343</v>
      </c>
      <c r="Y158">
        <v>1.16522167259547</v>
      </c>
      <c r="Z158">
        <v>78.343</v>
      </c>
      <c r="AA158">
        <v>1.1773024763456</v>
      </c>
      <c r="AB158">
        <v>78.343</v>
      </c>
      <c r="AC158">
        <v>1.12867968529923</v>
      </c>
      <c r="AE158">
        <v>78.343</v>
      </c>
      <c r="AF158">
        <v>-1743.03422291688</v>
      </c>
      <c r="AG158">
        <v>-2068.94347234473</v>
      </c>
      <c r="AH158">
        <v>-1886.8029533783</v>
      </c>
      <c r="AI158">
        <v>-1967.22932384016</v>
      </c>
      <c r="AJ158">
        <v>-1733.1895540808</v>
      </c>
    </row>
    <row r="159" spans="20:36">
      <c r="T159">
        <v>78.842</v>
      </c>
      <c r="U159">
        <v>1.18300705698719</v>
      </c>
      <c r="V159">
        <v>78.842</v>
      </c>
      <c r="W159">
        <v>1.17739552937366</v>
      </c>
      <c r="X159">
        <v>78.842</v>
      </c>
      <c r="Y159">
        <v>1.16744408777593</v>
      </c>
      <c r="Z159">
        <v>78.842</v>
      </c>
      <c r="AA159">
        <v>1.17568081591132</v>
      </c>
      <c r="AB159">
        <v>78.842</v>
      </c>
      <c r="AC159">
        <v>1.13251003462646</v>
      </c>
      <c r="AE159">
        <v>78.842</v>
      </c>
      <c r="AF159">
        <v>-1794.57260360698</v>
      </c>
      <c r="AG159">
        <v>-1939.03475877782</v>
      </c>
      <c r="AH159">
        <v>-1861.65390945297</v>
      </c>
      <c r="AI159">
        <v>-1989.41402309205</v>
      </c>
      <c r="AJ159">
        <v>-1750.11086250395</v>
      </c>
    </row>
    <row r="160" spans="20:36">
      <c r="T160">
        <v>79.341</v>
      </c>
      <c r="U160">
        <v>1.19727039593521</v>
      </c>
      <c r="V160">
        <v>79.341</v>
      </c>
      <c r="W160">
        <v>1.1780582482402</v>
      </c>
      <c r="X160">
        <v>79.341</v>
      </c>
      <c r="Y160">
        <v>1.17183359855116</v>
      </c>
      <c r="Z160">
        <v>79.341</v>
      </c>
      <c r="AA160">
        <v>1.18155397853557</v>
      </c>
      <c r="AB160">
        <v>79.341</v>
      </c>
      <c r="AC160">
        <v>1.14187170208625</v>
      </c>
      <c r="AE160">
        <v>79.341</v>
      </c>
      <c r="AF160">
        <v>-2036.47852126632</v>
      </c>
      <c r="AG160">
        <v>-1895.84676701832</v>
      </c>
      <c r="AH160">
        <v>-1770.92980516679</v>
      </c>
      <c r="AI160">
        <v>-1864.44006144682</v>
      </c>
      <c r="AJ160">
        <v>-1910.61153705921</v>
      </c>
    </row>
    <row r="161" spans="20:36">
      <c r="T161">
        <v>79.84</v>
      </c>
      <c r="U161">
        <v>1.18668298528872</v>
      </c>
      <c r="V161">
        <v>79.84</v>
      </c>
      <c r="W161">
        <v>1.16509216185523</v>
      </c>
      <c r="X161">
        <v>79.84</v>
      </c>
      <c r="Y161">
        <v>1.16824389924791</v>
      </c>
      <c r="Z161">
        <v>79.84</v>
      </c>
      <c r="AA161">
        <v>1.17870925087936</v>
      </c>
      <c r="AB161">
        <v>79.84</v>
      </c>
      <c r="AC161">
        <v>1.13874587237018</v>
      </c>
      <c r="AE161">
        <v>79.84</v>
      </c>
      <c r="AF161">
        <v>-1923.42265900497</v>
      </c>
      <c r="AG161">
        <v>-1926.91193208664</v>
      </c>
      <c r="AH161">
        <v>-1753.35755768585</v>
      </c>
      <c r="AI161">
        <v>-1683.61597168506</v>
      </c>
      <c r="AJ161">
        <v>-1970.23367020487</v>
      </c>
    </row>
    <row r="162" spans="20:36">
      <c r="T162">
        <v>80.339</v>
      </c>
      <c r="U162">
        <v>1.18788758508846</v>
      </c>
      <c r="V162">
        <v>80.339</v>
      </c>
      <c r="W162">
        <v>1.16900805239862</v>
      </c>
      <c r="X162">
        <v>80.339</v>
      </c>
      <c r="Y162">
        <v>1.17066921647705</v>
      </c>
      <c r="Z162">
        <v>80.339</v>
      </c>
      <c r="AA162">
        <v>1.18121008868287</v>
      </c>
      <c r="AB162">
        <v>80.339</v>
      </c>
      <c r="AC162">
        <v>1.13441066381891</v>
      </c>
      <c r="AE162">
        <v>80.339</v>
      </c>
      <c r="AF162">
        <v>-1828.71445818825</v>
      </c>
      <c r="AG162">
        <v>-1929.61004493929</v>
      </c>
      <c r="AH162">
        <v>-1826.77618800483</v>
      </c>
      <c r="AI162">
        <v>-1808.58911239335</v>
      </c>
      <c r="AJ162">
        <v>-1906.40163340437</v>
      </c>
    </row>
    <row r="163" spans="20:36">
      <c r="T163">
        <v>80.838</v>
      </c>
      <c r="U163">
        <v>1.19051861125033</v>
      </c>
      <c r="V163">
        <v>80.838</v>
      </c>
      <c r="W163">
        <v>1.18447078932793</v>
      </c>
      <c r="X163">
        <v>80.838</v>
      </c>
      <c r="Y163">
        <v>1.17067319335521</v>
      </c>
      <c r="Z163">
        <v>80.838</v>
      </c>
      <c r="AA163">
        <v>1.17215493425306</v>
      </c>
      <c r="AB163">
        <v>80.838</v>
      </c>
      <c r="AC163">
        <v>1.13721973219536</v>
      </c>
      <c r="AE163">
        <v>80.838</v>
      </c>
      <c r="AF163">
        <v>-1803.73704262673</v>
      </c>
      <c r="AG163">
        <v>-2043.97753530838</v>
      </c>
      <c r="AH163">
        <v>-1861.12469897171</v>
      </c>
      <c r="AI163">
        <v>-2029.82067670894</v>
      </c>
      <c r="AJ163">
        <v>-1814.61976165978</v>
      </c>
    </row>
    <row r="164" spans="20:36">
      <c r="T164">
        <v>81.337</v>
      </c>
      <c r="U164">
        <v>1.18872796562364</v>
      </c>
      <c r="V164">
        <v>81.337</v>
      </c>
      <c r="W164">
        <v>1.1765085274132</v>
      </c>
      <c r="X164">
        <v>81.337</v>
      </c>
      <c r="Y164">
        <v>1.16798073318478</v>
      </c>
      <c r="Z164">
        <v>81.337</v>
      </c>
      <c r="AA164">
        <v>1.1785808329745</v>
      </c>
      <c r="AB164">
        <v>81.337</v>
      </c>
      <c r="AC164">
        <v>1.13322369027758</v>
      </c>
      <c r="AE164">
        <v>81.337</v>
      </c>
      <c r="AF164">
        <v>-1841.3529267836</v>
      </c>
      <c r="AG164">
        <v>-1931.08746085756</v>
      </c>
      <c r="AH164">
        <v>-1902.57568713118</v>
      </c>
      <c r="AI164">
        <v>-2013.10649023747</v>
      </c>
      <c r="AJ164">
        <v>-1777.7422300412</v>
      </c>
    </row>
    <row r="165" spans="20:36">
      <c r="T165">
        <v>81.836</v>
      </c>
      <c r="U165">
        <v>1.18638429479754</v>
      </c>
      <c r="V165">
        <v>81.836</v>
      </c>
      <c r="W165">
        <v>1.16877653748288</v>
      </c>
      <c r="X165">
        <v>81.836</v>
      </c>
      <c r="Y165">
        <v>1.16650366022932</v>
      </c>
      <c r="Z165">
        <v>81.836</v>
      </c>
      <c r="AA165">
        <v>1.17325138809787</v>
      </c>
      <c r="AB165">
        <v>81.836</v>
      </c>
      <c r="AC165">
        <v>1.14108636542791</v>
      </c>
      <c r="AE165">
        <v>81.836</v>
      </c>
      <c r="AF165">
        <v>-1899.67073718442</v>
      </c>
      <c r="AG165">
        <v>-1904.62637599331</v>
      </c>
      <c r="AH165">
        <v>-1749.88962575589</v>
      </c>
      <c r="AI165">
        <v>-1846.13733376827</v>
      </c>
      <c r="AJ165">
        <v>-1953.8821787309</v>
      </c>
    </row>
    <row r="166" spans="20:36">
      <c r="T166">
        <v>82.335</v>
      </c>
      <c r="U166">
        <v>1.1909878718701</v>
      </c>
      <c r="V166">
        <v>82.335</v>
      </c>
      <c r="W166">
        <v>1.17092913070491</v>
      </c>
      <c r="X166">
        <v>82.335</v>
      </c>
      <c r="Y166">
        <v>1.17251460618386</v>
      </c>
      <c r="Z166">
        <v>82.335</v>
      </c>
      <c r="AA166">
        <v>1.18374385177101</v>
      </c>
      <c r="AB166">
        <v>82.335</v>
      </c>
      <c r="AC166">
        <v>1.13234020883023</v>
      </c>
      <c r="AE166">
        <v>82.335</v>
      </c>
      <c r="AF166">
        <v>-1983.87982402411</v>
      </c>
      <c r="AG166">
        <v>-1926.56576397043</v>
      </c>
      <c r="AH166">
        <v>-1756.60578000982</v>
      </c>
      <c r="AI166">
        <v>-1717.26047222012</v>
      </c>
      <c r="AJ166">
        <v>-1847.36311857748</v>
      </c>
    </row>
    <row r="167" spans="20:36">
      <c r="T167">
        <v>82.834</v>
      </c>
      <c r="U167">
        <v>1.18730431648165</v>
      </c>
      <c r="V167">
        <v>82.834</v>
      </c>
      <c r="W167">
        <v>1.17495412047738</v>
      </c>
      <c r="X167">
        <v>82.834</v>
      </c>
      <c r="Y167">
        <v>1.17430726154386</v>
      </c>
      <c r="Z167">
        <v>82.834</v>
      </c>
      <c r="AA167">
        <v>1.17581876323029</v>
      </c>
      <c r="AB167">
        <v>82.834</v>
      </c>
      <c r="AC167">
        <v>1.14582321328385</v>
      </c>
      <c r="AE167">
        <v>82.834</v>
      </c>
      <c r="AF167">
        <v>-1883.8092806831</v>
      </c>
      <c r="AG167">
        <v>-2042.02017328</v>
      </c>
      <c r="AH167">
        <v>-1923.38444271779</v>
      </c>
      <c r="AI167">
        <v>-1825.73756755701</v>
      </c>
      <c r="AJ167">
        <v>-1868.15131626683</v>
      </c>
    </row>
    <row r="168" spans="20:36">
      <c r="T168">
        <v>83.333</v>
      </c>
      <c r="U168">
        <v>1.18710508688225</v>
      </c>
      <c r="V168">
        <v>83.333</v>
      </c>
      <c r="W168">
        <v>1.18190522472578</v>
      </c>
      <c r="X168">
        <v>83.333</v>
      </c>
      <c r="Y168">
        <v>1.16807570802494</v>
      </c>
      <c r="Z168">
        <v>83.333</v>
      </c>
      <c r="AA168">
        <v>1.17846363864611</v>
      </c>
      <c r="AB168">
        <v>83.333</v>
      </c>
      <c r="AC168">
        <v>1.14821004715222</v>
      </c>
      <c r="AE168">
        <v>83.333</v>
      </c>
      <c r="AF168">
        <v>-1817.56328115577</v>
      </c>
      <c r="AG168">
        <v>-1974.77506512891</v>
      </c>
      <c r="AH168">
        <v>-1920.29254758607</v>
      </c>
      <c r="AI168">
        <v>-2000.10534156971</v>
      </c>
      <c r="AJ168">
        <v>-1816.82662023023</v>
      </c>
    </row>
    <row r="169" spans="20:36">
      <c r="T169">
        <v>83.832</v>
      </c>
      <c r="U169">
        <v>1.19434233085429</v>
      </c>
      <c r="V169">
        <v>83.832</v>
      </c>
      <c r="W169">
        <v>1.17280696897222</v>
      </c>
      <c r="X169">
        <v>83.832</v>
      </c>
      <c r="Y169">
        <v>1.16494077242887</v>
      </c>
      <c r="Z169">
        <v>83.832</v>
      </c>
      <c r="AA169">
        <v>1.17275281846782</v>
      </c>
      <c r="AB169">
        <v>83.832</v>
      </c>
      <c r="AC169">
        <v>1.14461075042191</v>
      </c>
      <c r="AE169">
        <v>83.832</v>
      </c>
      <c r="AF169">
        <v>-1871.82363864298</v>
      </c>
      <c r="AG169">
        <v>-1904.9606251046</v>
      </c>
      <c r="AH169">
        <v>-1848.13647893511</v>
      </c>
      <c r="AI169">
        <v>-1866.0366452018</v>
      </c>
      <c r="AJ169">
        <v>-1888.48225203741</v>
      </c>
    </row>
    <row r="170" spans="20:36">
      <c r="T170">
        <v>84.331</v>
      </c>
      <c r="U170">
        <v>1.19252887609116</v>
      </c>
      <c r="V170">
        <v>84.331</v>
      </c>
      <c r="W170">
        <v>1.17236617602328</v>
      </c>
      <c r="X170">
        <v>84.331</v>
      </c>
      <c r="Y170">
        <v>1.16838379652525</v>
      </c>
      <c r="Z170">
        <v>84.331</v>
      </c>
      <c r="AA170">
        <v>1.17111809008243</v>
      </c>
      <c r="AB170">
        <v>84.331</v>
      </c>
      <c r="AC170">
        <v>1.14104916084028</v>
      </c>
      <c r="AE170">
        <v>84.331</v>
      </c>
      <c r="AF170">
        <v>-1935.36797220823</v>
      </c>
      <c r="AG170">
        <v>-1915.06460532442</v>
      </c>
      <c r="AH170">
        <v>-1774.51837042561</v>
      </c>
      <c r="AI170">
        <v>-1786.45287814212</v>
      </c>
      <c r="AJ170">
        <v>-1866.00137891679</v>
      </c>
    </row>
    <row r="171" spans="20:36">
      <c r="T171">
        <v>84.83</v>
      </c>
      <c r="U171">
        <v>1.19509109299149</v>
      </c>
      <c r="V171">
        <v>84.83</v>
      </c>
      <c r="W171">
        <v>1.17957544423562</v>
      </c>
      <c r="X171">
        <v>84.83</v>
      </c>
      <c r="Y171">
        <v>1.16902288836395</v>
      </c>
      <c r="Z171">
        <v>84.83</v>
      </c>
      <c r="AA171">
        <v>1.16952038883451</v>
      </c>
      <c r="AB171">
        <v>84.83</v>
      </c>
      <c r="AC171">
        <v>1.14212281959372</v>
      </c>
      <c r="AE171">
        <v>84.83</v>
      </c>
      <c r="AF171">
        <v>-1937.98925064087</v>
      </c>
      <c r="AG171">
        <v>-2061.90258680634</v>
      </c>
      <c r="AH171">
        <v>-1799.22229087366</v>
      </c>
      <c r="AI171">
        <v>-1752.32673487999</v>
      </c>
      <c r="AJ171">
        <v>-1834.22597504986</v>
      </c>
    </row>
    <row r="172" spans="20:36">
      <c r="T172">
        <v>85.329</v>
      </c>
      <c r="U172">
        <v>1.20295201370253</v>
      </c>
      <c r="V172">
        <v>85.329</v>
      </c>
      <c r="W172">
        <v>1.17838412337551</v>
      </c>
      <c r="X172">
        <v>85.329</v>
      </c>
      <c r="Y172">
        <v>1.17272551719384</v>
      </c>
      <c r="Z172">
        <v>85.329</v>
      </c>
      <c r="AA172">
        <v>1.19084428831112</v>
      </c>
      <c r="AB172">
        <v>85.329</v>
      </c>
      <c r="AC172">
        <v>1.14551226484382</v>
      </c>
      <c r="AE172">
        <v>85.329</v>
      </c>
      <c r="AF172">
        <v>-1970.71704454442</v>
      </c>
      <c r="AG172">
        <v>-2006.40866993603</v>
      </c>
      <c r="AH172">
        <v>-1828.20778647792</v>
      </c>
      <c r="AI172">
        <v>-1976.40337573255</v>
      </c>
      <c r="AJ172">
        <v>-1856.03976752981</v>
      </c>
    </row>
    <row r="173" spans="20:36">
      <c r="T173">
        <v>85.828</v>
      </c>
      <c r="U173">
        <v>1.20175797014052</v>
      </c>
      <c r="V173">
        <v>85.828</v>
      </c>
      <c r="W173">
        <v>1.17138746254217</v>
      </c>
      <c r="X173">
        <v>85.828</v>
      </c>
      <c r="Y173">
        <v>1.17755898051251</v>
      </c>
      <c r="Z173">
        <v>85.828</v>
      </c>
      <c r="AA173">
        <v>1.18218320243389</v>
      </c>
      <c r="AB173">
        <v>85.828</v>
      </c>
      <c r="AC173">
        <v>1.1503842650785</v>
      </c>
      <c r="AE173">
        <v>85.828</v>
      </c>
      <c r="AF173">
        <v>-1893.11849540235</v>
      </c>
      <c r="AG173">
        <v>-1993.21949547104</v>
      </c>
      <c r="AH173">
        <v>-1832.31859119532</v>
      </c>
      <c r="AI173">
        <v>-2004.62098394758</v>
      </c>
      <c r="AJ173">
        <v>-1839.68680050177</v>
      </c>
    </row>
    <row r="174" spans="20:36">
      <c r="T174">
        <v>86.327</v>
      </c>
      <c r="U174">
        <v>1.19231362864238</v>
      </c>
      <c r="V174">
        <v>86.327</v>
      </c>
      <c r="W174">
        <v>1.17721735342326</v>
      </c>
      <c r="X174">
        <v>86.327</v>
      </c>
      <c r="Y174">
        <v>1.17121292511701</v>
      </c>
      <c r="Z174">
        <v>86.327</v>
      </c>
      <c r="AA174">
        <v>1.1783608872659</v>
      </c>
      <c r="AB174">
        <v>86.327</v>
      </c>
      <c r="AC174">
        <v>1.14295357581342</v>
      </c>
      <c r="AE174">
        <v>86.327</v>
      </c>
      <c r="AF174">
        <v>-1855.55463873892</v>
      </c>
      <c r="AG174">
        <v>-1983.19240179029</v>
      </c>
      <c r="AH174">
        <v>-1894.07228356653</v>
      </c>
      <c r="AI174">
        <v>-1848.86084970352</v>
      </c>
      <c r="AJ174">
        <v>-1844.32103249877</v>
      </c>
    </row>
    <row r="175" spans="20:36">
      <c r="T175">
        <v>86.826</v>
      </c>
      <c r="U175">
        <v>1.19538981896743</v>
      </c>
      <c r="V175">
        <v>86.826</v>
      </c>
      <c r="W175">
        <v>1.17630139170519</v>
      </c>
      <c r="X175">
        <v>86.826</v>
      </c>
      <c r="Y175">
        <v>1.17659718410745</v>
      </c>
      <c r="Z175">
        <v>86.826</v>
      </c>
      <c r="AA175">
        <v>1.18596880537893</v>
      </c>
      <c r="AB175">
        <v>86.826</v>
      </c>
      <c r="AC175">
        <v>1.145709505204</v>
      </c>
      <c r="AE175">
        <v>86.826</v>
      </c>
      <c r="AF175">
        <v>-1908.59922899625</v>
      </c>
      <c r="AG175">
        <v>-1854.81226582057</v>
      </c>
      <c r="AH175">
        <v>-1936.89967774645</v>
      </c>
      <c r="AI175">
        <v>-1800.48483192261</v>
      </c>
      <c r="AJ175">
        <v>-1879.74331939575</v>
      </c>
    </row>
    <row r="176" spans="20:36">
      <c r="T176">
        <v>87.325</v>
      </c>
      <c r="U176">
        <v>1.19507652861577</v>
      </c>
      <c r="V176">
        <v>87.325</v>
      </c>
      <c r="W176">
        <v>1.17618394973711</v>
      </c>
      <c r="X176">
        <v>87.325</v>
      </c>
      <c r="Y176">
        <v>1.17553280458488</v>
      </c>
      <c r="Z176">
        <v>87.325</v>
      </c>
      <c r="AA176">
        <v>1.18556353437325</v>
      </c>
      <c r="AB176">
        <v>87.325</v>
      </c>
      <c r="AC176">
        <v>1.1481065782473</v>
      </c>
      <c r="AE176">
        <v>87.325</v>
      </c>
      <c r="AF176">
        <v>-1937.95636980259</v>
      </c>
      <c r="AG176">
        <v>-1958.42955195104</v>
      </c>
      <c r="AH176">
        <v>-1833.52180125407</v>
      </c>
      <c r="AI176">
        <v>-1779.19697728789</v>
      </c>
      <c r="AJ176">
        <v>-1897.19436781457</v>
      </c>
    </row>
    <row r="177" spans="20:36">
      <c r="T177">
        <v>87.824</v>
      </c>
      <c r="U177">
        <v>1.18907639330417</v>
      </c>
      <c r="V177">
        <v>87.824</v>
      </c>
      <c r="W177">
        <v>1.17904243705356</v>
      </c>
      <c r="X177">
        <v>87.824</v>
      </c>
      <c r="Y177">
        <v>1.17115236625034</v>
      </c>
      <c r="Z177">
        <v>87.824</v>
      </c>
      <c r="AA177">
        <v>1.18564081846768</v>
      </c>
      <c r="AB177">
        <v>87.824</v>
      </c>
      <c r="AC177">
        <v>1.15460573088947</v>
      </c>
      <c r="AE177">
        <v>87.824</v>
      </c>
      <c r="AF177">
        <v>-1918.36641611423</v>
      </c>
      <c r="AG177">
        <v>-2066.27871669963</v>
      </c>
      <c r="AH177">
        <v>-1739.39129994483</v>
      </c>
      <c r="AI177">
        <v>-1922.33781511146</v>
      </c>
      <c r="AJ177">
        <v>-1884.48783740528</v>
      </c>
    </row>
    <row r="178" spans="20:36">
      <c r="T178">
        <v>88.323</v>
      </c>
      <c r="U178">
        <v>1.20002765649152</v>
      </c>
      <c r="V178">
        <v>88.323</v>
      </c>
      <c r="W178">
        <v>1.18020376582458</v>
      </c>
      <c r="X178">
        <v>88.323</v>
      </c>
      <c r="Y178">
        <v>1.16913579984119</v>
      </c>
      <c r="Z178">
        <v>88.323</v>
      </c>
      <c r="AA178">
        <v>1.18477523495975</v>
      </c>
      <c r="AB178">
        <v>88.323</v>
      </c>
      <c r="AC178">
        <v>1.14956524921246</v>
      </c>
      <c r="AE178">
        <v>88.323</v>
      </c>
      <c r="AF178">
        <v>-1857.82897349601</v>
      </c>
      <c r="AG178">
        <v>-2118.40928321659</v>
      </c>
      <c r="AH178">
        <v>-1874.19225417556</v>
      </c>
      <c r="AI178">
        <v>-1986.09623951725</v>
      </c>
      <c r="AJ178">
        <v>-1825.24619136954</v>
      </c>
    </row>
    <row r="179" spans="20:36">
      <c r="T179">
        <v>88.822</v>
      </c>
      <c r="U179">
        <v>1.19569349413399</v>
      </c>
      <c r="V179">
        <v>88.822</v>
      </c>
      <c r="W179">
        <v>1.17610191269702</v>
      </c>
      <c r="X179">
        <v>88.822</v>
      </c>
      <c r="Y179">
        <v>1.16914193806281</v>
      </c>
      <c r="Z179">
        <v>88.822</v>
      </c>
      <c r="AA179">
        <v>1.18873478096363</v>
      </c>
      <c r="AB179">
        <v>88.822</v>
      </c>
      <c r="AC179">
        <v>1.14979640064446</v>
      </c>
      <c r="AE179">
        <v>88.822</v>
      </c>
      <c r="AF179">
        <v>-1832.11734067974</v>
      </c>
      <c r="AG179">
        <v>-1940.48091321497</v>
      </c>
      <c r="AH179">
        <v>-1988.50432523784</v>
      </c>
      <c r="AI179">
        <v>-1874.99998899818</v>
      </c>
      <c r="AJ179">
        <v>-1821.23856516119</v>
      </c>
    </row>
    <row r="180" spans="20:36">
      <c r="T180">
        <v>89.321</v>
      </c>
      <c r="U180">
        <v>1.19437713473083</v>
      </c>
      <c r="V180">
        <v>89.321</v>
      </c>
      <c r="W180">
        <v>1.17847725441106</v>
      </c>
      <c r="X180">
        <v>89.321</v>
      </c>
      <c r="Y180">
        <v>1.15686994195829</v>
      </c>
      <c r="Z180">
        <v>89.321</v>
      </c>
      <c r="AA180">
        <v>1.18843799957408</v>
      </c>
      <c r="AB180">
        <v>89.321</v>
      </c>
      <c r="AC180">
        <v>1.15229621049399</v>
      </c>
      <c r="AE180">
        <v>89.321</v>
      </c>
      <c r="AF180">
        <v>-1901.88428279687</v>
      </c>
      <c r="AG180">
        <v>-1835.12700882443</v>
      </c>
      <c r="AH180">
        <v>-1817.48507495021</v>
      </c>
      <c r="AI180">
        <v>-1849.16880245368</v>
      </c>
      <c r="AJ180">
        <v>-1865.52769828597</v>
      </c>
    </row>
    <row r="181" spans="20:36">
      <c r="T181">
        <v>89.82</v>
      </c>
      <c r="U181">
        <v>1.18717410609405</v>
      </c>
      <c r="V181">
        <v>89.82</v>
      </c>
      <c r="W181">
        <v>1.17727981133434</v>
      </c>
      <c r="X181">
        <v>89.82</v>
      </c>
      <c r="Y181">
        <v>1.16933113372546</v>
      </c>
      <c r="Z181">
        <v>89.82</v>
      </c>
      <c r="AA181">
        <v>1.19616779541732</v>
      </c>
      <c r="AB181">
        <v>89.82</v>
      </c>
      <c r="AC181">
        <v>1.15749479062677</v>
      </c>
      <c r="AE181">
        <v>89.82</v>
      </c>
      <c r="AF181">
        <v>-1865.55870931371</v>
      </c>
      <c r="AG181">
        <v>-1862.8700938681</v>
      </c>
      <c r="AH181">
        <v>-1757.54602312735</v>
      </c>
      <c r="AI181">
        <v>-1917.98055090159</v>
      </c>
      <c r="AJ181">
        <v>-1957.77715832382</v>
      </c>
    </row>
    <row r="182" spans="20:36">
      <c r="T182">
        <v>90.319</v>
      </c>
      <c r="U182">
        <v>1.19511702623687</v>
      </c>
      <c r="V182">
        <v>90.319</v>
      </c>
      <c r="W182">
        <v>1.17576906325752</v>
      </c>
      <c r="X182">
        <v>90.319</v>
      </c>
      <c r="Y182">
        <v>1.16698085329853</v>
      </c>
      <c r="Z182">
        <v>90.319</v>
      </c>
      <c r="AA182">
        <v>1.19287199481278</v>
      </c>
      <c r="AB182">
        <v>90.319</v>
      </c>
      <c r="AC182">
        <v>1.16039066998838</v>
      </c>
      <c r="AE182">
        <v>90.319</v>
      </c>
      <c r="AF182">
        <v>-1830.00071514686</v>
      </c>
      <c r="AG182">
        <v>-2066.37385094869</v>
      </c>
      <c r="AH182">
        <v>-1800.70352307777</v>
      </c>
      <c r="AI182">
        <v>-2004.12534425541</v>
      </c>
      <c r="AJ182">
        <v>-1910.99654315722</v>
      </c>
    </row>
    <row r="183" spans="20:36">
      <c r="T183">
        <v>90.818</v>
      </c>
      <c r="U183">
        <v>1.18433407462634</v>
      </c>
      <c r="V183">
        <v>90.818</v>
      </c>
      <c r="W183">
        <v>1.17880631190369</v>
      </c>
      <c r="X183">
        <v>90.818</v>
      </c>
      <c r="Y183">
        <v>1.16505438691148</v>
      </c>
      <c r="Z183">
        <v>90.818</v>
      </c>
      <c r="AA183">
        <v>1.19214832374677</v>
      </c>
      <c r="AB183">
        <v>90.818</v>
      </c>
      <c r="AC183">
        <v>1.1646603596448</v>
      </c>
      <c r="AE183">
        <v>90.818</v>
      </c>
      <c r="AF183">
        <v>-1913.57751600647</v>
      </c>
      <c r="AG183">
        <v>-2138.39144667493</v>
      </c>
      <c r="AH183">
        <v>-1930.65267690635</v>
      </c>
      <c r="AI183">
        <v>-1908.29925751292</v>
      </c>
      <c r="AJ183">
        <v>-1893.47755187928</v>
      </c>
    </row>
    <row r="184" spans="20:36">
      <c r="T184">
        <v>91.317</v>
      </c>
      <c r="U184">
        <v>1.18975146288776</v>
      </c>
      <c r="V184">
        <v>91.317</v>
      </c>
      <c r="W184">
        <v>1.1772039181123</v>
      </c>
      <c r="X184">
        <v>91.317</v>
      </c>
      <c r="Y184">
        <v>1.17624387162153</v>
      </c>
      <c r="Z184">
        <v>91.317</v>
      </c>
      <c r="AA184">
        <v>1.18439383068626</v>
      </c>
      <c r="AB184">
        <v>91.317</v>
      </c>
      <c r="AC184">
        <v>1.16518160435665</v>
      </c>
      <c r="AE184">
        <v>91.317</v>
      </c>
      <c r="AF184">
        <v>-1951.52382072259</v>
      </c>
      <c r="AG184">
        <v>-1986.88019898335</v>
      </c>
      <c r="AH184">
        <v>-1970.76886243333</v>
      </c>
      <c r="AI184">
        <v>-1746.83597599239</v>
      </c>
      <c r="AJ184">
        <v>-1848.13716400643</v>
      </c>
    </row>
    <row r="185" spans="20:36">
      <c r="T185">
        <v>91.816</v>
      </c>
      <c r="U185">
        <v>1.19857256615576</v>
      </c>
      <c r="V185">
        <v>91.816</v>
      </c>
      <c r="W185">
        <v>1.17606059872986</v>
      </c>
      <c r="X185">
        <v>91.816</v>
      </c>
      <c r="Y185">
        <v>1.17135213746</v>
      </c>
      <c r="Z185">
        <v>91.816</v>
      </c>
      <c r="AA185">
        <v>1.19761202425392</v>
      </c>
      <c r="AB185">
        <v>91.816</v>
      </c>
      <c r="AC185">
        <v>1.15622759970615</v>
      </c>
      <c r="AE185">
        <v>91.816</v>
      </c>
      <c r="AF185">
        <v>-1910.75096600984</v>
      </c>
      <c r="AG185">
        <v>-1879.25268716956</v>
      </c>
      <c r="AH185">
        <v>-1880.47382085861</v>
      </c>
      <c r="AI185">
        <v>-1815.13865950787</v>
      </c>
      <c r="AJ185">
        <v>-1811.63351873127</v>
      </c>
    </row>
    <row r="186" spans="20:36">
      <c r="T186">
        <v>92.315</v>
      </c>
      <c r="U186">
        <v>1.19822021270782</v>
      </c>
      <c r="V186">
        <v>92.315</v>
      </c>
      <c r="W186">
        <v>1.16964240465523</v>
      </c>
      <c r="X186">
        <v>92.315</v>
      </c>
      <c r="Y186">
        <v>1.17902157570883</v>
      </c>
      <c r="Z186">
        <v>92.315</v>
      </c>
      <c r="AA186">
        <v>1.19626386889424</v>
      </c>
      <c r="AB186">
        <v>92.315</v>
      </c>
      <c r="AC186">
        <v>1.15445277544433</v>
      </c>
      <c r="AE186">
        <v>92.315</v>
      </c>
      <c r="AF186">
        <v>-1955.13075187289</v>
      </c>
      <c r="AG186">
        <v>-1847.92521559933</v>
      </c>
      <c r="AH186">
        <v>-1831.86764961978</v>
      </c>
      <c r="AI186">
        <v>-1983.05364974119</v>
      </c>
      <c r="AJ186">
        <v>-1893.19671344334</v>
      </c>
    </row>
    <row r="187" spans="20:36">
      <c r="T187">
        <v>92.814</v>
      </c>
      <c r="U187">
        <v>1.19360414559102</v>
      </c>
      <c r="V187">
        <v>92.814</v>
      </c>
      <c r="W187">
        <v>1.1765094980065</v>
      </c>
      <c r="X187">
        <v>92.814</v>
      </c>
      <c r="Y187">
        <v>1.1698164683737</v>
      </c>
      <c r="Z187">
        <v>92.814</v>
      </c>
      <c r="AA187">
        <v>1.19692442073103</v>
      </c>
      <c r="AB187">
        <v>92.814</v>
      </c>
      <c r="AC187">
        <v>1.15766162208651</v>
      </c>
      <c r="AE187">
        <v>92.814</v>
      </c>
      <c r="AF187">
        <v>-1848.41504715525</v>
      </c>
      <c r="AG187">
        <v>-1996.94641912403</v>
      </c>
      <c r="AH187">
        <v>-1887.72079294437</v>
      </c>
      <c r="AI187">
        <v>-2044.58798247028</v>
      </c>
      <c r="AJ187">
        <v>-1975.10897181667</v>
      </c>
    </row>
    <row r="188" spans="20:36">
      <c r="T188">
        <v>93.313</v>
      </c>
      <c r="U188">
        <v>1.19348205149668</v>
      </c>
      <c r="V188">
        <v>93.313</v>
      </c>
      <c r="W188">
        <v>1.1745596714062</v>
      </c>
      <c r="X188">
        <v>93.313</v>
      </c>
      <c r="Y188">
        <v>1.17296180125576</v>
      </c>
      <c r="Z188">
        <v>93.313</v>
      </c>
      <c r="AA188">
        <v>1.20161846160413</v>
      </c>
      <c r="AB188">
        <v>93.313</v>
      </c>
      <c r="AC188">
        <v>1.1612328463932</v>
      </c>
      <c r="AE188">
        <v>93.313</v>
      </c>
      <c r="AF188">
        <v>-1814.13913086074</v>
      </c>
      <c r="AG188">
        <v>-1984.49013456972</v>
      </c>
      <c r="AH188">
        <v>-1892.76936619369</v>
      </c>
      <c r="AI188">
        <v>-1928.78957388115</v>
      </c>
      <c r="AJ188">
        <v>-1931.23255722161</v>
      </c>
    </row>
    <row r="189" spans="20:36">
      <c r="T189">
        <v>93.812</v>
      </c>
      <c r="U189">
        <v>1.19675966889355</v>
      </c>
      <c r="V189">
        <v>93.812</v>
      </c>
      <c r="W189">
        <v>1.18021202651044</v>
      </c>
      <c r="X189">
        <v>93.812</v>
      </c>
      <c r="Y189">
        <v>1.1788563284424</v>
      </c>
      <c r="Z189">
        <v>93.812</v>
      </c>
      <c r="AA189">
        <v>1.20295697412507</v>
      </c>
      <c r="AB189">
        <v>93.812</v>
      </c>
      <c r="AC189">
        <v>1.15915921969115</v>
      </c>
      <c r="AE189">
        <v>93.812</v>
      </c>
      <c r="AF189">
        <v>-1857.6759414644</v>
      </c>
      <c r="AG189">
        <v>-1937.66491635588</v>
      </c>
      <c r="AH189">
        <v>-1891.38063736348</v>
      </c>
      <c r="AI189">
        <v>-1859.93185191273</v>
      </c>
      <c r="AJ189">
        <v>-1820.8139167722</v>
      </c>
    </row>
    <row r="190" spans="20:36">
      <c r="T190">
        <v>94.311</v>
      </c>
      <c r="U190">
        <v>1.19674570667647</v>
      </c>
      <c r="V190">
        <v>94.311</v>
      </c>
      <c r="W190">
        <v>1.17162795006038</v>
      </c>
      <c r="X190">
        <v>94.311</v>
      </c>
      <c r="Y190">
        <v>1.17272214652937</v>
      </c>
      <c r="Z190">
        <v>94.311</v>
      </c>
      <c r="AA190">
        <v>1.20952616786696</v>
      </c>
      <c r="AB190">
        <v>94.311</v>
      </c>
      <c r="AC190">
        <v>1.16536945139091</v>
      </c>
      <c r="AE190">
        <v>94.311</v>
      </c>
      <c r="AF190">
        <v>-1928.22841952452</v>
      </c>
      <c r="AG190">
        <v>-1991.88739269479</v>
      </c>
      <c r="AH190">
        <v>-1776.10705583996</v>
      </c>
      <c r="AI190">
        <v>-1868.6933859572</v>
      </c>
      <c r="AJ190">
        <v>-1797.51386773851</v>
      </c>
    </row>
    <row r="191" spans="20:36">
      <c r="T191">
        <v>94.81</v>
      </c>
      <c r="U191">
        <v>1.20148284023324</v>
      </c>
      <c r="V191">
        <v>94.81</v>
      </c>
      <c r="W191">
        <v>1.18176962173882</v>
      </c>
      <c r="X191">
        <v>94.81</v>
      </c>
      <c r="Y191">
        <v>1.17004698909828</v>
      </c>
      <c r="Z191">
        <v>94.81</v>
      </c>
      <c r="AA191">
        <v>1.20021283457636</v>
      </c>
      <c r="AB191">
        <v>94.81</v>
      </c>
      <c r="AC191">
        <v>1.16765377813617</v>
      </c>
      <c r="AE191">
        <v>94.81</v>
      </c>
      <c r="AF191">
        <v>-1979.45532998892</v>
      </c>
      <c r="AG191">
        <v>-1991.28652758374</v>
      </c>
      <c r="AH191">
        <v>-1813.0705239499</v>
      </c>
      <c r="AI191">
        <v>-1910.7016484004</v>
      </c>
      <c r="AJ191">
        <v>-1855.50232569141</v>
      </c>
    </row>
    <row r="192" spans="20:36">
      <c r="T192">
        <v>95.309</v>
      </c>
      <c r="U192">
        <v>1.20057177158686</v>
      </c>
      <c r="V192">
        <v>95.309</v>
      </c>
      <c r="W192">
        <v>1.17060243687611</v>
      </c>
      <c r="X192">
        <v>95.309</v>
      </c>
      <c r="Y192">
        <v>1.17009904976975</v>
      </c>
      <c r="Z192">
        <v>95.309</v>
      </c>
      <c r="AA192">
        <v>1.19304414267653</v>
      </c>
      <c r="AB192">
        <v>95.309</v>
      </c>
      <c r="AC192">
        <v>1.17235465348103</v>
      </c>
      <c r="AE192">
        <v>95.309</v>
      </c>
      <c r="AF192">
        <v>-1957.62583883985</v>
      </c>
      <c r="AG192">
        <v>-1900.09040763654</v>
      </c>
      <c r="AH192">
        <v>-1873.3599297152</v>
      </c>
      <c r="AI192">
        <v>-1994.41485193674</v>
      </c>
      <c r="AJ192">
        <v>-2029.49519115108</v>
      </c>
    </row>
    <row r="193" spans="20:36">
      <c r="T193">
        <v>95.808</v>
      </c>
      <c r="U193">
        <v>1.19503840262825</v>
      </c>
      <c r="V193">
        <v>95.808</v>
      </c>
      <c r="W193">
        <v>1.17644972833492</v>
      </c>
      <c r="X193">
        <v>95.808</v>
      </c>
      <c r="Y193">
        <v>1.16813685786036</v>
      </c>
      <c r="Z193">
        <v>95.808</v>
      </c>
      <c r="AA193">
        <v>1.20767617603315</v>
      </c>
      <c r="AB193">
        <v>95.808</v>
      </c>
      <c r="AC193">
        <v>1.17095031977534</v>
      </c>
      <c r="AE193">
        <v>95.808</v>
      </c>
      <c r="AF193">
        <v>-1853.24162007685</v>
      </c>
      <c r="AG193">
        <v>-1943.49920736181</v>
      </c>
      <c r="AH193">
        <v>-1862.08309508059</v>
      </c>
      <c r="AI193">
        <v>-2016.75726222893</v>
      </c>
      <c r="AJ193">
        <v>-1947.20143625688</v>
      </c>
    </row>
    <row r="194" spans="20:36">
      <c r="T194">
        <v>96.307</v>
      </c>
      <c r="U194">
        <v>1.2020091007594</v>
      </c>
      <c r="V194">
        <v>96.307</v>
      </c>
      <c r="W194">
        <v>1.17336384688832</v>
      </c>
      <c r="X194">
        <v>96.307</v>
      </c>
      <c r="Y194">
        <v>1.16286969606949</v>
      </c>
      <c r="Z194">
        <v>96.307</v>
      </c>
      <c r="AA194">
        <v>1.20303367001889</v>
      </c>
      <c r="AB194">
        <v>96.307</v>
      </c>
      <c r="AC194">
        <v>1.16221187108257</v>
      </c>
      <c r="AE194">
        <v>96.307</v>
      </c>
      <c r="AF194">
        <v>-1877.51979438077</v>
      </c>
      <c r="AG194">
        <v>-1999.35134338508</v>
      </c>
      <c r="AH194">
        <v>-1846.07433977698</v>
      </c>
      <c r="AI194">
        <v>-1940.95426371991</v>
      </c>
      <c r="AJ194">
        <v>-1744.08580833709</v>
      </c>
    </row>
    <row r="195" spans="20:36">
      <c r="T195">
        <v>96.806</v>
      </c>
      <c r="U195">
        <v>1.20183819969121</v>
      </c>
      <c r="V195">
        <v>96.806</v>
      </c>
      <c r="W195">
        <v>1.17232565897979</v>
      </c>
      <c r="X195">
        <v>96.806</v>
      </c>
      <c r="Y195">
        <v>1.16812629761836</v>
      </c>
      <c r="Z195">
        <v>96.806</v>
      </c>
      <c r="AA195">
        <v>1.19679884299479</v>
      </c>
      <c r="AB195">
        <v>96.806</v>
      </c>
      <c r="AC195">
        <v>1.1674993228685</v>
      </c>
      <c r="AE195">
        <v>96.806</v>
      </c>
      <c r="AF195">
        <v>-1894.84274077122</v>
      </c>
      <c r="AG195">
        <v>-1961.51898910935</v>
      </c>
      <c r="AH195">
        <v>-1808.89952049025</v>
      </c>
      <c r="AI195">
        <v>-1738.43743224974</v>
      </c>
      <c r="AJ195">
        <v>-1711.49749615632</v>
      </c>
    </row>
    <row r="196" spans="20:36">
      <c r="T196">
        <v>97.305</v>
      </c>
      <c r="U196">
        <v>1.20080632445367</v>
      </c>
      <c r="V196">
        <v>97.305</v>
      </c>
      <c r="W196">
        <v>1.17690843575965</v>
      </c>
      <c r="X196">
        <v>97.305</v>
      </c>
      <c r="Y196">
        <v>1.16952354974771</v>
      </c>
      <c r="Z196">
        <v>97.305</v>
      </c>
      <c r="AA196">
        <v>1.19809357571699</v>
      </c>
      <c r="AB196">
        <v>97.305</v>
      </c>
      <c r="AC196">
        <v>1.1658630152724</v>
      </c>
      <c r="AE196">
        <v>97.305</v>
      </c>
      <c r="AF196">
        <v>-1898.10929609038</v>
      </c>
      <c r="AG196">
        <v>-2015.65620554477</v>
      </c>
      <c r="AH196">
        <v>-1761.97900892738</v>
      </c>
      <c r="AI196">
        <v>-1914.76922753625</v>
      </c>
      <c r="AJ196">
        <v>-1902.76452234802</v>
      </c>
    </row>
    <row r="197" spans="20:36">
      <c r="T197">
        <v>97.804</v>
      </c>
      <c r="U197">
        <v>1.19875265575175</v>
      </c>
      <c r="V197">
        <v>97.804</v>
      </c>
      <c r="W197">
        <v>1.17443758831145</v>
      </c>
      <c r="X197">
        <v>97.804</v>
      </c>
      <c r="Y197">
        <v>1.17753000353653</v>
      </c>
      <c r="Z197">
        <v>97.804</v>
      </c>
      <c r="AA197">
        <v>1.20617954765022</v>
      </c>
      <c r="AB197">
        <v>97.804</v>
      </c>
      <c r="AC197">
        <v>1.16353376223919</v>
      </c>
      <c r="AE197">
        <v>97.804</v>
      </c>
      <c r="AF197">
        <v>-1950.56881944737</v>
      </c>
      <c r="AG197">
        <v>-1949.40300436335</v>
      </c>
      <c r="AH197">
        <v>-1860.9081197018</v>
      </c>
      <c r="AI197">
        <v>-1993.24156045526</v>
      </c>
      <c r="AJ197">
        <v>-1972.18280282372</v>
      </c>
    </row>
    <row r="198" spans="20:36">
      <c r="T198">
        <v>98.303</v>
      </c>
      <c r="U198">
        <v>1.19377836174093</v>
      </c>
      <c r="V198">
        <v>98.303</v>
      </c>
      <c r="W198">
        <v>1.17655267173481</v>
      </c>
      <c r="X198">
        <v>98.303</v>
      </c>
      <c r="Y198">
        <v>1.17575581128465</v>
      </c>
      <c r="Z198">
        <v>98.303</v>
      </c>
      <c r="AA198">
        <v>1.20688302787917</v>
      </c>
      <c r="AB198">
        <v>98.303</v>
      </c>
      <c r="AC198">
        <v>1.15665930511929</v>
      </c>
      <c r="AE198">
        <v>98.303</v>
      </c>
      <c r="AF198">
        <v>-1977.56566178145</v>
      </c>
      <c r="AG198">
        <v>-1930.50642097737</v>
      </c>
      <c r="AH198">
        <v>-2003.49102839527</v>
      </c>
      <c r="AI198">
        <v>-1942.43962262742</v>
      </c>
      <c r="AJ198">
        <v>-1928.43499896693</v>
      </c>
    </row>
    <row r="199" spans="20:36">
      <c r="T199">
        <v>98.802</v>
      </c>
      <c r="U199">
        <v>1.20137812049368</v>
      </c>
      <c r="V199">
        <v>98.802</v>
      </c>
      <c r="W199">
        <v>1.17703275697741</v>
      </c>
      <c r="X199">
        <v>98.802</v>
      </c>
      <c r="Y199">
        <v>1.17248774772673</v>
      </c>
      <c r="Z199">
        <v>98.802</v>
      </c>
      <c r="AA199">
        <v>1.19506264626204</v>
      </c>
      <c r="AB199">
        <v>98.802</v>
      </c>
      <c r="AC199">
        <v>1.15784083185817</v>
      </c>
      <c r="AE199">
        <v>98.802</v>
      </c>
      <c r="AF199">
        <v>-1953.3504017285</v>
      </c>
      <c r="AG199">
        <v>-1863.10499767382</v>
      </c>
      <c r="AH199">
        <v>-1892.39075079544</v>
      </c>
      <c r="AI199">
        <v>-1765.05941473385</v>
      </c>
      <c r="AJ199">
        <v>-1793.33932877201</v>
      </c>
    </row>
    <row r="200" spans="20:36">
      <c r="T200">
        <v>99.301</v>
      </c>
      <c r="U200">
        <v>1.19375179572801</v>
      </c>
      <c r="V200">
        <v>99.301</v>
      </c>
      <c r="W200">
        <v>1.18373936282494</v>
      </c>
      <c r="X200">
        <v>99.301</v>
      </c>
      <c r="Y200">
        <v>1.17097733655617</v>
      </c>
      <c r="Z200">
        <v>99.301</v>
      </c>
      <c r="AA200">
        <v>1.2010028683785</v>
      </c>
      <c r="AB200">
        <v>99.301</v>
      </c>
      <c r="AC200">
        <v>1.15854823926549</v>
      </c>
      <c r="AE200">
        <v>99.301</v>
      </c>
      <c r="AF200">
        <v>-1913.61765901534</v>
      </c>
      <c r="AG200">
        <v>-1933.00964633989</v>
      </c>
      <c r="AH200">
        <v>-1760.1569900716</v>
      </c>
      <c r="AI200">
        <v>-1854.64450963886</v>
      </c>
      <c r="AJ200">
        <v>-1861.70462676208</v>
      </c>
    </row>
    <row r="201" spans="20:36">
      <c r="T201">
        <v>99.8</v>
      </c>
      <c r="U201">
        <v>1.18706754131967</v>
      </c>
      <c r="V201">
        <v>99.8</v>
      </c>
      <c r="W201">
        <v>1.18637971349929</v>
      </c>
      <c r="X201">
        <v>99.8</v>
      </c>
      <c r="Y201">
        <v>1.16949117970341</v>
      </c>
      <c r="Z201">
        <v>99.8</v>
      </c>
      <c r="AA201">
        <v>1.19921688422984</v>
      </c>
      <c r="AB201">
        <v>99.8</v>
      </c>
      <c r="AC201">
        <v>1.16209104514867</v>
      </c>
      <c r="AE201">
        <v>99.8</v>
      </c>
      <c r="AF201">
        <v>-1886.43193107365</v>
      </c>
      <c r="AG201">
        <v>-2063.86268302902</v>
      </c>
      <c r="AH201">
        <v>-1800.75469420893</v>
      </c>
      <c r="AI201">
        <v>-1909.4310098282</v>
      </c>
      <c r="AJ201">
        <v>-1935.93626339296</v>
      </c>
    </row>
    <row r="202" spans="20:36">
      <c r="T202">
        <v>100.299</v>
      </c>
      <c r="U202">
        <v>1.19071680120391</v>
      </c>
      <c r="V202">
        <v>100.299</v>
      </c>
      <c r="W202">
        <v>1.1807467323702</v>
      </c>
      <c r="X202">
        <v>100.299</v>
      </c>
      <c r="Y202">
        <v>1.17766457469261</v>
      </c>
      <c r="Z202">
        <v>100.299</v>
      </c>
      <c r="AA202">
        <v>1.19934074034963</v>
      </c>
      <c r="AB202">
        <v>100.299</v>
      </c>
      <c r="AC202">
        <v>1.16006496478773</v>
      </c>
      <c r="AE202">
        <v>100.299</v>
      </c>
      <c r="AF202">
        <v>-1918.48286179783</v>
      </c>
      <c r="AG202">
        <v>-2066.44336939585</v>
      </c>
      <c r="AH202">
        <v>-1965.37339848124</v>
      </c>
      <c r="AI202">
        <v>-1909.76520626752</v>
      </c>
      <c r="AJ202">
        <v>-1873.08136298787</v>
      </c>
    </row>
    <row r="203" spans="20:36">
      <c r="T203">
        <v>100.798</v>
      </c>
      <c r="U203">
        <v>1.1983011441317</v>
      </c>
      <c r="V203">
        <v>100.798</v>
      </c>
      <c r="W203">
        <v>1.17760862076878</v>
      </c>
      <c r="X203">
        <v>100.798</v>
      </c>
      <c r="Y203">
        <v>1.18129085994739</v>
      </c>
      <c r="Z203">
        <v>100.798</v>
      </c>
      <c r="AA203">
        <v>1.19539045960421</v>
      </c>
      <c r="AB203">
        <v>100.798</v>
      </c>
      <c r="AC203">
        <v>1.15966753939458</v>
      </c>
      <c r="AE203">
        <v>100.798</v>
      </c>
      <c r="AF203">
        <v>-1953.23175605862</v>
      </c>
      <c r="AG203">
        <v>-1934.31955481614</v>
      </c>
      <c r="AH203">
        <v>-1992.87089197142</v>
      </c>
      <c r="AI203">
        <v>-1886.92699885672</v>
      </c>
      <c r="AJ203">
        <v>-1856.32365434852</v>
      </c>
    </row>
    <row r="204" spans="20:36">
      <c r="T204">
        <v>101.297</v>
      </c>
      <c r="U204">
        <v>1.1860331667941</v>
      </c>
      <c r="V204">
        <v>101.297</v>
      </c>
      <c r="W204">
        <v>1.1723327183694</v>
      </c>
      <c r="X204">
        <v>101.297</v>
      </c>
      <c r="Y204">
        <v>1.18293816584026</v>
      </c>
      <c r="Z204">
        <v>101.297</v>
      </c>
      <c r="AA204">
        <v>1.19800624887682</v>
      </c>
      <c r="AB204">
        <v>101.297</v>
      </c>
      <c r="AC204">
        <v>1.161676467459</v>
      </c>
      <c r="AE204">
        <v>101.297</v>
      </c>
      <c r="AF204">
        <v>-1883.82520046647</v>
      </c>
      <c r="AG204">
        <v>-1899.38332439817</v>
      </c>
      <c r="AH204">
        <v>-1867.39622897564</v>
      </c>
      <c r="AI204">
        <v>-1886.42483835981</v>
      </c>
      <c r="AJ204">
        <v>-1887.78414217829</v>
      </c>
    </row>
    <row r="205" spans="20:36">
      <c r="T205">
        <v>101.796</v>
      </c>
      <c r="U205">
        <v>1.19742672843934</v>
      </c>
      <c r="V205">
        <v>101.796</v>
      </c>
      <c r="W205">
        <v>1.18739107515157</v>
      </c>
      <c r="X205">
        <v>101.796</v>
      </c>
      <c r="Y205">
        <v>1.17260537978786</v>
      </c>
      <c r="Z205">
        <v>101.796</v>
      </c>
      <c r="AA205">
        <v>1.19998610718852</v>
      </c>
      <c r="AB205">
        <v>101.796</v>
      </c>
      <c r="AC205">
        <v>1.15900806138012</v>
      </c>
      <c r="AE205">
        <v>101.796</v>
      </c>
      <c r="AF205">
        <v>-1971.36843959429</v>
      </c>
      <c r="AG205">
        <v>-1893.14472486461</v>
      </c>
      <c r="AH205">
        <v>-1795.54316552555</v>
      </c>
      <c r="AI205">
        <v>-1823.79475713634</v>
      </c>
      <c r="AJ205">
        <v>-1873.25550164439</v>
      </c>
    </row>
    <row r="206" spans="20:36">
      <c r="T206">
        <v>102.295</v>
      </c>
      <c r="U206">
        <v>1.19597006436231</v>
      </c>
      <c r="V206">
        <v>102.295</v>
      </c>
      <c r="W206">
        <v>1.18412609008756</v>
      </c>
      <c r="X206">
        <v>102.295</v>
      </c>
      <c r="Y206">
        <v>1.18137152759824</v>
      </c>
      <c r="Z206">
        <v>102.295</v>
      </c>
      <c r="AA206">
        <v>1.19636111598608</v>
      </c>
      <c r="AB206">
        <v>102.295</v>
      </c>
      <c r="AC206">
        <v>1.15160043076515</v>
      </c>
      <c r="AE206">
        <v>102.295</v>
      </c>
      <c r="AF206">
        <v>-1901.35933656753</v>
      </c>
      <c r="AG206">
        <v>-1989.90840814674</v>
      </c>
      <c r="AH206">
        <v>-1864.20261021724</v>
      </c>
      <c r="AI206">
        <v>-1889.51300573887</v>
      </c>
      <c r="AJ206">
        <v>-1826.30464306977</v>
      </c>
    </row>
    <row r="207" spans="20:36">
      <c r="T207">
        <v>102.794</v>
      </c>
      <c r="U207">
        <v>1.19639364503274</v>
      </c>
      <c r="V207">
        <v>102.794</v>
      </c>
      <c r="W207">
        <v>1.17758448198874</v>
      </c>
      <c r="X207">
        <v>102.794</v>
      </c>
      <c r="Y207">
        <v>1.178080550439</v>
      </c>
      <c r="Z207">
        <v>102.794</v>
      </c>
      <c r="AA207">
        <v>1.20007529162942</v>
      </c>
      <c r="AB207">
        <v>102.794</v>
      </c>
      <c r="AC207">
        <v>1.16094757631182</v>
      </c>
      <c r="AE207">
        <v>102.794</v>
      </c>
      <c r="AF207">
        <v>-1959.84168420584</v>
      </c>
      <c r="AG207">
        <v>-2019.67774432004</v>
      </c>
      <c r="AH207">
        <v>-1908.59787413753</v>
      </c>
      <c r="AI207">
        <v>-1852.40646022675</v>
      </c>
      <c r="AJ207">
        <v>-1937.55963864858</v>
      </c>
    </row>
    <row r="208" spans="20:36">
      <c r="T208">
        <v>103.293</v>
      </c>
      <c r="U208">
        <v>1.18055689660977</v>
      </c>
      <c r="V208">
        <v>103.293</v>
      </c>
      <c r="W208">
        <v>1.18298034235706</v>
      </c>
      <c r="X208">
        <v>103.293</v>
      </c>
      <c r="Y208">
        <v>1.17602730649318</v>
      </c>
      <c r="Z208">
        <v>103.293</v>
      </c>
      <c r="AA208">
        <v>1.20762873669091</v>
      </c>
      <c r="AB208">
        <v>103.293</v>
      </c>
      <c r="AC208">
        <v>1.16548027448212</v>
      </c>
      <c r="AE208">
        <v>103.293</v>
      </c>
      <c r="AF208">
        <v>-1858.2790433589</v>
      </c>
      <c r="AG208">
        <v>-1959.63916269392</v>
      </c>
      <c r="AH208">
        <v>-1979.31245802667</v>
      </c>
      <c r="AI208">
        <v>-1901.49521045786</v>
      </c>
      <c r="AJ208">
        <v>-1927.29722711667</v>
      </c>
    </row>
    <row r="209" spans="20:36">
      <c r="T209">
        <v>103.792</v>
      </c>
      <c r="U209">
        <v>1.19316307230621</v>
      </c>
      <c r="V209">
        <v>103.792</v>
      </c>
      <c r="W209">
        <v>1.17389322343305</v>
      </c>
      <c r="X209">
        <v>103.792</v>
      </c>
      <c r="Y209">
        <v>1.17561685854138</v>
      </c>
      <c r="Z209">
        <v>103.792</v>
      </c>
      <c r="AA209">
        <v>1.20070397446936</v>
      </c>
      <c r="AB209">
        <v>103.792</v>
      </c>
      <c r="AC209">
        <v>1.16425900056179</v>
      </c>
      <c r="AE209">
        <v>103.792</v>
      </c>
      <c r="AF209">
        <v>-1926.45816795183</v>
      </c>
      <c r="AG209">
        <v>-1877.34966426405</v>
      </c>
      <c r="AH209">
        <v>-1786.16461544645</v>
      </c>
      <c r="AI209">
        <v>-1922.84632890144</v>
      </c>
      <c r="AJ209">
        <v>-1884.01415106104</v>
      </c>
    </row>
    <row r="210" spans="20:36">
      <c r="T210">
        <v>104.291</v>
      </c>
      <c r="U210">
        <v>1.19295597533938</v>
      </c>
      <c r="V210">
        <v>104.291</v>
      </c>
      <c r="W210">
        <v>1.17942307524219</v>
      </c>
      <c r="X210">
        <v>104.291</v>
      </c>
      <c r="Y210">
        <v>1.17576033408363</v>
      </c>
      <c r="Z210">
        <v>104.291</v>
      </c>
      <c r="AA210">
        <v>1.20234206924077</v>
      </c>
      <c r="AB210">
        <v>104.291</v>
      </c>
      <c r="AC210">
        <v>1.1725141187715</v>
      </c>
      <c r="AE210">
        <v>104.291</v>
      </c>
      <c r="AF210">
        <v>-1931.74982778489</v>
      </c>
      <c r="AG210">
        <v>-1968.20178342923</v>
      </c>
      <c r="AH210">
        <v>-1745.12959631689</v>
      </c>
      <c r="AI210">
        <v>-2012.92713819715</v>
      </c>
      <c r="AJ210">
        <v>-1916.87203178494</v>
      </c>
    </row>
    <row r="211" spans="20:36">
      <c r="T211">
        <v>104.79</v>
      </c>
      <c r="U211">
        <v>1.20038143103985</v>
      </c>
      <c r="V211">
        <v>104.79</v>
      </c>
      <c r="W211">
        <v>1.18221830440515</v>
      </c>
      <c r="X211">
        <v>104.79</v>
      </c>
      <c r="Y211">
        <v>1.1702613001542</v>
      </c>
      <c r="Z211">
        <v>104.79</v>
      </c>
      <c r="AA211">
        <v>1.199763710643</v>
      </c>
      <c r="AB211">
        <v>104.79</v>
      </c>
      <c r="AC211">
        <v>1.17370047738306</v>
      </c>
      <c r="AE211">
        <v>104.79</v>
      </c>
      <c r="AF211">
        <v>-2034.9515684904</v>
      </c>
      <c r="AG211">
        <v>-1958.58624133778</v>
      </c>
      <c r="AH211">
        <v>-1837.99478691753</v>
      </c>
      <c r="AI211">
        <v>-1882.67334508698</v>
      </c>
      <c r="AJ211">
        <v>-1885.31929879778</v>
      </c>
    </row>
    <row r="212" spans="20:36">
      <c r="T212">
        <v>105.289</v>
      </c>
      <c r="U212">
        <v>1.20276395639032</v>
      </c>
      <c r="V212">
        <v>105.289</v>
      </c>
      <c r="W212">
        <v>1.17772238682116</v>
      </c>
      <c r="X212">
        <v>105.289</v>
      </c>
      <c r="Y212">
        <v>1.17517738270673</v>
      </c>
      <c r="Z212">
        <v>105.289</v>
      </c>
      <c r="AA212">
        <v>1.20531127714268</v>
      </c>
      <c r="AB212">
        <v>105.289</v>
      </c>
      <c r="AC212">
        <v>1.16756683043271</v>
      </c>
      <c r="AE212">
        <v>105.289</v>
      </c>
      <c r="AF212">
        <v>-1975.23274657341</v>
      </c>
      <c r="AG212">
        <v>-1902.54121708419</v>
      </c>
      <c r="AH212">
        <v>-1966.658638247</v>
      </c>
      <c r="AI212">
        <v>-1781.12515495721</v>
      </c>
      <c r="AJ212">
        <v>-1872.80970991787</v>
      </c>
    </row>
    <row r="213" spans="20:36">
      <c r="T213">
        <v>105.788</v>
      </c>
      <c r="U213">
        <v>1.20182507964928</v>
      </c>
      <c r="V213">
        <v>105.788</v>
      </c>
      <c r="W213">
        <v>1.17762902133235</v>
      </c>
      <c r="X213">
        <v>105.788</v>
      </c>
      <c r="Y213">
        <v>1.17347709604155</v>
      </c>
      <c r="Z213">
        <v>105.788</v>
      </c>
      <c r="AA213">
        <v>1.1956740708558</v>
      </c>
      <c r="AB213">
        <v>105.788</v>
      </c>
      <c r="AC213">
        <v>1.16008611537263</v>
      </c>
      <c r="AE213">
        <v>105.788</v>
      </c>
      <c r="AF213">
        <v>-1821.13211418165</v>
      </c>
      <c r="AG213">
        <v>-2022.72618765959</v>
      </c>
      <c r="AH213">
        <v>-1925.17851228767</v>
      </c>
      <c r="AI213">
        <v>-1858.56184847985</v>
      </c>
      <c r="AJ213">
        <v>-1822.01769770498</v>
      </c>
    </row>
    <row r="214" spans="20:36">
      <c r="T214">
        <v>106.287</v>
      </c>
      <c r="U214">
        <v>1.19496452906515</v>
      </c>
      <c r="V214">
        <v>106.287</v>
      </c>
      <c r="W214">
        <v>1.17078844679033</v>
      </c>
      <c r="X214">
        <v>106.287</v>
      </c>
      <c r="Y214">
        <v>1.17726479821796</v>
      </c>
      <c r="Z214">
        <v>106.287</v>
      </c>
      <c r="AA214">
        <v>1.19665389383666</v>
      </c>
      <c r="AB214">
        <v>106.287</v>
      </c>
      <c r="AC214">
        <v>1.16934995265998</v>
      </c>
      <c r="AE214">
        <v>106.287</v>
      </c>
      <c r="AF214">
        <v>-1833.0467253896</v>
      </c>
      <c r="AG214">
        <v>-2009.22023778252</v>
      </c>
      <c r="AH214">
        <v>-1943.32613492741</v>
      </c>
      <c r="AI214">
        <v>-1999.85167720848</v>
      </c>
      <c r="AJ214">
        <v>-1961.33268249212</v>
      </c>
    </row>
    <row r="215" spans="20:36">
      <c r="T215">
        <v>106.786</v>
      </c>
      <c r="U215">
        <v>1.20253310064923</v>
      </c>
      <c r="V215">
        <v>106.786</v>
      </c>
      <c r="W215">
        <v>1.17502122860908</v>
      </c>
      <c r="X215">
        <v>106.786</v>
      </c>
      <c r="Y215">
        <v>1.1793547490342</v>
      </c>
      <c r="Z215">
        <v>106.786</v>
      </c>
      <c r="AA215">
        <v>1.20493706052253</v>
      </c>
      <c r="AB215">
        <v>106.786</v>
      </c>
      <c r="AC215">
        <v>1.17111013812402</v>
      </c>
      <c r="AE215">
        <v>106.786</v>
      </c>
      <c r="AF215">
        <v>-2000.10970807955</v>
      </c>
      <c r="AG215">
        <v>-1916.4511260911</v>
      </c>
      <c r="AH215">
        <v>-1883.75510097081</v>
      </c>
      <c r="AI215">
        <v>-1968.59373369154</v>
      </c>
      <c r="AJ215">
        <v>-1980.5577161806</v>
      </c>
    </row>
    <row r="216" spans="20:36">
      <c r="T216">
        <v>107.285</v>
      </c>
      <c r="U216">
        <v>1.19271662268028</v>
      </c>
      <c r="V216">
        <v>107.285</v>
      </c>
      <c r="W216">
        <v>1.17709903469876</v>
      </c>
      <c r="X216">
        <v>107.285</v>
      </c>
      <c r="Y216">
        <v>1.17746620288458</v>
      </c>
      <c r="Z216">
        <v>107.285</v>
      </c>
      <c r="AA216">
        <v>1.21597930580938</v>
      </c>
      <c r="AB216">
        <v>107.285</v>
      </c>
      <c r="AC216">
        <v>1.16940123375768</v>
      </c>
      <c r="AE216">
        <v>107.285</v>
      </c>
      <c r="AF216">
        <v>-1956.58863020322</v>
      </c>
      <c r="AG216">
        <v>-1842.45261150078</v>
      </c>
      <c r="AH216">
        <v>-1744.42770074127</v>
      </c>
      <c r="AI216">
        <v>-1880.63484628393</v>
      </c>
      <c r="AJ216">
        <v>-1929.97012813571</v>
      </c>
    </row>
    <row r="217" spans="20:36">
      <c r="T217">
        <v>107.784</v>
      </c>
      <c r="U217">
        <v>1.19162355463468</v>
      </c>
      <c r="V217">
        <v>107.784</v>
      </c>
      <c r="W217">
        <v>1.17654769354149</v>
      </c>
      <c r="X217">
        <v>107.784</v>
      </c>
      <c r="Y217">
        <v>1.17838307874102</v>
      </c>
      <c r="Z217">
        <v>107.784</v>
      </c>
      <c r="AA217">
        <v>1.20806701236638</v>
      </c>
      <c r="AB217">
        <v>107.784</v>
      </c>
      <c r="AC217">
        <v>1.16428062217038</v>
      </c>
      <c r="AE217">
        <v>107.784</v>
      </c>
      <c r="AF217">
        <v>-1796.67861349593</v>
      </c>
      <c r="AG217">
        <v>-1923.09462601614</v>
      </c>
      <c r="AH217">
        <v>-1821.97115232258</v>
      </c>
      <c r="AI217">
        <v>-1899.66483646981</v>
      </c>
      <c r="AJ217">
        <v>-1749.67695676795</v>
      </c>
    </row>
    <row r="218" spans="20:36">
      <c r="T218">
        <v>108.283</v>
      </c>
      <c r="U218">
        <v>1.20396995738974</v>
      </c>
      <c r="V218">
        <v>108.283</v>
      </c>
      <c r="W218">
        <v>1.18066630279473</v>
      </c>
      <c r="X218">
        <v>108.283</v>
      </c>
      <c r="Y218">
        <v>1.18242110102743</v>
      </c>
      <c r="Z218">
        <v>108.283</v>
      </c>
      <c r="AA218">
        <v>1.21070811789953</v>
      </c>
      <c r="AB218">
        <v>108.283</v>
      </c>
      <c r="AC218">
        <v>1.17121089434625</v>
      </c>
      <c r="AE218">
        <v>108.283</v>
      </c>
      <c r="AF218">
        <v>-1860.5955623455</v>
      </c>
      <c r="AG218">
        <v>-2054.01412653119</v>
      </c>
      <c r="AH218">
        <v>-1930.99360652629</v>
      </c>
      <c r="AI218">
        <v>-1960.15449504559</v>
      </c>
      <c r="AJ218">
        <v>-1826.05993303947</v>
      </c>
    </row>
    <row r="219" spans="20:36">
      <c r="T219">
        <v>108.782</v>
      </c>
      <c r="U219">
        <v>1.2005335501102</v>
      </c>
      <c r="V219">
        <v>108.782</v>
      </c>
      <c r="W219">
        <v>1.17944524275048</v>
      </c>
      <c r="X219">
        <v>108.782</v>
      </c>
      <c r="Y219">
        <v>1.18943544668331</v>
      </c>
      <c r="Z219">
        <v>108.782</v>
      </c>
      <c r="AA219">
        <v>1.20675879763202</v>
      </c>
      <c r="AB219">
        <v>108.782</v>
      </c>
      <c r="AC219">
        <v>1.17283378648242</v>
      </c>
      <c r="AE219">
        <v>108.782</v>
      </c>
      <c r="AF219">
        <v>-2032.7931191437</v>
      </c>
      <c r="AG219">
        <v>-1987.80808468528</v>
      </c>
      <c r="AH219">
        <v>-1967.01816921803</v>
      </c>
      <c r="AI219">
        <v>-1967.60850865452</v>
      </c>
      <c r="AJ219">
        <v>-1935.99746246848</v>
      </c>
    </row>
    <row r="220" spans="20:36">
      <c r="T220">
        <v>109.281</v>
      </c>
      <c r="U220">
        <v>1.20330345122169</v>
      </c>
      <c r="V220">
        <v>109.281</v>
      </c>
      <c r="W220">
        <v>1.17731008377442</v>
      </c>
      <c r="X220">
        <v>109.281</v>
      </c>
      <c r="Y220">
        <v>1.18212213552357</v>
      </c>
      <c r="Z220">
        <v>109.281</v>
      </c>
      <c r="AA220">
        <v>1.20462878641143</v>
      </c>
      <c r="AB220">
        <v>109.281</v>
      </c>
      <c r="AC220">
        <v>1.1705646115932</v>
      </c>
      <c r="AE220">
        <v>109.281</v>
      </c>
      <c r="AF220">
        <v>-2021.06918182038</v>
      </c>
      <c r="AG220">
        <v>-1938.85863066222</v>
      </c>
      <c r="AH220">
        <v>-1898.56575686808</v>
      </c>
      <c r="AI220">
        <v>-1945.35287242298</v>
      </c>
      <c r="AJ220">
        <v>-1925.94440332123</v>
      </c>
    </row>
    <row r="221" spans="20:36">
      <c r="T221">
        <v>109.78</v>
      </c>
      <c r="U221">
        <v>1.20216274184321</v>
      </c>
      <c r="V221">
        <v>109.78</v>
      </c>
      <c r="W221">
        <v>1.17807065706055</v>
      </c>
      <c r="X221">
        <v>109.78</v>
      </c>
      <c r="Y221">
        <v>1.17869030609193</v>
      </c>
      <c r="Z221">
        <v>109.78</v>
      </c>
      <c r="AA221">
        <v>1.20966489833144</v>
      </c>
      <c r="AB221">
        <v>109.78</v>
      </c>
      <c r="AC221">
        <v>1.16815717459371</v>
      </c>
      <c r="AE221">
        <v>109.78</v>
      </c>
      <c r="AF221">
        <v>-1877.84224446311</v>
      </c>
      <c r="AG221">
        <v>-1956.4993406006</v>
      </c>
      <c r="AH221">
        <v>-1728.62561922318</v>
      </c>
      <c r="AI221">
        <v>-1963.77981357633</v>
      </c>
      <c r="AJ221">
        <v>-1934.21185011216</v>
      </c>
    </row>
    <row r="222" spans="20:36">
      <c r="T222">
        <v>110.279</v>
      </c>
      <c r="U222">
        <v>1.20146199299853</v>
      </c>
      <c r="V222">
        <v>110.279</v>
      </c>
      <c r="W222">
        <v>1.17822799288538</v>
      </c>
      <c r="X222">
        <v>110.279</v>
      </c>
      <c r="Y222">
        <v>1.18719332611162</v>
      </c>
      <c r="Z222">
        <v>110.279</v>
      </c>
      <c r="AA222">
        <v>1.20542706953443</v>
      </c>
      <c r="AB222">
        <v>110.279</v>
      </c>
      <c r="AC222">
        <v>1.16936128554128</v>
      </c>
      <c r="AE222">
        <v>110.279</v>
      </c>
      <c r="AF222">
        <v>-1914.52629732279</v>
      </c>
      <c r="AG222">
        <v>-1965.330214943</v>
      </c>
      <c r="AH222">
        <v>-1857.40727564381</v>
      </c>
      <c r="AI222">
        <v>-1868.7021412867</v>
      </c>
      <c r="AJ222">
        <v>-1943.59547811634</v>
      </c>
    </row>
    <row r="223" spans="20:36">
      <c r="T223">
        <v>110.778</v>
      </c>
      <c r="U223">
        <v>1.20451058687412</v>
      </c>
      <c r="V223">
        <v>110.778</v>
      </c>
      <c r="W223">
        <v>1.18253718409926</v>
      </c>
      <c r="X223">
        <v>110.778</v>
      </c>
      <c r="Y223">
        <v>1.18010384388064</v>
      </c>
      <c r="Z223">
        <v>110.778</v>
      </c>
      <c r="AA223">
        <v>1.20789271603266</v>
      </c>
      <c r="AB223">
        <v>110.778</v>
      </c>
      <c r="AC223">
        <v>1.16399436538482</v>
      </c>
      <c r="AE223">
        <v>110.778</v>
      </c>
      <c r="AF223">
        <v>-2037.35386761145</v>
      </c>
      <c r="AG223">
        <v>-1949.38599785463</v>
      </c>
      <c r="AH223">
        <v>-1929.21452641393</v>
      </c>
      <c r="AI223">
        <v>-1924.39104061952</v>
      </c>
      <c r="AJ223">
        <v>-1927.79611468898</v>
      </c>
    </row>
    <row r="224" spans="20:36">
      <c r="T224">
        <v>111.277</v>
      </c>
      <c r="U224">
        <v>1.19878089019045</v>
      </c>
      <c r="V224">
        <v>111.277</v>
      </c>
      <c r="W224">
        <v>1.17774435550305</v>
      </c>
      <c r="X224">
        <v>111.277</v>
      </c>
      <c r="Y224">
        <v>1.19029497857728</v>
      </c>
      <c r="Z224">
        <v>111.277</v>
      </c>
      <c r="AA224">
        <v>1.20896398309806</v>
      </c>
      <c r="AB224">
        <v>111.277</v>
      </c>
      <c r="AC224">
        <v>1.16572497914346</v>
      </c>
      <c r="AE224">
        <v>111.277</v>
      </c>
      <c r="AF224">
        <v>-1883.22187540684</v>
      </c>
      <c r="AG224">
        <v>-1981.32323375707</v>
      </c>
      <c r="AH224">
        <v>-1964.62102164253</v>
      </c>
      <c r="AI224">
        <v>-2015.39960070057</v>
      </c>
      <c r="AJ224">
        <v>-1942.51038378543</v>
      </c>
    </row>
    <row r="225" spans="20:36">
      <c r="T225">
        <v>111.776</v>
      </c>
      <c r="U225">
        <v>1.2004560238784</v>
      </c>
      <c r="V225">
        <v>111.776</v>
      </c>
      <c r="W225">
        <v>1.17987931219523</v>
      </c>
      <c r="X225">
        <v>111.776</v>
      </c>
      <c r="Y225">
        <v>1.17753003116417</v>
      </c>
      <c r="Z225">
        <v>111.776</v>
      </c>
      <c r="AA225">
        <v>1.20562507024868</v>
      </c>
      <c r="AB225">
        <v>111.776</v>
      </c>
      <c r="AC225">
        <v>1.15829947431768</v>
      </c>
      <c r="AE225">
        <v>111.776</v>
      </c>
      <c r="AF225">
        <v>-1880.26331851741</v>
      </c>
      <c r="AG225">
        <v>-1946.21328383192</v>
      </c>
      <c r="AH225">
        <v>-1899.33496502737</v>
      </c>
      <c r="AI225">
        <v>-1878.38186238775</v>
      </c>
      <c r="AJ225">
        <v>-1816.45356001589</v>
      </c>
    </row>
    <row r="226" spans="20:36">
      <c r="T226">
        <v>112.275</v>
      </c>
      <c r="U226">
        <v>1.20672465186607</v>
      </c>
      <c r="V226">
        <v>112.275</v>
      </c>
      <c r="W226">
        <v>1.18517237588187</v>
      </c>
      <c r="X226">
        <v>112.275</v>
      </c>
      <c r="Y226">
        <v>1.17937773134292</v>
      </c>
      <c r="Z226">
        <v>112.275</v>
      </c>
      <c r="AA226">
        <v>1.20795807031156</v>
      </c>
      <c r="AB226">
        <v>112.275</v>
      </c>
      <c r="AC226">
        <v>1.15740299952102</v>
      </c>
      <c r="AE226">
        <v>112.275</v>
      </c>
      <c r="AF226">
        <v>-1943.08528234698</v>
      </c>
      <c r="AG226">
        <v>-1938.55612631632</v>
      </c>
      <c r="AH226">
        <v>-1788.35390728576</v>
      </c>
      <c r="AI226">
        <v>-1866.60938133449</v>
      </c>
      <c r="AJ226">
        <v>-1845.22558469749</v>
      </c>
    </row>
    <row r="227" spans="20:36">
      <c r="T227">
        <v>112.774</v>
      </c>
      <c r="U227">
        <v>1.20216535463493</v>
      </c>
      <c r="V227">
        <v>112.774</v>
      </c>
      <c r="W227">
        <v>1.17590797514497</v>
      </c>
      <c r="X227">
        <v>112.774</v>
      </c>
      <c r="Y227">
        <v>1.17686382318544</v>
      </c>
      <c r="Z227">
        <v>112.774</v>
      </c>
      <c r="AA227">
        <v>1.20780433562243</v>
      </c>
      <c r="AB227">
        <v>112.774</v>
      </c>
      <c r="AC227">
        <v>1.16717658862887</v>
      </c>
      <c r="AE227">
        <v>112.774</v>
      </c>
      <c r="AF227">
        <v>-1885.24725615358</v>
      </c>
      <c r="AG227">
        <v>-1890.52503519742</v>
      </c>
      <c r="AH227">
        <v>-1820.16518970971</v>
      </c>
      <c r="AI227">
        <v>-1850.39549555099</v>
      </c>
      <c r="AJ227">
        <v>-1936.35332692569</v>
      </c>
    </row>
    <row r="228" spans="20:36">
      <c r="T228">
        <v>113.273</v>
      </c>
      <c r="U228">
        <v>1.20259172406745</v>
      </c>
      <c r="V228">
        <v>113.273</v>
      </c>
      <c r="W228">
        <v>1.18766736416833</v>
      </c>
      <c r="X228">
        <v>113.273</v>
      </c>
      <c r="Y228">
        <v>1.1892477978048</v>
      </c>
      <c r="Z228">
        <v>113.273</v>
      </c>
      <c r="AA228">
        <v>1.21197121580183</v>
      </c>
      <c r="AB228">
        <v>113.273</v>
      </c>
      <c r="AC228">
        <v>1.16904637907005</v>
      </c>
      <c r="AE228">
        <v>113.273</v>
      </c>
      <c r="AF228">
        <v>-1880.93342795596</v>
      </c>
      <c r="AG228">
        <v>-2047.73878102503</v>
      </c>
      <c r="AH228">
        <v>-1928.11525235556</v>
      </c>
      <c r="AI228">
        <v>-1971.75624958377</v>
      </c>
      <c r="AJ228">
        <v>-1932.98653681607</v>
      </c>
    </row>
    <row r="229" spans="20:36">
      <c r="T229">
        <v>113.772</v>
      </c>
      <c r="U229">
        <v>1.20368224751766</v>
      </c>
      <c r="V229">
        <v>113.772</v>
      </c>
      <c r="W229">
        <v>1.18104760548646</v>
      </c>
      <c r="X229">
        <v>113.772</v>
      </c>
      <c r="Y229">
        <v>1.18955376186869</v>
      </c>
      <c r="Z229">
        <v>113.772</v>
      </c>
      <c r="AA229">
        <v>1.19979485755799</v>
      </c>
      <c r="AB229">
        <v>113.772</v>
      </c>
      <c r="AC229">
        <v>1.16748944841447</v>
      </c>
      <c r="AE229">
        <v>113.772</v>
      </c>
      <c r="AF229">
        <v>-1983.11647210753</v>
      </c>
      <c r="AG229">
        <v>-2144.95925488134</v>
      </c>
      <c r="AH229">
        <v>-1957.08419624299</v>
      </c>
      <c r="AI229">
        <v>-1964.86051530768</v>
      </c>
      <c r="AJ229">
        <v>-1922.4050130166</v>
      </c>
    </row>
    <row r="230" spans="20:36">
      <c r="T230">
        <v>114.271</v>
      </c>
      <c r="U230">
        <v>1.20058673383577</v>
      </c>
      <c r="V230">
        <v>114.271</v>
      </c>
      <c r="W230">
        <v>1.17715094591914</v>
      </c>
      <c r="X230">
        <v>114.271</v>
      </c>
      <c r="Y230">
        <v>1.18499359023438</v>
      </c>
      <c r="Z230">
        <v>114.271</v>
      </c>
      <c r="AA230">
        <v>1.20756338281807</v>
      </c>
      <c r="AB230">
        <v>114.271</v>
      </c>
      <c r="AC230">
        <v>1.1632161473426</v>
      </c>
      <c r="AE230">
        <v>114.271</v>
      </c>
      <c r="AF230">
        <v>-2020.14408034142</v>
      </c>
      <c r="AG230">
        <v>-1960.40400069931</v>
      </c>
      <c r="AH230">
        <v>-1900.4815715399</v>
      </c>
      <c r="AI230">
        <v>-1902.95952577186</v>
      </c>
      <c r="AJ230">
        <v>-1838.12568425045</v>
      </c>
    </row>
    <row r="231" spans="20:36">
      <c r="T231">
        <v>114.77</v>
      </c>
      <c r="U231">
        <v>1.20552171908608</v>
      </c>
      <c r="V231">
        <v>114.77</v>
      </c>
      <c r="W231">
        <v>1.18721182823326</v>
      </c>
      <c r="X231">
        <v>114.77</v>
      </c>
      <c r="Y231">
        <v>1.18797597496869</v>
      </c>
      <c r="Z231">
        <v>114.77</v>
      </c>
      <c r="AA231">
        <v>1.21093870895345</v>
      </c>
      <c r="AB231">
        <v>114.77</v>
      </c>
      <c r="AC231">
        <v>1.16353488764785</v>
      </c>
      <c r="AE231">
        <v>114.77</v>
      </c>
      <c r="AF231">
        <v>-2004.03001680156</v>
      </c>
      <c r="AG231">
        <v>-1891.30093500468</v>
      </c>
      <c r="AH231">
        <v>-1854.75174592544</v>
      </c>
      <c r="AI231">
        <v>-1962.1900821338</v>
      </c>
      <c r="AJ231">
        <v>-1825.2243425181</v>
      </c>
    </row>
    <row r="232" spans="20:36">
      <c r="T232">
        <v>115.269</v>
      </c>
      <c r="U232">
        <v>1.19863617870587</v>
      </c>
      <c r="V232">
        <v>115.269</v>
      </c>
      <c r="W232">
        <v>1.17887758572402</v>
      </c>
      <c r="X232">
        <v>115.269</v>
      </c>
      <c r="Y232">
        <v>1.18375350070332</v>
      </c>
      <c r="Z232">
        <v>115.269</v>
      </c>
      <c r="AA232">
        <v>1.20406260113722</v>
      </c>
      <c r="AB232">
        <v>115.269</v>
      </c>
      <c r="AC232">
        <v>1.16788585648697</v>
      </c>
      <c r="AE232">
        <v>115.269</v>
      </c>
      <c r="AF232">
        <v>-1824.30232012579</v>
      </c>
      <c r="AG232">
        <v>-1916.04129587961</v>
      </c>
      <c r="AH232">
        <v>-1818.17756189367</v>
      </c>
      <c r="AI232">
        <v>-1932.50146367494</v>
      </c>
      <c r="AJ232">
        <v>-1937.97735656072</v>
      </c>
    </row>
    <row r="233" spans="20:36">
      <c r="T233">
        <v>115.768</v>
      </c>
      <c r="U233">
        <v>1.19797654712056</v>
      </c>
      <c r="V233">
        <v>115.768</v>
      </c>
      <c r="W233">
        <v>1.18341020837359</v>
      </c>
      <c r="X233">
        <v>115.768</v>
      </c>
      <c r="Y233">
        <v>1.18821171865892</v>
      </c>
      <c r="Z233">
        <v>115.768</v>
      </c>
      <c r="AA233">
        <v>1.21090293105088</v>
      </c>
      <c r="AB233">
        <v>115.768</v>
      </c>
      <c r="AC233">
        <v>1.17249271564748</v>
      </c>
      <c r="AE233">
        <v>115.768</v>
      </c>
      <c r="AF233">
        <v>-1877.34608902805</v>
      </c>
      <c r="AG233">
        <v>-1998.89454754975</v>
      </c>
      <c r="AH233">
        <v>-1974.83243474494</v>
      </c>
      <c r="AI233">
        <v>-1840.86112740643</v>
      </c>
      <c r="AJ233">
        <v>-1953.21435216236</v>
      </c>
    </row>
    <row r="234" spans="20:36">
      <c r="T234">
        <v>116.267</v>
      </c>
      <c r="U234">
        <v>1.20562154565365</v>
      </c>
      <c r="V234">
        <v>116.267</v>
      </c>
      <c r="W234">
        <v>1.18673047017506</v>
      </c>
      <c r="X234">
        <v>116.267</v>
      </c>
      <c r="Y234">
        <v>1.18961488839489</v>
      </c>
      <c r="Z234">
        <v>116.267</v>
      </c>
      <c r="AA234">
        <v>1.20443309960714</v>
      </c>
      <c r="AB234">
        <v>116.267</v>
      </c>
      <c r="AC234">
        <v>1.16917432487451</v>
      </c>
      <c r="AE234">
        <v>116.267</v>
      </c>
      <c r="AF234">
        <v>-2102.5894736671</v>
      </c>
      <c r="AG234">
        <v>-2062.56732633019</v>
      </c>
      <c r="AH234">
        <v>-1898.68597670988</v>
      </c>
      <c r="AI234">
        <v>-1915.83899691591</v>
      </c>
      <c r="AJ234">
        <v>-1825.84839293995</v>
      </c>
    </row>
    <row r="235" spans="20:36">
      <c r="T235">
        <v>116.766</v>
      </c>
      <c r="U235">
        <v>1.20156000646527</v>
      </c>
      <c r="V235">
        <v>116.766</v>
      </c>
      <c r="W235">
        <v>1.18413750419135</v>
      </c>
      <c r="X235">
        <v>116.766</v>
      </c>
      <c r="Y235">
        <v>1.18135919219777</v>
      </c>
      <c r="Z235">
        <v>116.766</v>
      </c>
      <c r="AA235">
        <v>1.2130172762419</v>
      </c>
      <c r="AB235">
        <v>116.766</v>
      </c>
      <c r="AC235">
        <v>1.16658634644574</v>
      </c>
      <c r="AE235">
        <v>116.766</v>
      </c>
      <c r="AF235">
        <v>-2080.6546039774</v>
      </c>
      <c r="AG235">
        <v>-1983.1513505212</v>
      </c>
      <c r="AH235">
        <v>-1807.68577871484</v>
      </c>
      <c r="AI235">
        <v>-2028.51870189188</v>
      </c>
      <c r="AJ235">
        <v>-1838.92053174014</v>
      </c>
    </row>
    <row r="236" spans="20:36">
      <c r="T236">
        <v>117.265</v>
      </c>
      <c r="U236">
        <v>1.19736757972626</v>
      </c>
      <c r="V236">
        <v>117.265</v>
      </c>
      <c r="W236">
        <v>1.18477056873848</v>
      </c>
      <c r="X236">
        <v>117.265</v>
      </c>
      <c r="Y236">
        <v>1.18081654764339</v>
      </c>
      <c r="Z236">
        <v>117.265</v>
      </c>
      <c r="AA236">
        <v>1.21272770738133</v>
      </c>
      <c r="AB236">
        <v>117.265</v>
      </c>
      <c r="AC236">
        <v>1.16692106067122</v>
      </c>
      <c r="AE236">
        <v>117.265</v>
      </c>
      <c r="AF236">
        <v>-1845.85087467483</v>
      </c>
      <c r="AG236">
        <v>-1972.16780803759</v>
      </c>
      <c r="AH236">
        <v>-1862.86434638239</v>
      </c>
      <c r="AI236">
        <v>-1980.99825817213</v>
      </c>
      <c r="AJ236">
        <v>-1879.44229867958</v>
      </c>
    </row>
    <row r="237" spans="20:36">
      <c r="T237">
        <v>117.764</v>
      </c>
      <c r="U237">
        <v>1.19687446402216</v>
      </c>
      <c r="V237">
        <v>117.764</v>
      </c>
      <c r="W237">
        <v>1.17883474935427</v>
      </c>
      <c r="X237">
        <v>117.764</v>
      </c>
      <c r="Y237">
        <v>1.18950776804117</v>
      </c>
      <c r="Z237">
        <v>117.764</v>
      </c>
      <c r="AA237">
        <v>1.21729751063559</v>
      </c>
      <c r="AB237">
        <v>117.764</v>
      </c>
      <c r="AC237">
        <v>1.1651433485895</v>
      </c>
      <c r="AE237">
        <v>117.764</v>
      </c>
      <c r="AF237">
        <v>-1761.6527719314</v>
      </c>
      <c r="AG237">
        <v>-2006.00528672121</v>
      </c>
      <c r="AH237">
        <v>-1871.68518457896</v>
      </c>
      <c r="AI237">
        <v>-1936.42838311855</v>
      </c>
      <c r="AJ237">
        <v>-1977.4217874875</v>
      </c>
    </row>
    <row r="238" spans="20:36">
      <c r="T238">
        <v>118.263</v>
      </c>
      <c r="U238">
        <v>1.20499825531936</v>
      </c>
      <c r="V238">
        <v>118.263</v>
      </c>
      <c r="W238">
        <v>1.18035252378376</v>
      </c>
      <c r="X238">
        <v>118.263</v>
      </c>
      <c r="Y238">
        <v>1.17665975922983</v>
      </c>
      <c r="Z238">
        <v>118.263</v>
      </c>
      <c r="AA238">
        <v>1.21342143465629</v>
      </c>
      <c r="AB238">
        <v>118.263</v>
      </c>
      <c r="AC238">
        <v>1.16503806145455</v>
      </c>
      <c r="AE238">
        <v>118.263</v>
      </c>
      <c r="AF238">
        <v>-1880.26660947401</v>
      </c>
      <c r="AG238">
        <v>-2035.49114662504</v>
      </c>
      <c r="AH238">
        <v>-1785.40996043181</v>
      </c>
      <c r="AI238">
        <v>-1972.7968199342</v>
      </c>
      <c r="AJ238">
        <v>-1872.25745391281</v>
      </c>
    </row>
    <row r="239" spans="20:36">
      <c r="T239">
        <v>118.762</v>
      </c>
      <c r="U239">
        <v>1.1964920176699</v>
      </c>
      <c r="V239">
        <v>118.762</v>
      </c>
      <c r="W239">
        <v>1.18906032100208</v>
      </c>
      <c r="X239">
        <v>118.762</v>
      </c>
      <c r="Y239">
        <v>1.19014556945183</v>
      </c>
      <c r="Z239">
        <v>118.762</v>
      </c>
      <c r="AA239">
        <v>1.21422443877902</v>
      </c>
      <c r="AB239">
        <v>118.762</v>
      </c>
      <c r="AC239">
        <v>1.16805818570074</v>
      </c>
      <c r="AE239">
        <v>118.762</v>
      </c>
      <c r="AF239">
        <v>-2015.53964287574</v>
      </c>
      <c r="AG239">
        <v>-2101.72622643209</v>
      </c>
      <c r="AH239">
        <v>-1884.44744627554</v>
      </c>
      <c r="AI239">
        <v>-1988.43329099812</v>
      </c>
      <c r="AJ239">
        <v>-1778.81523019726</v>
      </c>
    </row>
    <row r="240" spans="20:36">
      <c r="T240">
        <v>119.261</v>
      </c>
      <c r="U240">
        <v>1.1978691407701</v>
      </c>
      <c r="V240">
        <v>119.261</v>
      </c>
      <c r="W240">
        <v>1.18328690731189</v>
      </c>
      <c r="X240">
        <v>119.261</v>
      </c>
      <c r="Y240">
        <v>1.18399024314557</v>
      </c>
      <c r="Z240">
        <v>119.261</v>
      </c>
      <c r="AA240">
        <v>1.20626910251914</v>
      </c>
      <c r="AB240">
        <v>119.261</v>
      </c>
      <c r="AC240">
        <v>1.16021064996685</v>
      </c>
      <c r="AE240">
        <v>119.261</v>
      </c>
      <c r="AF240">
        <v>-2096.5871087745</v>
      </c>
      <c r="AG240">
        <v>-1946.6947663273</v>
      </c>
      <c r="AH240">
        <v>-1936.13732446683</v>
      </c>
      <c r="AI240">
        <v>-1961.99626722596</v>
      </c>
      <c r="AJ240">
        <v>-1826.44742505639</v>
      </c>
    </row>
    <row r="241" spans="20:36">
      <c r="T241">
        <v>119.76</v>
      </c>
      <c r="U241">
        <v>1.19060380821667</v>
      </c>
      <c r="V241">
        <v>119.76</v>
      </c>
      <c r="W241">
        <v>1.18126957623118</v>
      </c>
      <c r="X241">
        <v>119.76</v>
      </c>
      <c r="Y241">
        <v>1.1888388906877</v>
      </c>
      <c r="Z241">
        <v>119.76</v>
      </c>
      <c r="AA241">
        <v>1.21506382127287</v>
      </c>
      <c r="AB241">
        <v>119.76</v>
      </c>
      <c r="AC241">
        <v>1.166807836096</v>
      </c>
      <c r="AE241">
        <v>119.76</v>
      </c>
      <c r="AF241">
        <v>-1925.22607230231</v>
      </c>
      <c r="AG241">
        <v>-1971.68774715697</v>
      </c>
      <c r="AH241">
        <v>-1904.88873307391</v>
      </c>
      <c r="AI241">
        <v>-1913.2649495683</v>
      </c>
      <c r="AJ241">
        <v>-1984.84068627715</v>
      </c>
    </row>
    <row r="242" spans="20:36">
      <c r="T242">
        <v>120.259</v>
      </c>
      <c r="U242">
        <v>1.18847823515225</v>
      </c>
      <c r="V242">
        <v>120.259</v>
      </c>
      <c r="W242">
        <v>1.18211185378846</v>
      </c>
      <c r="X242">
        <v>120.259</v>
      </c>
      <c r="Y242">
        <v>1.19323783942215</v>
      </c>
      <c r="Z242">
        <v>120.259</v>
      </c>
      <c r="AA242">
        <v>1.21647184905226</v>
      </c>
      <c r="AB242">
        <v>120.259</v>
      </c>
      <c r="AC242">
        <v>1.17028585743936</v>
      </c>
      <c r="AE242">
        <v>120.259</v>
      </c>
      <c r="AF242">
        <v>-1684.74284231086</v>
      </c>
      <c r="AG242">
        <v>-2071.35301748457</v>
      </c>
      <c r="AH242">
        <v>-1798.13437498682</v>
      </c>
      <c r="AI242">
        <v>-1914.51397301762</v>
      </c>
      <c r="AJ242">
        <v>-1920.19581818627</v>
      </c>
    </row>
    <row r="243" spans="20:36">
      <c r="T243">
        <v>120.758</v>
      </c>
      <c r="U243">
        <v>1.19858675756709</v>
      </c>
      <c r="V243">
        <v>120.758</v>
      </c>
      <c r="W243">
        <v>1.18336167552801</v>
      </c>
      <c r="X243">
        <v>120.758</v>
      </c>
      <c r="Y243">
        <v>1.18691891343423</v>
      </c>
      <c r="Z243">
        <v>120.758</v>
      </c>
      <c r="AA243">
        <v>1.22044597108139</v>
      </c>
      <c r="AB243">
        <v>120.758</v>
      </c>
      <c r="AC243">
        <v>1.16472696715955</v>
      </c>
      <c r="AE243">
        <v>120.758</v>
      </c>
      <c r="AF243">
        <v>-1749.40947298328</v>
      </c>
      <c r="AG243">
        <v>-2144.88504598027</v>
      </c>
      <c r="AH243">
        <v>-1725.73346585562</v>
      </c>
      <c r="AI243">
        <v>-2077.50910136349</v>
      </c>
      <c r="AJ243">
        <v>-1888.45921777767</v>
      </c>
    </row>
    <row r="244" spans="20:36">
      <c r="T244">
        <v>121.257</v>
      </c>
      <c r="U244">
        <v>1.19949546901006</v>
      </c>
      <c r="V244">
        <v>121.257</v>
      </c>
      <c r="W244">
        <v>1.19085053126495</v>
      </c>
      <c r="X244">
        <v>121.257</v>
      </c>
      <c r="Y244">
        <v>1.18616969458797</v>
      </c>
      <c r="Z244">
        <v>121.257</v>
      </c>
      <c r="AA244">
        <v>1.22301685075346</v>
      </c>
      <c r="AB244">
        <v>121.257</v>
      </c>
      <c r="AC244">
        <v>1.16296456338899</v>
      </c>
      <c r="AE244">
        <v>121.257</v>
      </c>
      <c r="AF244">
        <v>-2038.07446206297</v>
      </c>
      <c r="AG244">
        <v>-2015.30148639859</v>
      </c>
      <c r="AH244">
        <v>-1878.74400160957</v>
      </c>
      <c r="AI244">
        <v>-2054.61431805267</v>
      </c>
      <c r="AJ244">
        <v>-1876.88528894458</v>
      </c>
    </row>
    <row r="245" spans="20:36">
      <c r="T245">
        <v>121.756</v>
      </c>
      <c r="U245">
        <v>1.19269280629553</v>
      </c>
      <c r="V245">
        <v>121.756</v>
      </c>
      <c r="W245">
        <v>1.19161395204138</v>
      </c>
      <c r="X245">
        <v>121.756</v>
      </c>
      <c r="Y245">
        <v>1.18980420052422</v>
      </c>
      <c r="Z245">
        <v>121.756</v>
      </c>
      <c r="AA245">
        <v>1.22558116402677</v>
      </c>
      <c r="AB245">
        <v>121.756</v>
      </c>
      <c r="AC245">
        <v>1.15898550412201</v>
      </c>
      <c r="AE245">
        <v>121.756</v>
      </c>
      <c r="AF245">
        <v>-2063.29774090247</v>
      </c>
      <c r="AG245">
        <v>-1928.14850288718</v>
      </c>
      <c r="AH245">
        <v>-1998.49907999189</v>
      </c>
      <c r="AI245">
        <v>-1903.19850886906</v>
      </c>
      <c r="AJ245">
        <v>-1865.43441147863</v>
      </c>
    </row>
    <row r="246" spans="20:36">
      <c r="T246">
        <v>122.255</v>
      </c>
      <c r="U246">
        <v>1.19454691150447</v>
      </c>
      <c r="V246">
        <v>122.255</v>
      </c>
      <c r="W246">
        <v>1.1931472879361</v>
      </c>
      <c r="X246">
        <v>122.255</v>
      </c>
      <c r="Y246">
        <v>1.18400795277854</v>
      </c>
      <c r="Z246">
        <v>122.255</v>
      </c>
      <c r="AA246">
        <v>1.21810584574461</v>
      </c>
      <c r="AB246">
        <v>122.255</v>
      </c>
      <c r="AC246">
        <v>1.15795436811039</v>
      </c>
      <c r="AE246">
        <v>122.255</v>
      </c>
      <c r="AF246">
        <v>-1791.09390595734</v>
      </c>
      <c r="AG246">
        <v>-1992.93924046241</v>
      </c>
      <c r="AH246">
        <v>-1896.25815706294</v>
      </c>
      <c r="AI246">
        <v>-1915.76290054403</v>
      </c>
      <c r="AJ246">
        <v>-1867.49020834409</v>
      </c>
    </row>
    <row r="247" spans="20:36">
      <c r="T247">
        <v>122.754</v>
      </c>
      <c r="U247">
        <v>1.19827021010634</v>
      </c>
      <c r="V247">
        <v>122.754</v>
      </c>
      <c r="W247">
        <v>1.18549868223035</v>
      </c>
      <c r="X247">
        <v>122.754</v>
      </c>
      <c r="Y247">
        <v>1.18168909318663</v>
      </c>
      <c r="Z247">
        <v>122.754</v>
      </c>
      <c r="AA247">
        <v>1.22106640728998</v>
      </c>
      <c r="AB247">
        <v>122.754</v>
      </c>
      <c r="AC247">
        <v>1.16634612180546</v>
      </c>
      <c r="AE247">
        <v>122.754</v>
      </c>
      <c r="AF247">
        <v>-1743.21935634327</v>
      </c>
      <c r="AG247">
        <v>-2052.09348548572</v>
      </c>
      <c r="AH247">
        <v>-1739.98284866476</v>
      </c>
      <c r="AI247">
        <v>-2041.18129545429</v>
      </c>
      <c r="AJ247">
        <v>-1881.3438160883</v>
      </c>
    </row>
    <row r="248" spans="20:36">
      <c r="T248">
        <v>123.253</v>
      </c>
      <c r="U248">
        <v>1.19153426556963</v>
      </c>
      <c r="V248">
        <v>123.253</v>
      </c>
      <c r="W248">
        <v>1.18851041198125</v>
      </c>
      <c r="X248">
        <v>123.253</v>
      </c>
      <c r="Y248">
        <v>1.18699376217552</v>
      </c>
      <c r="Z248">
        <v>123.253</v>
      </c>
      <c r="AA248">
        <v>1.21952776386288</v>
      </c>
      <c r="AB248">
        <v>123.253</v>
      </c>
      <c r="AC248">
        <v>1.17328263922149</v>
      </c>
      <c r="AE248">
        <v>123.253</v>
      </c>
      <c r="AF248">
        <v>-1923.0475507879</v>
      </c>
      <c r="AG248">
        <v>-1981.00838751818</v>
      </c>
      <c r="AH248">
        <v>-1754.61863335706</v>
      </c>
      <c r="AI248">
        <v>-2011.81557529139</v>
      </c>
      <c r="AJ248">
        <v>-1975.23437910053</v>
      </c>
    </row>
    <row r="249" spans="20:36">
      <c r="T249">
        <v>123.752</v>
      </c>
      <c r="U249">
        <v>1.19584033341869</v>
      </c>
      <c r="V249">
        <v>123.752</v>
      </c>
      <c r="W249">
        <v>1.19081673374634</v>
      </c>
      <c r="X249">
        <v>123.752</v>
      </c>
      <c r="Y249">
        <v>1.19431882277153</v>
      </c>
      <c r="Z249">
        <v>123.752</v>
      </c>
      <c r="AA249">
        <v>1.21688809374868</v>
      </c>
      <c r="AB249">
        <v>123.752</v>
      </c>
      <c r="AC249">
        <v>1.16849944674671</v>
      </c>
      <c r="AE249">
        <v>123.752</v>
      </c>
      <c r="AF249">
        <v>-2117.48117023046</v>
      </c>
      <c r="AG249">
        <v>-1890.85352464831</v>
      </c>
      <c r="AH249">
        <v>-1981.84728654191</v>
      </c>
      <c r="AI249">
        <v>-1989.40813014903</v>
      </c>
      <c r="AJ249">
        <v>-1939.3753680498</v>
      </c>
    </row>
    <row r="250" spans="20:36">
      <c r="T250">
        <v>124.251</v>
      </c>
      <c r="U250">
        <v>1.19292160907849</v>
      </c>
      <c r="V250">
        <v>124.251</v>
      </c>
      <c r="W250">
        <v>1.1890801879071</v>
      </c>
      <c r="X250">
        <v>124.251</v>
      </c>
      <c r="Y250">
        <v>1.18572786834976</v>
      </c>
      <c r="Z250">
        <v>124.251</v>
      </c>
      <c r="AA250">
        <v>1.21813704425955</v>
      </c>
      <c r="AB250">
        <v>124.251</v>
      </c>
      <c r="AC250">
        <v>1.18816105320488</v>
      </c>
      <c r="AE250">
        <v>124.251</v>
      </c>
      <c r="AF250">
        <v>-2024.94426167433</v>
      </c>
      <c r="AG250">
        <v>-1961.38191521644</v>
      </c>
      <c r="AH250">
        <v>-2014.0131609954</v>
      </c>
      <c r="AI250">
        <v>-1912.9508739455</v>
      </c>
      <c r="AJ250">
        <v>-1955.59301998316</v>
      </c>
    </row>
    <row r="251" spans="20:36">
      <c r="T251">
        <v>124.75</v>
      </c>
      <c r="U251">
        <v>1.19725325239222</v>
      </c>
      <c r="V251">
        <v>124.75</v>
      </c>
      <c r="W251">
        <v>1.18131101817974</v>
      </c>
      <c r="X251">
        <v>124.75</v>
      </c>
      <c r="Y251">
        <v>1.18553054435719</v>
      </c>
      <c r="Z251">
        <v>124.75</v>
      </c>
      <c r="AA251">
        <v>1.20626434858189</v>
      </c>
      <c r="AB251">
        <v>124.75</v>
      </c>
      <c r="AC251">
        <v>1.17957495476953</v>
      </c>
      <c r="AE251">
        <v>124.75</v>
      </c>
      <c r="AF251">
        <v>-1771.56030994427</v>
      </c>
      <c r="AG251">
        <v>-2079.91754054832</v>
      </c>
      <c r="AH251">
        <v>-1886.11851652881</v>
      </c>
      <c r="AI251">
        <v>-1983.01020504486</v>
      </c>
      <c r="AJ251">
        <v>-1792.60048812445</v>
      </c>
    </row>
    <row r="252" spans="20:36">
      <c r="T252">
        <v>125.249</v>
      </c>
      <c r="U252">
        <v>1.20174025712002</v>
      </c>
      <c r="V252">
        <v>125.249</v>
      </c>
      <c r="W252">
        <v>1.19012689631736</v>
      </c>
      <c r="X252">
        <v>125.249</v>
      </c>
      <c r="Y252">
        <v>1.18312932828813</v>
      </c>
      <c r="Z252">
        <v>125.249</v>
      </c>
      <c r="AA252">
        <v>1.20961775726696</v>
      </c>
      <c r="AB252">
        <v>125.249</v>
      </c>
      <c r="AC252">
        <v>1.18145725810687</v>
      </c>
      <c r="AE252">
        <v>125.249</v>
      </c>
      <c r="AF252">
        <v>-1731.57368601981</v>
      </c>
      <c r="AG252">
        <v>-2055.9827705989</v>
      </c>
      <c r="AH252">
        <v>-1753.22244853907</v>
      </c>
      <c r="AI252">
        <v>-2039.96463712135</v>
      </c>
      <c r="AJ252">
        <v>-1937.82119620882</v>
      </c>
    </row>
    <row r="253" spans="20:36">
      <c r="T253">
        <v>125.748</v>
      </c>
      <c r="U253">
        <v>1.19887126244585</v>
      </c>
      <c r="V253">
        <v>125.748</v>
      </c>
      <c r="W253">
        <v>1.1887397846248</v>
      </c>
      <c r="X253">
        <v>125.748</v>
      </c>
      <c r="Y253">
        <v>1.18489692069486</v>
      </c>
      <c r="Z253">
        <v>125.748</v>
      </c>
      <c r="AA253">
        <v>1.22053455265705</v>
      </c>
      <c r="AB253">
        <v>125.748</v>
      </c>
      <c r="AC253">
        <v>1.18043023207639</v>
      </c>
      <c r="AE253">
        <v>125.748</v>
      </c>
      <c r="AF253">
        <v>-1945.44222149215</v>
      </c>
      <c r="AG253">
        <v>-1862.82344753697</v>
      </c>
      <c r="AH253">
        <v>-1838.40454627298</v>
      </c>
      <c r="AI253">
        <v>-1956.33522306088</v>
      </c>
      <c r="AJ253">
        <v>-1961.63267572557</v>
      </c>
    </row>
    <row r="254" spans="20:36">
      <c r="T254">
        <v>126.247</v>
      </c>
      <c r="U254">
        <v>1.19910954250448</v>
      </c>
      <c r="V254">
        <v>126.247</v>
      </c>
      <c r="W254">
        <v>1.18614624660241</v>
      </c>
      <c r="X254">
        <v>126.247</v>
      </c>
      <c r="Y254">
        <v>1.1845314955948</v>
      </c>
      <c r="Z254">
        <v>126.247</v>
      </c>
      <c r="AA254">
        <v>1.22459247799055</v>
      </c>
      <c r="AB254">
        <v>126.247</v>
      </c>
      <c r="AC254">
        <v>1.17498134582459</v>
      </c>
      <c r="AE254">
        <v>126.247</v>
      </c>
      <c r="AF254">
        <v>-2118.28698042089</v>
      </c>
      <c r="AG254">
        <v>-1893.14319430048</v>
      </c>
      <c r="AH254">
        <v>-1959.49526674818</v>
      </c>
      <c r="AI254">
        <v>-1916.57459652147</v>
      </c>
      <c r="AJ254">
        <v>-1906.18787972278</v>
      </c>
    </row>
    <row r="255" spans="20:36">
      <c r="T255">
        <v>126.746</v>
      </c>
      <c r="U255">
        <v>1.19429246178039</v>
      </c>
      <c r="V255">
        <v>126.746</v>
      </c>
      <c r="W255">
        <v>1.18807624472558</v>
      </c>
      <c r="X255">
        <v>126.746</v>
      </c>
      <c r="Y255">
        <v>1.18157864369659</v>
      </c>
      <c r="Z255">
        <v>126.746</v>
      </c>
      <c r="AA255">
        <v>1.21329423446404</v>
      </c>
      <c r="AB255">
        <v>126.746</v>
      </c>
      <c r="AC255">
        <v>1.17761421173394</v>
      </c>
      <c r="AE255">
        <v>126.746</v>
      </c>
      <c r="AF255">
        <v>-2043.10597698432</v>
      </c>
      <c r="AG255">
        <v>-2083.07738118975</v>
      </c>
      <c r="AH255">
        <v>-1885.13039178535</v>
      </c>
      <c r="AI255">
        <v>-1898.74098605671</v>
      </c>
      <c r="AJ255">
        <v>-1734.91099665497</v>
      </c>
    </row>
    <row r="256" spans="20:36">
      <c r="T256">
        <v>127.245</v>
      </c>
      <c r="U256">
        <v>1.19535288839888</v>
      </c>
      <c r="V256">
        <v>127.245</v>
      </c>
      <c r="W256">
        <v>1.19447975008255</v>
      </c>
      <c r="X256">
        <v>127.245</v>
      </c>
      <c r="Y256">
        <v>1.1856959811302</v>
      </c>
      <c r="Z256">
        <v>127.245</v>
      </c>
      <c r="AA256">
        <v>1.2273232164675</v>
      </c>
      <c r="AB256">
        <v>127.245</v>
      </c>
      <c r="AC256">
        <v>1.19167026583505</v>
      </c>
      <c r="AE256">
        <v>127.245</v>
      </c>
      <c r="AF256">
        <v>-1830.412660502</v>
      </c>
      <c r="AG256">
        <v>-2194.14728192508</v>
      </c>
      <c r="AH256">
        <v>-1807.10797879269</v>
      </c>
      <c r="AI256">
        <v>-2018.97792747062</v>
      </c>
      <c r="AJ256">
        <v>-1955.56340332844</v>
      </c>
    </row>
    <row r="257" spans="20:36">
      <c r="T257">
        <v>127.744</v>
      </c>
      <c r="U257">
        <v>1.20248946056752</v>
      </c>
      <c r="V257">
        <v>127.744</v>
      </c>
      <c r="W257">
        <v>1.19479021108743</v>
      </c>
      <c r="X257">
        <v>127.744</v>
      </c>
      <c r="Y257">
        <v>1.18294411494668</v>
      </c>
      <c r="Z257">
        <v>127.744</v>
      </c>
      <c r="AA257">
        <v>1.21630718736877</v>
      </c>
      <c r="AB257">
        <v>127.744</v>
      </c>
      <c r="AC257">
        <v>1.18128876832027</v>
      </c>
      <c r="AE257">
        <v>127.744</v>
      </c>
      <c r="AF257">
        <v>-1837.00689693355</v>
      </c>
      <c r="AG257">
        <v>-2090.39193584441</v>
      </c>
      <c r="AH257">
        <v>-1749.45275456747</v>
      </c>
      <c r="AI257">
        <v>-2050.09987049365</v>
      </c>
      <c r="AJ257">
        <v>-1964.04423521182</v>
      </c>
    </row>
    <row r="258" spans="20:36">
      <c r="T258">
        <v>128.243</v>
      </c>
      <c r="U258">
        <v>1.20120470821985</v>
      </c>
      <c r="V258">
        <v>128.243</v>
      </c>
      <c r="W258">
        <v>1.19419882732967</v>
      </c>
      <c r="X258">
        <v>128.243</v>
      </c>
      <c r="Y258">
        <v>1.18587877871262</v>
      </c>
      <c r="Z258">
        <v>128.243</v>
      </c>
      <c r="AA258">
        <v>1.21932361178009</v>
      </c>
      <c r="AB258">
        <v>128.243</v>
      </c>
      <c r="AC258">
        <v>1.18321480237937</v>
      </c>
      <c r="AE258">
        <v>128.243</v>
      </c>
      <c r="AF258">
        <v>-1911.61351281692</v>
      </c>
      <c r="AG258">
        <v>-1901.93753899092</v>
      </c>
      <c r="AH258">
        <v>-1912.73604548858</v>
      </c>
      <c r="AI258">
        <v>-2012.1626918456</v>
      </c>
      <c r="AJ258">
        <v>-1837.81094754002</v>
      </c>
    </row>
    <row r="259" spans="20:36">
      <c r="T259">
        <v>128.742</v>
      </c>
      <c r="U259">
        <v>1.20471516581103</v>
      </c>
      <c r="V259">
        <v>128.742</v>
      </c>
      <c r="W259">
        <v>1.18955529514788</v>
      </c>
      <c r="X259">
        <v>128.742</v>
      </c>
      <c r="Y259">
        <v>1.19054773534865</v>
      </c>
      <c r="Z259">
        <v>128.742</v>
      </c>
      <c r="AA259">
        <v>1.21549180810887</v>
      </c>
      <c r="AB259">
        <v>128.742</v>
      </c>
      <c r="AC259">
        <v>1.17862065156819</v>
      </c>
      <c r="AE259">
        <v>128.742</v>
      </c>
      <c r="AF259">
        <v>-2005.73572024696</v>
      </c>
      <c r="AG259">
        <v>-1794.86901540314</v>
      </c>
      <c r="AH259">
        <v>-1992.84564821791</v>
      </c>
      <c r="AI259">
        <v>-1872.14786348436</v>
      </c>
      <c r="AJ259">
        <v>-1742.47219480873</v>
      </c>
    </row>
    <row r="260" spans="20:36">
      <c r="T260">
        <v>129.241</v>
      </c>
      <c r="U260">
        <v>1.19812198382169</v>
      </c>
      <c r="V260">
        <v>129.241</v>
      </c>
      <c r="W260">
        <v>1.19876879026293</v>
      </c>
      <c r="X260">
        <v>129.241</v>
      </c>
      <c r="Y260">
        <v>1.19196838596828</v>
      </c>
      <c r="Z260">
        <v>129.241</v>
      </c>
      <c r="AA260">
        <v>1.21421012537902</v>
      </c>
      <c r="AB260">
        <v>129.241</v>
      </c>
      <c r="AC260">
        <v>1.18871746411793</v>
      </c>
      <c r="AE260">
        <v>129.241</v>
      </c>
      <c r="AF260">
        <v>-1901.13694111306</v>
      </c>
      <c r="AG260">
        <v>-2122.16265033372</v>
      </c>
      <c r="AH260">
        <v>-1990.04631788492</v>
      </c>
      <c r="AI260">
        <v>-1927.82833414959</v>
      </c>
      <c r="AJ260">
        <v>-1924.63686815066</v>
      </c>
    </row>
    <row r="261" spans="20:36">
      <c r="T261">
        <v>129.74</v>
      </c>
      <c r="U261">
        <v>1.20169123135895</v>
      </c>
      <c r="V261">
        <v>129.74</v>
      </c>
      <c r="W261">
        <v>1.19617522669183</v>
      </c>
      <c r="X261">
        <v>129.74</v>
      </c>
      <c r="Y261">
        <v>1.18343829649601</v>
      </c>
      <c r="Z261">
        <v>129.74</v>
      </c>
      <c r="AA261">
        <v>1.2153993835646</v>
      </c>
      <c r="AB261">
        <v>129.74</v>
      </c>
      <c r="AC261">
        <v>1.18408087299261</v>
      </c>
      <c r="AE261">
        <v>129.74</v>
      </c>
      <c r="AF261">
        <v>-1818.06077707042</v>
      </c>
      <c r="AG261">
        <v>-2166.46149079836</v>
      </c>
      <c r="AH261">
        <v>-1793.72537542334</v>
      </c>
      <c r="AI261">
        <v>-2056.38852827493</v>
      </c>
      <c r="AJ261">
        <v>-2067.82007926918</v>
      </c>
    </row>
    <row r="262" spans="20:36">
      <c r="T262">
        <v>130.239</v>
      </c>
      <c r="U262">
        <v>1.19610612924049</v>
      </c>
      <c r="V262">
        <v>130.239</v>
      </c>
      <c r="W262">
        <v>1.19040974200673</v>
      </c>
      <c r="X262">
        <v>130.239</v>
      </c>
      <c r="Y262">
        <v>1.18453730026478</v>
      </c>
      <c r="Z262">
        <v>130.239</v>
      </c>
      <c r="AA262">
        <v>1.21304473643644</v>
      </c>
      <c r="AB262">
        <v>130.239</v>
      </c>
      <c r="AC262">
        <v>1.17447041578936</v>
      </c>
      <c r="AE262">
        <v>130.239</v>
      </c>
      <c r="AF262">
        <v>-1881.26180503667</v>
      </c>
      <c r="AG262">
        <v>-2019.30711861037</v>
      </c>
      <c r="AH262">
        <v>-1833.93780378997</v>
      </c>
      <c r="AI262">
        <v>-1967.18749281948</v>
      </c>
      <c r="AJ262">
        <v>-1893.26492052668</v>
      </c>
    </row>
    <row r="263" spans="20:36">
      <c r="T263">
        <v>130.738</v>
      </c>
      <c r="U263">
        <v>1.19083001570318</v>
      </c>
      <c r="V263">
        <v>130.738</v>
      </c>
      <c r="W263">
        <v>1.18845111048903</v>
      </c>
      <c r="X263">
        <v>130.738</v>
      </c>
      <c r="Y263">
        <v>1.18385825099521</v>
      </c>
      <c r="Z263">
        <v>130.738</v>
      </c>
      <c r="AA263">
        <v>1.211499677731</v>
      </c>
      <c r="AB263">
        <v>130.738</v>
      </c>
      <c r="AC263">
        <v>1.17655031995286</v>
      </c>
      <c r="AE263">
        <v>130.738</v>
      </c>
      <c r="AF263">
        <v>-2024.9125162736</v>
      </c>
      <c r="AG263">
        <v>-1935.88242982358</v>
      </c>
      <c r="AH263">
        <v>-1891.81620510382</v>
      </c>
      <c r="AI263">
        <v>-1870.75216583687</v>
      </c>
      <c r="AJ263">
        <v>-1789.27384372405</v>
      </c>
    </row>
    <row r="264" spans="20:36">
      <c r="T264">
        <v>131.237</v>
      </c>
      <c r="U264">
        <v>1.19633895081602</v>
      </c>
      <c r="V264">
        <v>131.237</v>
      </c>
      <c r="W264">
        <v>1.18742814684308</v>
      </c>
      <c r="X264">
        <v>131.237</v>
      </c>
      <c r="Y264">
        <v>1.18909673089352</v>
      </c>
      <c r="Z264">
        <v>131.237</v>
      </c>
      <c r="AA264">
        <v>1.21727717558928</v>
      </c>
      <c r="AB264">
        <v>131.237</v>
      </c>
      <c r="AC264">
        <v>1.17696163174428</v>
      </c>
      <c r="AE264">
        <v>131.237</v>
      </c>
      <c r="AF264">
        <v>-2003.33719261691</v>
      </c>
      <c r="AG264">
        <v>-1921.64833784014</v>
      </c>
      <c r="AH264">
        <v>-1822.18167618663</v>
      </c>
      <c r="AI264">
        <v>-1952.73300557487</v>
      </c>
      <c r="AJ264">
        <v>-1793.07906728161</v>
      </c>
    </row>
    <row r="265" spans="20:36">
      <c r="T265">
        <v>131.736</v>
      </c>
      <c r="U265">
        <v>1.20056527519561</v>
      </c>
      <c r="V265">
        <v>131.736</v>
      </c>
      <c r="W265">
        <v>1.19483932213715</v>
      </c>
      <c r="X265">
        <v>131.736</v>
      </c>
      <c r="Y265">
        <v>1.19085437886253</v>
      </c>
      <c r="Z265">
        <v>131.736</v>
      </c>
      <c r="AA265">
        <v>1.20429084810341</v>
      </c>
      <c r="AB265">
        <v>131.736</v>
      </c>
      <c r="AC265">
        <v>1.17928088522815</v>
      </c>
      <c r="AE265">
        <v>131.736</v>
      </c>
      <c r="AF265">
        <v>-1844.72691857099</v>
      </c>
      <c r="AG265">
        <v>-1979.29213118961</v>
      </c>
      <c r="AH265">
        <v>-1843.139337923</v>
      </c>
      <c r="AI265">
        <v>-2060.3040061369</v>
      </c>
      <c r="AJ265">
        <v>-1946.43019191402</v>
      </c>
    </row>
    <row r="266" spans="20:36">
      <c r="T266">
        <v>132.235</v>
      </c>
      <c r="U266">
        <v>1.19229559640322</v>
      </c>
      <c r="V266">
        <v>132.235</v>
      </c>
      <c r="W266">
        <v>1.19632963012987</v>
      </c>
      <c r="X266">
        <v>132.235</v>
      </c>
      <c r="Y266">
        <v>1.19246436090002</v>
      </c>
      <c r="Z266">
        <v>132.235</v>
      </c>
      <c r="AA266">
        <v>1.21109777540672</v>
      </c>
      <c r="AB266">
        <v>132.235</v>
      </c>
      <c r="AC266">
        <v>1.1818988257957</v>
      </c>
      <c r="AE266">
        <v>132.235</v>
      </c>
      <c r="AF266">
        <v>-1833.39111535324</v>
      </c>
      <c r="AG266">
        <v>-2044.89301752745</v>
      </c>
      <c r="AH266">
        <v>-1911.15763925711</v>
      </c>
      <c r="AI266">
        <v>-1956.76019648903</v>
      </c>
      <c r="AJ266">
        <v>-1885.24722915124</v>
      </c>
    </row>
    <row r="267" spans="20:36">
      <c r="T267">
        <v>132.734</v>
      </c>
      <c r="U267">
        <v>1.2007678761646</v>
      </c>
      <c r="V267">
        <v>132.734</v>
      </c>
      <c r="W267">
        <v>1.19056055029739</v>
      </c>
      <c r="X267">
        <v>132.734</v>
      </c>
      <c r="Y267">
        <v>1.19275992664843</v>
      </c>
      <c r="Z267">
        <v>132.734</v>
      </c>
      <c r="AA267">
        <v>1.21191102773452</v>
      </c>
      <c r="AB267">
        <v>132.734</v>
      </c>
      <c r="AC267">
        <v>1.18340378526917</v>
      </c>
      <c r="AE267">
        <v>132.734</v>
      </c>
      <c r="AF267">
        <v>-1923.83579532361</v>
      </c>
      <c r="AG267">
        <v>-2057.24602361591</v>
      </c>
      <c r="AH267">
        <v>-1924.0705249895</v>
      </c>
      <c r="AI267">
        <v>-1902.83558857439</v>
      </c>
      <c r="AJ267">
        <v>-1897.90600506745</v>
      </c>
    </row>
    <row r="268" spans="20:36">
      <c r="T268">
        <v>133.233</v>
      </c>
      <c r="U268">
        <v>1.20153090888973</v>
      </c>
      <c r="V268">
        <v>133.233</v>
      </c>
      <c r="W268">
        <v>1.19010360202217</v>
      </c>
      <c r="X268">
        <v>133.233</v>
      </c>
      <c r="Y268">
        <v>1.19642878720198</v>
      </c>
      <c r="Z268">
        <v>133.233</v>
      </c>
      <c r="AA268">
        <v>1.21382384269846</v>
      </c>
      <c r="AB268">
        <v>133.233</v>
      </c>
      <c r="AC268">
        <v>1.18250908117157</v>
      </c>
      <c r="AE268">
        <v>133.233</v>
      </c>
      <c r="AF268">
        <v>-2013.33704717887</v>
      </c>
      <c r="AG268">
        <v>-1950.27103071666</v>
      </c>
      <c r="AH268">
        <v>-1886.97950118197</v>
      </c>
      <c r="AI268">
        <v>-1907.61353992336</v>
      </c>
      <c r="AJ268">
        <v>-1892.07126216008</v>
      </c>
    </row>
    <row r="269" spans="20:36">
      <c r="T269">
        <v>133.732</v>
      </c>
      <c r="U269">
        <v>1.19534220877584</v>
      </c>
      <c r="V269">
        <v>133.732</v>
      </c>
      <c r="W269">
        <v>1.19292356308407</v>
      </c>
      <c r="X269">
        <v>133.732</v>
      </c>
      <c r="Y269">
        <v>1.19056810189451</v>
      </c>
      <c r="Z269">
        <v>133.732</v>
      </c>
      <c r="AA269">
        <v>1.21401839366844</v>
      </c>
      <c r="AB269">
        <v>133.732</v>
      </c>
      <c r="AC269">
        <v>1.17575000106062</v>
      </c>
      <c r="AE269">
        <v>133.732</v>
      </c>
      <c r="AF269">
        <v>-1913.55413212186</v>
      </c>
      <c r="AG269">
        <v>-1877.33961269589</v>
      </c>
      <c r="AH269">
        <v>-1784.68666716151</v>
      </c>
      <c r="AI269">
        <v>-1913.37967352253</v>
      </c>
      <c r="AJ269">
        <v>-1906.42007233148</v>
      </c>
    </row>
    <row r="270" spans="20:36">
      <c r="T270">
        <v>134.231</v>
      </c>
      <c r="U270">
        <v>1.19001857743395</v>
      </c>
      <c r="V270">
        <v>134.231</v>
      </c>
      <c r="W270">
        <v>1.19335009028333</v>
      </c>
      <c r="X270">
        <v>134.231</v>
      </c>
      <c r="Y270">
        <v>1.19096756986725</v>
      </c>
      <c r="Z270">
        <v>134.231</v>
      </c>
      <c r="AA270">
        <v>1.20822107147604</v>
      </c>
      <c r="AB270">
        <v>134.231</v>
      </c>
      <c r="AC270">
        <v>1.18200569720422</v>
      </c>
      <c r="AE270">
        <v>134.231</v>
      </c>
      <c r="AF270">
        <v>-1895.68700538072</v>
      </c>
      <c r="AG270">
        <v>-1972.66946745072</v>
      </c>
      <c r="AH270">
        <v>-1850.95509391973</v>
      </c>
      <c r="AI270">
        <v>-2021.48896796271</v>
      </c>
      <c r="AJ270">
        <v>-1865.88507065029</v>
      </c>
    </row>
    <row r="271" spans="20:36">
      <c r="T271">
        <v>134.73</v>
      </c>
      <c r="U271">
        <v>1.19614258106411</v>
      </c>
      <c r="V271">
        <v>134.73</v>
      </c>
      <c r="W271">
        <v>1.19203885932951</v>
      </c>
      <c r="X271">
        <v>134.73</v>
      </c>
      <c r="Y271">
        <v>1.1946054550188</v>
      </c>
      <c r="Z271">
        <v>134.73</v>
      </c>
      <c r="AA271">
        <v>1.20831267900802</v>
      </c>
      <c r="AB271">
        <v>134.73</v>
      </c>
      <c r="AC271">
        <v>1.18447425005388</v>
      </c>
      <c r="AE271">
        <v>134.73</v>
      </c>
      <c r="AF271">
        <v>-1998.59361107654</v>
      </c>
      <c r="AG271">
        <v>-2067.62723275672</v>
      </c>
      <c r="AH271">
        <v>-1970.4294662626</v>
      </c>
      <c r="AI271">
        <v>-2106.25968645189</v>
      </c>
      <c r="AJ271">
        <v>-1857.76820469729</v>
      </c>
    </row>
    <row r="272" spans="20:36">
      <c r="T272">
        <v>135.229</v>
      </c>
      <c r="U272">
        <v>1.19030955966121</v>
      </c>
      <c r="V272">
        <v>135.229</v>
      </c>
      <c r="W272">
        <v>1.19922146541034</v>
      </c>
      <c r="X272">
        <v>135.229</v>
      </c>
      <c r="Y272">
        <v>1.1874390866861</v>
      </c>
      <c r="Z272">
        <v>135.229</v>
      </c>
      <c r="AA272">
        <v>1.21434477447038</v>
      </c>
      <c r="AB272">
        <v>135.229</v>
      </c>
      <c r="AC272">
        <v>1.18769392090689</v>
      </c>
      <c r="AE272">
        <v>135.229</v>
      </c>
      <c r="AF272">
        <v>-1954.6471408193</v>
      </c>
      <c r="AG272">
        <v>-2134.51879439468</v>
      </c>
      <c r="AH272">
        <v>-1959.4563854759</v>
      </c>
      <c r="AI272">
        <v>-1975.15052205517</v>
      </c>
      <c r="AJ272">
        <v>-1855.17090430442</v>
      </c>
    </row>
    <row r="273" spans="20:36">
      <c r="T273">
        <v>135.728</v>
      </c>
      <c r="U273">
        <v>1.19183173712401</v>
      </c>
      <c r="V273">
        <v>135.728</v>
      </c>
      <c r="W273">
        <v>1.19523165258406</v>
      </c>
      <c r="X273">
        <v>135.728</v>
      </c>
      <c r="Y273">
        <v>1.20009979817399</v>
      </c>
      <c r="Z273">
        <v>135.728</v>
      </c>
      <c r="AA273">
        <v>1.20757584783223</v>
      </c>
      <c r="AB273">
        <v>135.728</v>
      </c>
      <c r="AC273">
        <v>1.18335753886902</v>
      </c>
      <c r="AE273">
        <v>135.728</v>
      </c>
      <c r="AF273">
        <v>-1791.19851208376</v>
      </c>
      <c r="AG273">
        <v>-1965.41891146341</v>
      </c>
      <c r="AH273">
        <v>-1845.42835234817</v>
      </c>
      <c r="AI273">
        <v>-1838.78116645627</v>
      </c>
      <c r="AJ273">
        <v>-1951.22305096227</v>
      </c>
    </row>
    <row r="274" spans="20:36">
      <c r="T274">
        <v>136.227</v>
      </c>
      <c r="U274">
        <v>1.19325244562972</v>
      </c>
      <c r="V274">
        <v>136.227</v>
      </c>
      <c r="W274">
        <v>1.19567145900343</v>
      </c>
      <c r="X274">
        <v>136.227</v>
      </c>
      <c r="Y274">
        <v>1.19540198243119</v>
      </c>
      <c r="Z274">
        <v>136.227</v>
      </c>
      <c r="AA274">
        <v>1.21273166663858</v>
      </c>
      <c r="AB274">
        <v>136.227</v>
      </c>
      <c r="AC274">
        <v>1.17343364239038</v>
      </c>
      <c r="AE274">
        <v>136.227</v>
      </c>
      <c r="AF274">
        <v>-1817.40418429005</v>
      </c>
      <c r="AG274">
        <v>-1876.35633781819</v>
      </c>
      <c r="AH274">
        <v>-1838.4130550263</v>
      </c>
      <c r="AI274">
        <v>-1907.99986973682</v>
      </c>
      <c r="AJ274">
        <v>-1974.30951572167</v>
      </c>
    </row>
    <row r="275" spans="20:36">
      <c r="T275">
        <v>136.726</v>
      </c>
      <c r="U275">
        <v>1.1943210956574</v>
      </c>
      <c r="V275">
        <v>136.726</v>
      </c>
      <c r="W275">
        <v>1.19282647777158</v>
      </c>
      <c r="X275">
        <v>136.726</v>
      </c>
      <c r="Y275">
        <v>1.18423622456057</v>
      </c>
      <c r="Z275">
        <v>136.726</v>
      </c>
      <c r="AA275">
        <v>1.21345914154429</v>
      </c>
      <c r="AB275">
        <v>136.726</v>
      </c>
      <c r="AC275">
        <v>1.17141671641178</v>
      </c>
      <c r="AE275">
        <v>136.726</v>
      </c>
      <c r="AF275">
        <v>-1958.64109148257</v>
      </c>
      <c r="AG275">
        <v>-2007.10725369241</v>
      </c>
      <c r="AH275">
        <v>-1877.76722927841</v>
      </c>
      <c r="AI275">
        <v>-1957.44127305122</v>
      </c>
      <c r="AJ275">
        <v>-1852.72971872373</v>
      </c>
    </row>
    <row r="276" spans="20:36">
      <c r="T276">
        <v>137.225</v>
      </c>
      <c r="U276">
        <v>1.19893122173613</v>
      </c>
      <c r="V276">
        <v>137.225</v>
      </c>
      <c r="W276">
        <v>1.19692125138622</v>
      </c>
      <c r="X276">
        <v>137.225</v>
      </c>
      <c r="Y276">
        <v>1.1892047602128</v>
      </c>
      <c r="Z276">
        <v>137.225</v>
      </c>
      <c r="AA276">
        <v>1.21022166563847</v>
      </c>
      <c r="AB276">
        <v>137.225</v>
      </c>
      <c r="AC276">
        <v>1.17920251553117</v>
      </c>
      <c r="AE276">
        <v>137.225</v>
      </c>
      <c r="AF276">
        <v>-2047.73457269557</v>
      </c>
      <c r="AG276">
        <v>-2053.9374575798</v>
      </c>
      <c r="AH276">
        <v>-1863.60753630622</v>
      </c>
      <c r="AI276">
        <v>-2045.38239149711</v>
      </c>
      <c r="AJ276">
        <v>-1859.22990582647</v>
      </c>
    </row>
    <row r="277" spans="20:36">
      <c r="T277">
        <v>137.724</v>
      </c>
      <c r="U277">
        <v>1.19931458867283</v>
      </c>
      <c r="V277">
        <v>137.724</v>
      </c>
      <c r="W277">
        <v>1.19419535525574</v>
      </c>
      <c r="X277">
        <v>137.724</v>
      </c>
      <c r="Y277">
        <v>1.18513180002702</v>
      </c>
      <c r="Z277">
        <v>137.724</v>
      </c>
      <c r="AA277">
        <v>1.20959925186861</v>
      </c>
      <c r="AB277">
        <v>137.724</v>
      </c>
      <c r="AC277">
        <v>1.17822763913767</v>
      </c>
      <c r="AE277">
        <v>137.724</v>
      </c>
      <c r="AF277">
        <v>-1892.76113336234</v>
      </c>
      <c r="AG277">
        <v>-1952.3919373108</v>
      </c>
      <c r="AH277">
        <v>-1939.72714940266</v>
      </c>
      <c r="AI277">
        <v>-1942.32568096382</v>
      </c>
      <c r="AJ277">
        <v>-1870.33202886008</v>
      </c>
    </row>
    <row r="278" spans="20:36">
      <c r="T278">
        <v>138.223</v>
      </c>
      <c r="U278">
        <v>1.19615342698389</v>
      </c>
      <c r="V278">
        <v>138.223</v>
      </c>
      <c r="W278">
        <v>1.201500952853</v>
      </c>
      <c r="X278">
        <v>138.223</v>
      </c>
      <c r="Y278">
        <v>1.19449778992896</v>
      </c>
      <c r="Z278">
        <v>138.223</v>
      </c>
      <c r="AA278">
        <v>1.21318941172294</v>
      </c>
      <c r="AB278">
        <v>138.223</v>
      </c>
      <c r="AC278">
        <v>1.17972853761633</v>
      </c>
      <c r="AE278">
        <v>138.223</v>
      </c>
      <c r="AF278">
        <v>-1870.95065381324</v>
      </c>
      <c r="AG278">
        <v>-1978.80817922208</v>
      </c>
      <c r="AH278">
        <v>-2019.24434172904</v>
      </c>
      <c r="AI278">
        <v>-1902.36900414633</v>
      </c>
      <c r="AJ278">
        <v>-1971.93604460853</v>
      </c>
    </row>
    <row r="279" spans="20:36">
      <c r="T279">
        <v>138.722</v>
      </c>
      <c r="U279">
        <v>1.19349948905844</v>
      </c>
      <c r="V279">
        <v>138.722</v>
      </c>
      <c r="W279">
        <v>1.20169482038514</v>
      </c>
      <c r="X279">
        <v>138.722</v>
      </c>
      <c r="Y279">
        <v>1.19669136471128</v>
      </c>
      <c r="Z279">
        <v>138.722</v>
      </c>
      <c r="AA279">
        <v>1.21036811907772</v>
      </c>
      <c r="AB279">
        <v>138.722</v>
      </c>
      <c r="AC279">
        <v>1.17661084157967</v>
      </c>
      <c r="AE279">
        <v>138.722</v>
      </c>
      <c r="AF279">
        <v>-1840.70332884091</v>
      </c>
      <c r="AG279">
        <v>-1943.90054531808</v>
      </c>
      <c r="AH279">
        <v>-1865.91193039905</v>
      </c>
      <c r="AI279">
        <v>-1923.16293328178</v>
      </c>
      <c r="AJ279">
        <v>-1927.05265940348</v>
      </c>
    </row>
    <row r="280" spans="20:36">
      <c r="T280">
        <v>139.221</v>
      </c>
      <c r="U280">
        <v>1.20243480039587</v>
      </c>
      <c r="V280">
        <v>139.221</v>
      </c>
      <c r="W280">
        <v>1.19982874262543</v>
      </c>
      <c r="X280">
        <v>139.221</v>
      </c>
      <c r="Y280">
        <v>1.20015212078969</v>
      </c>
      <c r="Z280">
        <v>139.221</v>
      </c>
      <c r="AA280">
        <v>1.21268733925402</v>
      </c>
      <c r="AB280">
        <v>139.221</v>
      </c>
      <c r="AC280">
        <v>1.18264972262305</v>
      </c>
      <c r="AE280">
        <v>139.221</v>
      </c>
      <c r="AF280">
        <v>-1937.6275079609</v>
      </c>
      <c r="AG280">
        <v>-1907.08159352439</v>
      </c>
      <c r="AH280">
        <v>-1748.73891155248</v>
      </c>
      <c r="AI280">
        <v>-2033.93653341915</v>
      </c>
      <c r="AJ280">
        <v>-1821.64856668357</v>
      </c>
    </row>
    <row r="281" spans="20:36">
      <c r="T281">
        <v>139.72</v>
      </c>
      <c r="U281">
        <v>1.20683693436536</v>
      </c>
      <c r="V281">
        <v>139.72</v>
      </c>
      <c r="W281">
        <v>1.20178715824888</v>
      </c>
      <c r="X281">
        <v>139.72</v>
      </c>
      <c r="Y281">
        <v>1.19214109225958</v>
      </c>
      <c r="Z281">
        <v>139.72</v>
      </c>
      <c r="AA281">
        <v>1.21682402394726</v>
      </c>
      <c r="AB281">
        <v>139.72</v>
      </c>
      <c r="AC281">
        <v>1.18104462031889</v>
      </c>
      <c r="AE281">
        <v>139.72</v>
      </c>
      <c r="AF281">
        <v>-2027.8169166636</v>
      </c>
      <c r="AG281">
        <v>-2038.33669036394</v>
      </c>
      <c r="AH281">
        <v>-1854.77448566369</v>
      </c>
      <c r="AI281">
        <v>-1990.44171849995</v>
      </c>
      <c r="AJ281">
        <v>-1907.62237028324</v>
      </c>
    </row>
    <row r="282" spans="20:36">
      <c r="T282">
        <v>140.219</v>
      </c>
      <c r="U282">
        <v>1.20282576826797</v>
      </c>
      <c r="V282">
        <v>140.219</v>
      </c>
      <c r="W282">
        <v>1.19722016048034</v>
      </c>
      <c r="X282">
        <v>140.219</v>
      </c>
      <c r="Y282">
        <v>1.19358800998624</v>
      </c>
      <c r="Z282">
        <v>140.219</v>
      </c>
      <c r="AA282">
        <v>1.22116527107844</v>
      </c>
      <c r="AB282">
        <v>140.219</v>
      </c>
      <c r="AC282">
        <v>1.18150232351392</v>
      </c>
      <c r="AE282">
        <v>140.219</v>
      </c>
      <c r="AF282">
        <v>-1976.87292442464</v>
      </c>
      <c r="AG282">
        <v>-2133.79515910989</v>
      </c>
      <c r="AH282">
        <v>-2029.18436454797</v>
      </c>
      <c r="AI282">
        <v>-1940.6952606215</v>
      </c>
      <c r="AJ282">
        <v>-1972.31588137509</v>
      </c>
    </row>
    <row r="283" spans="20:36">
      <c r="T283">
        <v>140.718</v>
      </c>
      <c r="U283">
        <v>1.20174005700692</v>
      </c>
      <c r="V283">
        <v>140.718</v>
      </c>
      <c r="W283">
        <v>1.2052418699188</v>
      </c>
      <c r="X283">
        <v>140.718</v>
      </c>
      <c r="Y283">
        <v>1.1898169302149</v>
      </c>
      <c r="Z283">
        <v>140.718</v>
      </c>
      <c r="AA283">
        <v>1.21659166243953</v>
      </c>
      <c r="AB283">
        <v>140.718</v>
      </c>
      <c r="AC283">
        <v>1.1828357793893</v>
      </c>
      <c r="AE283">
        <v>140.718</v>
      </c>
      <c r="AF283">
        <v>-1853.39272655472</v>
      </c>
      <c r="AG283">
        <v>-2107.74530726865</v>
      </c>
      <c r="AH283">
        <v>-1964.78220054095</v>
      </c>
      <c r="AI283">
        <v>-2018.25437542833</v>
      </c>
      <c r="AJ283">
        <v>-1933.66791927673</v>
      </c>
    </row>
    <row r="284" spans="20:36">
      <c r="T284">
        <v>141.217</v>
      </c>
      <c r="U284">
        <v>1.20265297241252</v>
      </c>
      <c r="V284">
        <v>141.217</v>
      </c>
      <c r="W284">
        <v>1.20436199707397</v>
      </c>
      <c r="X284">
        <v>141.217</v>
      </c>
      <c r="Y284">
        <v>1.18941925250805</v>
      </c>
      <c r="Z284">
        <v>141.217</v>
      </c>
      <c r="AA284">
        <v>1.21475028567955</v>
      </c>
      <c r="AB284">
        <v>141.217</v>
      </c>
      <c r="AC284">
        <v>1.18106167119433</v>
      </c>
      <c r="AE284">
        <v>141.217</v>
      </c>
      <c r="AF284">
        <v>-1832.5087446494</v>
      </c>
      <c r="AG284">
        <v>-1925.45988268463</v>
      </c>
      <c r="AH284">
        <v>-1793.55972623676</v>
      </c>
      <c r="AI284">
        <v>-1956.00864075888</v>
      </c>
      <c r="AJ284">
        <v>-1875.37787534931</v>
      </c>
    </row>
    <row r="285" spans="20:36">
      <c r="T285">
        <v>141.716</v>
      </c>
      <c r="U285">
        <v>1.19656493396017</v>
      </c>
      <c r="V285">
        <v>141.716</v>
      </c>
      <c r="W285">
        <v>1.20855205096135</v>
      </c>
      <c r="X285">
        <v>141.716</v>
      </c>
      <c r="Y285">
        <v>1.18880453898522</v>
      </c>
      <c r="Z285">
        <v>141.716</v>
      </c>
      <c r="AA285">
        <v>1.21745396449159</v>
      </c>
      <c r="AB285">
        <v>141.716</v>
      </c>
      <c r="AC285">
        <v>1.173806789762</v>
      </c>
      <c r="AE285">
        <v>141.716</v>
      </c>
      <c r="AF285">
        <v>-1878.08442170892</v>
      </c>
      <c r="AG285">
        <v>-1980.79978636971</v>
      </c>
      <c r="AH285">
        <v>-1854.73458908499</v>
      </c>
      <c r="AI285">
        <v>-1860.65342394169</v>
      </c>
      <c r="AJ285">
        <v>-1852.44349752963</v>
      </c>
    </row>
    <row r="286" spans="20:36">
      <c r="T286">
        <v>142.215</v>
      </c>
      <c r="U286">
        <v>1.19966066188221</v>
      </c>
      <c r="V286">
        <v>142.215</v>
      </c>
      <c r="W286">
        <v>1.2067237354763</v>
      </c>
      <c r="X286">
        <v>142.215</v>
      </c>
      <c r="Y286">
        <v>1.18915281939567</v>
      </c>
      <c r="Z286">
        <v>142.215</v>
      </c>
      <c r="AA286">
        <v>1.22510163636456</v>
      </c>
      <c r="AB286">
        <v>142.215</v>
      </c>
      <c r="AC286">
        <v>1.18448570753582</v>
      </c>
      <c r="AE286">
        <v>142.215</v>
      </c>
      <c r="AF286">
        <v>-1935.34981367975</v>
      </c>
      <c r="AG286">
        <v>-2064.17472254538</v>
      </c>
      <c r="AH286">
        <v>-1971.44272109005</v>
      </c>
      <c r="AI286">
        <v>-1896.6192315867</v>
      </c>
      <c r="AJ286">
        <v>-1996.23015984478</v>
      </c>
    </row>
    <row r="287" spans="20:36">
      <c r="T287">
        <v>142.714</v>
      </c>
      <c r="U287">
        <v>1.1977452141581</v>
      </c>
      <c r="V287">
        <v>142.714</v>
      </c>
      <c r="W287">
        <v>1.20667035634337</v>
      </c>
      <c r="X287">
        <v>142.714</v>
      </c>
      <c r="Y287">
        <v>1.18588756795202</v>
      </c>
      <c r="Z287">
        <v>142.714</v>
      </c>
      <c r="AA287">
        <v>1.21708512383556</v>
      </c>
      <c r="AB287">
        <v>142.714</v>
      </c>
      <c r="AC287">
        <v>1.1846062308563</v>
      </c>
      <c r="AE287">
        <v>142.714</v>
      </c>
      <c r="AF287">
        <v>-1918.90777998657</v>
      </c>
      <c r="AG287">
        <v>-2013.5723835415</v>
      </c>
      <c r="AH287">
        <v>-1905.83803517122</v>
      </c>
      <c r="AI287">
        <v>-1991.54593745773</v>
      </c>
      <c r="AJ287">
        <v>-1976.17352127727</v>
      </c>
    </row>
    <row r="288" spans="20:36">
      <c r="T288">
        <v>143.213</v>
      </c>
      <c r="U288">
        <v>1.20284103942005</v>
      </c>
      <c r="V288">
        <v>143.213</v>
      </c>
      <c r="W288">
        <v>1.20985960695002</v>
      </c>
      <c r="X288">
        <v>143.213</v>
      </c>
      <c r="Y288">
        <v>1.19536638836485</v>
      </c>
      <c r="Z288">
        <v>143.213</v>
      </c>
      <c r="AA288">
        <v>1.21257179522025</v>
      </c>
      <c r="AB288">
        <v>143.213</v>
      </c>
      <c r="AC288">
        <v>1.17742401058562</v>
      </c>
      <c r="AE288">
        <v>143.213</v>
      </c>
      <c r="AF288">
        <v>-1883.39931408765</v>
      </c>
      <c r="AG288">
        <v>-2036.1431025741</v>
      </c>
      <c r="AH288">
        <v>-1825.55834414319</v>
      </c>
      <c r="AI288">
        <v>-2054.32678985644</v>
      </c>
      <c r="AJ288">
        <v>-1935.56726366525</v>
      </c>
    </row>
    <row r="289" spans="20:36">
      <c r="T289">
        <v>143.712</v>
      </c>
      <c r="U289">
        <v>1.20517217430595</v>
      </c>
      <c r="V289">
        <v>143.712</v>
      </c>
      <c r="W289">
        <v>1.2072804125223</v>
      </c>
      <c r="X289">
        <v>143.712</v>
      </c>
      <c r="Y289">
        <v>1.18753852984919</v>
      </c>
      <c r="Z289">
        <v>143.712</v>
      </c>
      <c r="AA289">
        <v>1.21179368546036</v>
      </c>
      <c r="AB289">
        <v>143.712</v>
      </c>
      <c r="AC289">
        <v>1.17327158759129</v>
      </c>
      <c r="AE289">
        <v>143.712</v>
      </c>
      <c r="AF289">
        <v>-1834.03476308094</v>
      </c>
      <c r="AG289">
        <v>-2042.72959036315</v>
      </c>
      <c r="AH289">
        <v>-1892.81660392421</v>
      </c>
      <c r="AI289">
        <v>-1955.49913813171</v>
      </c>
      <c r="AJ289">
        <v>-1858.92851872057</v>
      </c>
    </row>
    <row r="290" spans="20:36">
      <c r="T290">
        <v>144.211</v>
      </c>
      <c r="U290">
        <v>1.20385537106202</v>
      </c>
      <c r="V290">
        <v>144.211</v>
      </c>
      <c r="W290">
        <v>1.2112551324823</v>
      </c>
      <c r="X290">
        <v>144.211</v>
      </c>
      <c r="Y290">
        <v>1.1891336609951</v>
      </c>
      <c r="Z290">
        <v>144.211</v>
      </c>
      <c r="AA290">
        <v>1.21042146418846</v>
      </c>
      <c r="AB290">
        <v>144.211</v>
      </c>
      <c r="AC290">
        <v>1.17661880844013</v>
      </c>
      <c r="AE290">
        <v>144.211</v>
      </c>
      <c r="AF290">
        <v>-1889.91910998187</v>
      </c>
      <c r="AG290">
        <v>-1941.24946051947</v>
      </c>
      <c r="AH290">
        <v>-1960.15280706026</v>
      </c>
      <c r="AI290">
        <v>-1867.17011939002</v>
      </c>
      <c r="AJ290">
        <v>-1903.42082018544</v>
      </c>
    </row>
    <row r="291" spans="20:36">
      <c r="T291">
        <v>144.71</v>
      </c>
      <c r="U291">
        <v>1.20902162894377</v>
      </c>
      <c r="V291">
        <v>144.71</v>
      </c>
      <c r="W291">
        <v>1.21062111486183</v>
      </c>
      <c r="X291">
        <v>144.71</v>
      </c>
      <c r="Y291">
        <v>1.19672726778973</v>
      </c>
      <c r="Z291">
        <v>144.71</v>
      </c>
      <c r="AA291">
        <v>1.21752603059325</v>
      </c>
      <c r="AB291">
        <v>144.71</v>
      </c>
      <c r="AC291">
        <v>1.17800123511444</v>
      </c>
      <c r="AE291">
        <v>144.71</v>
      </c>
      <c r="AF291">
        <v>-2008.74693357507</v>
      </c>
      <c r="AG291">
        <v>-1897.15172437796</v>
      </c>
      <c r="AH291">
        <v>-1934.16118905765</v>
      </c>
      <c r="AI291">
        <v>-1824.81140898049</v>
      </c>
      <c r="AJ291">
        <v>-1894.86881334042</v>
      </c>
    </row>
    <row r="292" spans="20:36">
      <c r="T292">
        <v>145.209</v>
      </c>
      <c r="U292">
        <v>1.2005653020575</v>
      </c>
      <c r="V292">
        <v>145.209</v>
      </c>
      <c r="W292">
        <v>1.2116602079417</v>
      </c>
      <c r="X292">
        <v>145.209</v>
      </c>
      <c r="Y292">
        <v>1.1920804424895</v>
      </c>
      <c r="Z292">
        <v>145.209</v>
      </c>
      <c r="AA292">
        <v>1.21304239265454</v>
      </c>
      <c r="AB292">
        <v>145.209</v>
      </c>
      <c r="AC292">
        <v>1.18418357060643</v>
      </c>
      <c r="AE292">
        <v>145.209</v>
      </c>
      <c r="AF292">
        <v>-1977.15654901157</v>
      </c>
      <c r="AG292">
        <v>-2013.70772441511</v>
      </c>
      <c r="AH292">
        <v>-1872.82002841303</v>
      </c>
      <c r="AI292">
        <v>-1863.40469370142</v>
      </c>
      <c r="AJ292">
        <v>-2000.82703463358</v>
      </c>
    </row>
    <row r="293" spans="20:36">
      <c r="T293">
        <v>145.708</v>
      </c>
      <c r="U293">
        <v>1.19955724973108</v>
      </c>
      <c r="V293">
        <v>145.708</v>
      </c>
      <c r="W293">
        <v>1.20600425139681</v>
      </c>
      <c r="X293">
        <v>145.708</v>
      </c>
      <c r="Y293">
        <v>1.19014556406858</v>
      </c>
      <c r="Z293">
        <v>145.708</v>
      </c>
      <c r="AA293">
        <v>1.21454825835492</v>
      </c>
      <c r="AB293">
        <v>145.708</v>
      </c>
      <c r="AC293">
        <v>1.18410790068542</v>
      </c>
      <c r="AE293">
        <v>145.708</v>
      </c>
      <c r="AF293">
        <v>-1859.59817577875</v>
      </c>
      <c r="AG293">
        <v>-2124.07960348877</v>
      </c>
      <c r="AH293">
        <v>-1927.62998841101</v>
      </c>
      <c r="AI293">
        <v>-2007.285068702</v>
      </c>
      <c r="AJ293">
        <v>-1927.3472529584</v>
      </c>
    </row>
    <row r="294" spans="20:36">
      <c r="T294">
        <v>146.207</v>
      </c>
      <c r="U294">
        <v>1.20392506466956</v>
      </c>
      <c r="V294">
        <v>146.207</v>
      </c>
      <c r="W294">
        <v>1.21174139695861</v>
      </c>
      <c r="X294">
        <v>146.207</v>
      </c>
      <c r="Y294">
        <v>1.193325221678</v>
      </c>
      <c r="Z294">
        <v>146.207</v>
      </c>
      <c r="AA294">
        <v>1.2124852236435</v>
      </c>
      <c r="AB294">
        <v>146.207</v>
      </c>
      <c r="AC294">
        <v>1.19124286562466</v>
      </c>
      <c r="AE294">
        <v>146.207</v>
      </c>
      <c r="AF294">
        <v>-1880.68761941431</v>
      </c>
      <c r="AG294">
        <v>-2174.40172022115</v>
      </c>
      <c r="AH294">
        <v>-2027.01263473391</v>
      </c>
      <c r="AI294">
        <v>-1988.29732006963</v>
      </c>
      <c r="AJ294">
        <v>-1904.32202663511</v>
      </c>
    </row>
    <row r="295" spans="20:36">
      <c r="T295">
        <v>146.706</v>
      </c>
      <c r="U295">
        <v>1.20720490745811</v>
      </c>
      <c r="V295">
        <v>146.706</v>
      </c>
      <c r="W295">
        <v>1.21395186382446</v>
      </c>
      <c r="X295">
        <v>146.706</v>
      </c>
      <c r="Y295">
        <v>1.18704157747277</v>
      </c>
      <c r="Z295">
        <v>146.706</v>
      </c>
      <c r="AA295">
        <v>1.21074379504073</v>
      </c>
      <c r="AB295">
        <v>146.706</v>
      </c>
      <c r="AC295">
        <v>1.18955057103701</v>
      </c>
      <c r="AE295">
        <v>146.706</v>
      </c>
      <c r="AF295">
        <v>-1940.44607224215</v>
      </c>
      <c r="AG295">
        <v>-1987.39332976025</v>
      </c>
      <c r="AH295">
        <v>-1793.65508640435</v>
      </c>
      <c r="AI295">
        <v>-1875.99722428863</v>
      </c>
      <c r="AJ295">
        <v>-1821.22402005836</v>
      </c>
    </row>
    <row r="296" spans="20:36">
      <c r="T296">
        <v>147.205</v>
      </c>
      <c r="U296">
        <v>1.20656353478945</v>
      </c>
      <c r="V296">
        <v>147.205</v>
      </c>
      <c r="W296">
        <v>1.21319778008299</v>
      </c>
      <c r="X296">
        <v>147.205</v>
      </c>
      <c r="Y296">
        <v>1.19305193243501</v>
      </c>
      <c r="Z296">
        <v>147.205</v>
      </c>
      <c r="AA296">
        <v>1.21506138995524</v>
      </c>
      <c r="AB296">
        <v>147.205</v>
      </c>
      <c r="AC296">
        <v>1.19157558086856</v>
      </c>
      <c r="AE296">
        <v>147.205</v>
      </c>
      <c r="AF296">
        <v>-1978.17880616054</v>
      </c>
      <c r="AG296">
        <v>-1990.31151825504</v>
      </c>
      <c r="AH296">
        <v>-1810.00241972138</v>
      </c>
      <c r="AI296">
        <v>-1868.77029562376</v>
      </c>
      <c r="AJ296">
        <v>-1925.07234017872</v>
      </c>
    </row>
    <row r="297" spans="20:36">
      <c r="T297">
        <v>147.704</v>
      </c>
      <c r="U297">
        <v>1.20287144323156</v>
      </c>
      <c r="V297">
        <v>147.704</v>
      </c>
      <c r="W297">
        <v>1.20763483941142</v>
      </c>
      <c r="X297">
        <v>147.704</v>
      </c>
      <c r="Y297">
        <v>1.19108783487472</v>
      </c>
      <c r="Z297">
        <v>147.704</v>
      </c>
      <c r="AA297">
        <v>1.21128308675258</v>
      </c>
      <c r="AB297">
        <v>147.704</v>
      </c>
      <c r="AC297">
        <v>1.18597900931797</v>
      </c>
      <c r="AE297">
        <v>147.704</v>
      </c>
      <c r="AF297">
        <v>-1883.30409866254</v>
      </c>
      <c r="AG297">
        <v>-2088.47548386886</v>
      </c>
      <c r="AH297">
        <v>-1877.23765157999</v>
      </c>
      <c r="AI297">
        <v>-1891.9934953425</v>
      </c>
      <c r="AJ297">
        <v>-1951.81379438017</v>
      </c>
    </row>
    <row r="298" spans="20:36">
      <c r="T298">
        <v>148.203</v>
      </c>
      <c r="U298">
        <v>1.20054761749758</v>
      </c>
      <c r="V298">
        <v>148.203</v>
      </c>
      <c r="W298">
        <v>1.20712088877346</v>
      </c>
      <c r="X298">
        <v>148.203</v>
      </c>
      <c r="Y298">
        <v>1.19591011820962</v>
      </c>
      <c r="Z298">
        <v>148.203</v>
      </c>
      <c r="AA298">
        <v>1.21132035993217</v>
      </c>
      <c r="AB298">
        <v>148.203</v>
      </c>
      <c r="AC298">
        <v>1.18646072288115</v>
      </c>
      <c r="AE298">
        <v>148.203</v>
      </c>
      <c r="AF298">
        <v>-1852.0346219586</v>
      </c>
      <c r="AG298">
        <v>-2142.55269957624</v>
      </c>
      <c r="AH298">
        <v>-1957.73712310029</v>
      </c>
      <c r="AI298">
        <v>-1977.13731516505</v>
      </c>
      <c r="AJ298">
        <v>-1864.23616496163</v>
      </c>
    </row>
    <row r="299" spans="20:36">
      <c r="T299">
        <v>148.702</v>
      </c>
      <c r="U299">
        <v>1.19541651441032</v>
      </c>
      <c r="V299">
        <v>148.702</v>
      </c>
      <c r="W299">
        <v>1.20427677878208</v>
      </c>
      <c r="X299">
        <v>148.702</v>
      </c>
      <c r="Y299">
        <v>1.18747512652487</v>
      </c>
      <c r="Z299">
        <v>148.702</v>
      </c>
      <c r="AA299">
        <v>1.21027011483399</v>
      </c>
      <c r="AB299">
        <v>148.702</v>
      </c>
      <c r="AC299">
        <v>1.1879948836926</v>
      </c>
      <c r="AE299">
        <v>148.702</v>
      </c>
      <c r="AF299">
        <v>-1879.25128448331</v>
      </c>
      <c r="AG299">
        <v>-2015.36524944034</v>
      </c>
      <c r="AH299">
        <v>-1924.32451564463</v>
      </c>
      <c r="AI299">
        <v>-2015.75631888012</v>
      </c>
      <c r="AJ299">
        <v>-1823.2334490086</v>
      </c>
    </row>
    <row r="300" spans="20:36">
      <c r="T300">
        <v>149.201</v>
      </c>
      <c r="U300">
        <v>1.19662029434835</v>
      </c>
      <c r="V300">
        <v>149.201</v>
      </c>
      <c r="W300">
        <v>1.20354349489737</v>
      </c>
      <c r="X300">
        <v>149.201</v>
      </c>
      <c r="Y300">
        <v>1.19346808173401</v>
      </c>
      <c r="Z300">
        <v>149.201</v>
      </c>
      <c r="AA300">
        <v>1.21336831336316</v>
      </c>
      <c r="AB300">
        <v>149.201</v>
      </c>
      <c r="AC300">
        <v>1.18542854940789</v>
      </c>
      <c r="AE300">
        <v>149.201</v>
      </c>
      <c r="AF300">
        <v>-1953.56723546375</v>
      </c>
      <c r="AG300">
        <v>-1959.76250654024</v>
      </c>
      <c r="AH300">
        <v>-1833.5697633323</v>
      </c>
      <c r="AI300">
        <v>-1990.50349905926</v>
      </c>
      <c r="AJ300">
        <v>-1842.69941846369</v>
      </c>
    </row>
    <row r="301" spans="20:36">
      <c r="T301">
        <v>149.7</v>
      </c>
      <c r="U301">
        <v>1.20934705990228</v>
      </c>
      <c r="V301">
        <v>149.7</v>
      </c>
      <c r="W301">
        <v>1.20533500486552</v>
      </c>
      <c r="X301">
        <v>149.7</v>
      </c>
      <c r="Y301">
        <v>1.19232422393965</v>
      </c>
      <c r="Z301">
        <v>149.7</v>
      </c>
      <c r="AA301">
        <v>1.21185644866151</v>
      </c>
      <c r="AB301">
        <v>149.7</v>
      </c>
      <c r="AC301">
        <v>1.19338019750742</v>
      </c>
      <c r="AE301">
        <v>149.7</v>
      </c>
      <c r="AF301">
        <v>-2016.85889900324</v>
      </c>
      <c r="AG301">
        <v>-2059.16527864466</v>
      </c>
      <c r="AH301">
        <v>-1872.81207998243</v>
      </c>
      <c r="AI301">
        <v>-1878.39238034055</v>
      </c>
      <c r="AJ301">
        <v>-1979.12307260827</v>
      </c>
    </row>
    <row r="302" spans="20:36">
      <c r="T302">
        <v>150.199</v>
      </c>
      <c r="U302">
        <v>1.2084625019949</v>
      </c>
      <c r="V302">
        <v>150.199</v>
      </c>
      <c r="W302">
        <v>1.21220935879722</v>
      </c>
      <c r="X302">
        <v>150.199</v>
      </c>
      <c r="Y302">
        <v>1.19564769576266</v>
      </c>
      <c r="Z302">
        <v>150.199</v>
      </c>
      <c r="AA302">
        <v>1.21459881065182</v>
      </c>
      <c r="AB302">
        <v>150.199</v>
      </c>
      <c r="AC302">
        <v>1.18601251206113</v>
      </c>
      <c r="AE302">
        <v>150.199</v>
      </c>
      <c r="AF302">
        <v>-1972.46383039102</v>
      </c>
      <c r="AG302">
        <v>-2017.5090560087</v>
      </c>
      <c r="AH302">
        <v>-1934.38749651991</v>
      </c>
      <c r="AI302">
        <v>-1810.69015877828</v>
      </c>
      <c r="AJ302">
        <v>-2009.88944143099</v>
      </c>
    </row>
    <row r="303" spans="20:36">
      <c r="T303">
        <v>150.698</v>
      </c>
      <c r="U303">
        <v>1.20582472987392</v>
      </c>
      <c r="V303">
        <v>150.698</v>
      </c>
      <c r="W303">
        <v>1.21021086754844</v>
      </c>
      <c r="X303">
        <v>150.698</v>
      </c>
      <c r="Y303">
        <v>1.19487905260539</v>
      </c>
      <c r="Z303">
        <v>150.698</v>
      </c>
      <c r="AA303">
        <v>1.21963330082162</v>
      </c>
      <c r="AB303">
        <v>150.698</v>
      </c>
      <c r="AC303">
        <v>1.18530337999921</v>
      </c>
      <c r="AE303">
        <v>150.698</v>
      </c>
      <c r="AF303">
        <v>-1897.73998153739</v>
      </c>
      <c r="AG303">
        <v>-1961.43849440277</v>
      </c>
      <c r="AH303">
        <v>-1906.49687572906</v>
      </c>
      <c r="AI303">
        <v>-1948.57016968557</v>
      </c>
      <c r="AJ303">
        <v>-1871.67046669039</v>
      </c>
    </row>
    <row r="304" spans="20:36">
      <c r="T304">
        <v>151.197</v>
      </c>
      <c r="U304">
        <v>1.20902948084024</v>
      </c>
      <c r="V304">
        <v>151.197</v>
      </c>
      <c r="W304">
        <v>1.20702423722136</v>
      </c>
      <c r="X304">
        <v>151.197</v>
      </c>
      <c r="Y304">
        <v>1.1879333133727</v>
      </c>
      <c r="Z304">
        <v>151.197</v>
      </c>
      <c r="AA304">
        <v>1.21077221442611</v>
      </c>
      <c r="AB304">
        <v>151.197</v>
      </c>
      <c r="AC304">
        <v>1.18163146349436</v>
      </c>
      <c r="AE304">
        <v>151.197</v>
      </c>
      <c r="AF304">
        <v>-1935.03371538198</v>
      </c>
      <c r="AG304">
        <v>-2024.17507130531</v>
      </c>
      <c r="AH304">
        <v>-1800.18472302095</v>
      </c>
      <c r="AI304">
        <v>-2022.33066403715</v>
      </c>
      <c r="AJ304">
        <v>-1805.73854304152</v>
      </c>
    </row>
    <row r="305" spans="20:36">
      <c r="T305">
        <v>151.696</v>
      </c>
      <c r="U305">
        <v>1.20368953657537</v>
      </c>
      <c r="V305">
        <v>151.696</v>
      </c>
      <c r="W305">
        <v>1.22013420774787</v>
      </c>
      <c r="X305">
        <v>151.696</v>
      </c>
      <c r="Y305">
        <v>1.19398253310774</v>
      </c>
      <c r="Z305">
        <v>151.696</v>
      </c>
      <c r="AA305">
        <v>1.21099975106303</v>
      </c>
      <c r="AB305">
        <v>151.696</v>
      </c>
      <c r="AC305">
        <v>1.17854615998295</v>
      </c>
      <c r="AE305">
        <v>151.696</v>
      </c>
      <c r="AF305">
        <v>-2005.84478791865</v>
      </c>
      <c r="AG305">
        <v>-2095.22367843017</v>
      </c>
      <c r="AH305">
        <v>-1914.38933615082</v>
      </c>
      <c r="AI305">
        <v>-1993.37049877786</v>
      </c>
      <c r="AJ305">
        <v>-1956.95664766357</v>
      </c>
    </row>
    <row r="306" spans="20:36">
      <c r="T306">
        <v>152.195</v>
      </c>
      <c r="U306">
        <v>1.20948597464851</v>
      </c>
      <c r="V306">
        <v>152.195</v>
      </c>
      <c r="W306">
        <v>1.21433191124545</v>
      </c>
      <c r="X306">
        <v>152.195</v>
      </c>
      <c r="Y306">
        <v>1.19497827803664</v>
      </c>
      <c r="Z306">
        <v>152.195</v>
      </c>
      <c r="AA306">
        <v>1.21705920107106</v>
      </c>
      <c r="AB306">
        <v>152.195</v>
      </c>
      <c r="AC306">
        <v>1.18279750708952</v>
      </c>
      <c r="AE306">
        <v>152.195</v>
      </c>
      <c r="AF306">
        <v>-1995.97362201803</v>
      </c>
      <c r="AG306">
        <v>-2066.51678182436</v>
      </c>
      <c r="AH306">
        <v>-2037.33737719986</v>
      </c>
      <c r="AI306">
        <v>-1910.60968706528</v>
      </c>
      <c r="AJ306">
        <v>-1991.55308465232</v>
      </c>
    </row>
    <row r="307" spans="20:36">
      <c r="T307">
        <v>152.694</v>
      </c>
      <c r="U307">
        <v>1.20521885588787</v>
      </c>
      <c r="V307">
        <v>152.694</v>
      </c>
      <c r="W307">
        <v>1.21781449266881</v>
      </c>
      <c r="X307">
        <v>152.694</v>
      </c>
      <c r="Y307">
        <v>1.19288974345944</v>
      </c>
      <c r="Z307">
        <v>152.694</v>
      </c>
      <c r="AA307">
        <v>1.21877991525858</v>
      </c>
      <c r="AB307">
        <v>152.694</v>
      </c>
      <c r="AC307">
        <v>1.18859823283298</v>
      </c>
      <c r="AE307">
        <v>152.694</v>
      </c>
      <c r="AF307">
        <v>-1972.97530239647</v>
      </c>
      <c r="AG307">
        <v>-2043.1756989963</v>
      </c>
      <c r="AH307">
        <v>-1938.14877137158</v>
      </c>
      <c r="AI307">
        <v>-1849.35068277319</v>
      </c>
      <c r="AJ307">
        <v>-1935.30506208834</v>
      </c>
    </row>
    <row r="308" spans="20:36">
      <c r="T308">
        <v>153.193</v>
      </c>
      <c r="U308">
        <v>1.20279154709461</v>
      </c>
      <c r="V308">
        <v>153.193</v>
      </c>
      <c r="W308">
        <v>1.21773469656013</v>
      </c>
      <c r="X308">
        <v>153.193</v>
      </c>
      <c r="Y308">
        <v>1.19160701354583</v>
      </c>
      <c r="Z308">
        <v>153.193</v>
      </c>
      <c r="AA308">
        <v>1.21632296329912</v>
      </c>
      <c r="AB308">
        <v>153.193</v>
      </c>
      <c r="AC308">
        <v>1.18014600661545</v>
      </c>
      <c r="AE308">
        <v>153.193</v>
      </c>
      <c r="AF308">
        <v>-1860.94844760815</v>
      </c>
      <c r="AG308">
        <v>-2010.08947340944</v>
      </c>
      <c r="AH308">
        <v>-1844.69656296579</v>
      </c>
      <c r="AI308">
        <v>-1912.36731407077</v>
      </c>
      <c r="AJ308">
        <v>-1754.4539259133</v>
      </c>
    </row>
    <row r="309" spans="20:36">
      <c r="T309">
        <v>153.692</v>
      </c>
      <c r="U309">
        <v>1.20810873176017</v>
      </c>
      <c r="V309">
        <v>153.692</v>
      </c>
      <c r="W309">
        <v>1.21584401949485</v>
      </c>
      <c r="X309">
        <v>153.692</v>
      </c>
      <c r="Y309">
        <v>1.19929094085089</v>
      </c>
      <c r="Z309">
        <v>153.692</v>
      </c>
      <c r="AA309">
        <v>1.21798260521184</v>
      </c>
      <c r="AB309">
        <v>153.692</v>
      </c>
      <c r="AC309">
        <v>1.18367821279498</v>
      </c>
      <c r="AE309">
        <v>153.692</v>
      </c>
      <c r="AF309">
        <v>-1864.77738546838</v>
      </c>
      <c r="AG309">
        <v>-2018.03542143274</v>
      </c>
      <c r="AH309">
        <v>-1757.39575858116</v>
      </c>
      <c r="AI309">
        <v>-1977.99790078608</v>
      </c>
      <c r="AJ309">
        <v>-1818.05117943957</v>
      </c>
    </row>
    <row r="310" spans="20:36">
      <c r="T310">
        <v>154.191</v>
      </c>
      <c r="U310">
        <v>1.20856329494815</v>
      </c>
      <c r="V310">
        <v>154.191</v>
      </c>
      <c r="W310">
        <v>1.20895362125643</v>
      </c>
      <c r="X310">
        <v>154.191</v>
      </c>
      <c r="Y310">
        <v>1.20247887560763</v>
      </c>
      <c r="Z310">
        <v>154.191</v>
      </c>
      <c r="AA310">
        <v>1.21800630459213</v>
      </c>
      <c r="AB310">
        <v>154.191</v>
      </c>
      <c r="AC310">
        <v>1.17755176634363</v>
      </c>
      <c r="AE310">
        <v>154.191</v>
      </c>
      <c r="AF310">
        <v>-1974.20772767591</v>
      </c>
      <c r="AG310">
        <v>-2088.78571453043</v>
      </c>
      <c r="AH310">
        <v>-1841.25082357898</v>
      </c>
      <c r="AI310">
        <v>-2002.25456759945</v>
      </c>
      <c r="AJ310">
        <v>-1931.38010019606</v>
      </c>
    </row>
    <row r="311" spans="20:36">
      <c r="T311">
        <v>154.69</v>
      </c>
      <c r="U311">
        <v>1.20525852512484</v>
      </c>
      <c r="V311">
        <v>154.69</v>
      </c>
      <c r="W311">
        <v>1.21496732755529</v>
      </c>
      <c r="X311">
        <v>154.69</v>
      </c>
      <c r="Y311">
        <v>1.19375307740577</v>
      </c>
      <c r="Z311">
        <v>154.69</v>
      </c>
      <c r="AA311">
        <v>1.21669293895138</v>
      </c>
      <c r="AB311">
        <v>154.69</v>
      </c>
      <c r="AC311">
        <v>1.18614252916827</v>
      </c>
      <c r="AE311">
        <v>154.69</v>
      </c>
      <c r="AF311">
        <v>-2020.22575364054</v>
      </c>
      <c r="AG311">
        <v>-2060.39803064772</v>
      </c>
      <c r="AH311">
        <v>-1973.2469941887</v>
      </c>
      <c r="AI311">
        <v>-1928.86168218537</v>
      </c>
      <c r="AJ311">
        <v>-2066.28523674204</v>
      </c>
    </row>
    <row r="312" spans="20:36">
      <c r="T312">
        <v>155.189</v>
      </c>
      <c r="U312">
        <v>1.21609351733469</v>
      </c>
      <c r="V312">
        <v>155.189</v>
      </c>
      <c r="W312">
        <v>1.21594875816117</v>
      </c>
      <c r="X312">
        <v>155.189</v>
      </c>
      <c r="Y312">
        <v>1.19724869751936</v>
      </c>
      <c r="Z312">
        <v>155.189</v>
      </c>
      <c r="AA312">
        <v>1.21984351845323</v>
      </c>
      <c r="AB312">
        <v>155.189</v>
      </c>
      <c r="AC312">
        <v>1.18668122756835</v>
      </c>
      <c r="AE312">
        <v>155.189</v>
      </c>
      <c r="AF312">
        <v>-2004.57524365692</v>
      </c>
      <c r="AG312">
        <v>-1981.43081004995</v>
      </c>
      <c r="AH312">
        <v>-2007.55751907115</v>
      </c>
      <c r="AI312">
        <v>-1983.91969095127</v>
      </c>
      <c r="AJ312">
        <v>-1964.92387079542</v>
      </c>
    </row>
    <row r="313" spans="20:36">
      <c r="T313">
        <v>155.688</v>
      </c>
      <c r="U313">
        <v>1.21070812130664</v>
      </c>
      <c r="V313">
        <v>155.688</v>
      </c>
      <c r="W313">
        <v>1.22365534691528</v>
      </c>
      <c r="X313">
        <v>155.688</v>
      </c>
      <c r="Y313">
        <v>1.19676310990873</v>
      </c>
      <c r="Z313">
        <v>155.688</v>
      </c>
      <c r="AA313">
        <v>1.21083883193441</v>
      </c>
      <c r="AB313">
        <v>155.688</v>
      </c>
      <c r="AC313">
        <v>1.18940320305667</v>
      </c>
      <c r="AE313">
        <v>155.688</v>
      </c>
      <c r="AF313">
        <v>-1904.55671968723</v>
      </c>
      <c r="AG313">
        <v>-2039.00525575428</v>
      </c>
      <c r="AH313">
        <v>-1897.38701891412</v>
      </c>
      <c r="AI313">
        <v>-1963.73364653853</v>
      </c>
      <c r="AJ313">
        <v>-1876.82673662803</v>
      </c>
    </row>
    <row r="314" spans="20:36">
      <c r="T314">
        <v>156.187</v>
      </c>
      <c r="U314">
        <v>1.21257385520196</v>
      </c>
      <c r="V314">
        <v>156.187</v>
      </c>
      <c r="W314">
        <v>1.21948442257371</v>
      </c>
      <c r="X314">
        <v>156.187</v>
      </c>
      <c r="Y314">
        <v>1.19834841742812</v>
      </c>
      <c r="Z314">
        <v>156.187</v>
      </c>
      <c r="AA314">
        <v>1.21742856559678</v>
      </c>
      <c r="AB314">
        <v>156.187</v>
      </c>
      <c r="AC314">
        <v>1.1893934471316</v>
      </c>
      <c r="AE314">
        <v>156.187</v>
      </c>
      <c r="AF314">
        <v>-1939.9043412138</v>
      </c>
      <c r="AG314">
        <v>-2115.93148536023</v>
      </c>
      <c r="AH314">
        <v>-1877.62325993264</v>
      </c>
      <c r="AI314">
        <v>-1981.70863489044</v>
      </c>
      <c r="AJ314">
        <v>-1936.70743677368</v>
      </c>
    </row>
    <row r="315" spans="20:36">
      <c r="T315">
        <v>156.686</v>
      </c>
      <c r="U315">
        <v>1.21405704397094</v>
      </c>
      <c r="V315">
        <v>156.686</v>
      </c>
      <c r="W315">
        <v>1.2170567616288</v>
      </c>
      <c r="X315">
        <v>156.686</v>
      </c>
      <c r="Y315">
        <v>1.19602789918864</v>
      </c>
      <c r="Z315">
        <v>156.686</v>
      </c>
      <c r="AA315">
        <v>1.22548224324279</v>
      </c>
      <c r="AB315">
        <v>156.686</v>
      </c>
      <c r="AC315">
        <v>1.19705191302655</v>
      </c>
      <c r="AE315">
        <v>156.686</v>
      </c>
      <c r="AF315">
        <v>-1956.6645265419</v>
      </c>
      <c r="AG315">
        <v>-2004.60645456</v>
      </c>
      <c r="AH315">
        <v>-1878.83360900379</v>
      </c>
      <c r="AI315">
        <v>-1990.43622440285</v>
      </c>
      <c r="AJ315">
        <v>-1931.76434739955</v>
      </c>
    </row>
    <row r="316" spans="20:36">
      <c r="T316">
        <v>157.185</v>
      </c>
      <c r="U316">
        <v>1.21544108518053</v>
      </c>
      <c r="V316">
        <v>157.185</v>
      </c>
      <c r="W316">
        <v>1.22627690763775</v>
      </c>
      <c r="X316">
        <v>157.185</v>
      </c>
      <c r="Y316">
        <v>1.19682254516312</v>
      </c>
      <c r="Z316">
        <v>157.185</v>
      </c>
      <c r="AA316">
        <v>1.21669833415524</v>
      </c>
      <c r="AB316">
        <v>157.185</v>
      </c>
      <c r="AC316">
        <v>1.19537623480105</v>
      </c>
      <c r="AE316">
        <v>157.185</v>
      </c>
      <c r="AF316">
        <v>-2025.58905798552</v>
      </c>
      <c r="AG316">
        <v>-2078.80842158952</v>
      </c>
      <c r="AH316">
        <v>-1927.28912945417</v>
      </c>
      <c r="AI316">
        <v>-1890.62898434889</v>
      </c>
      <c r="AJ316">
        <v>-1915.91455282892</v>
      </c>
    </row>
    <row r="317" spans="20:36">
      <c r="T317">
        <v>157.684</v>
      </c>
      <c r="U317">
        <v>1.2137020833512</v>
      </c>
      <c r="V317">
        <v>157.684</v>
      </c>
      <c r="W317">
        <v>1.2205867026394</v>
      </c>
      <c r="X317">
        <v>157.684</v>
      </c>
      <c r="Y317">
        <v>1.1982192615474</v>
      </c>
      <c r="Z317">
        <v>157.684</v>
      </c>
      <c r="AA317">
        <v>1.21757565078667</v>
      </c>
      <c r="AB317">
        <v>157.684</v>
      </c>
      <c r="AC317">
        <v>1.1966188373021</v>
      </c>
      <c r="AE317">
        <v>157.684</v>
      </c>
      <c r="AF317">
        <v>-1987.14990345269</v>
      </c>
      <c r="AG317">
        <v>-2129.29320270053</v>
      </c>
      <c r="AH317">
        <v>-1962.15166494196</v>
      </c>
      <c r="AI317">
        <v>-1956.27967510363</v>
      </c>
      <c r="AJ317">
        <v>-1892.97646859201</v>
      </c>
    </row>
    <row r="318" spans="20:36">
      <c r="T318">
        <v>158.183</v>
      </c>
      <c r="U318">
        <v>1.213370719979</v>
      </c>
      <c r="V318">
        <v>158.183</v>
      </c>
      <c r="W318">
        <v>1.21264814793319</v>
      </c>
      <c r="X318">
        <v>158.183</v>
      </c>
      <c r="Y318">
        <v>1.19425613452772</v>
      </c>
      <c r="Z318">
        <v>158.183</v>
      </c>
      <c r="AA318">
        <v>1.21844637769583</v>
      </c>
      <c r="AB318">
        <v>158.183</v>
      </c>
      <c r="AC318">
        <v>1.19254496855987</v>
      </c>
      <c r="AE318">
        <v>158.183</v>
      </c>
      <c r="AF318">
        <v>-1947.69320824267</v>
      </c>
      <c r="AG318">
        <v>-2026.47735638201</v>
      </c>
      <c r="AH318">
        <v>-1879.77169860377</v>
      </c>
      <c r="AI318">
        <v>-1942.56193403286</v>
      </c>
      <c r="AJ318">
        <v>-1908.19745103977</v>
      </c>
    </row>
    <row r="319" spans="20:36">
      <c r="T319">
        <v>158.682</v>
      </c>
      <c r="U319">
        <v>1.21575876634629</v>
      </c>
      <c r="V319">
        <v>158.682</v>
      </c>
      <c r="W319">
        <v>1.21373109868649</v>
      </c>
      <c r="X319">
        <v>158.682</v>
      </c>
      <c r="Y319">
        <v>1.18663489514011</v>
      </c>
      <c r="Z319">
        <v>158.682</v>
      </c>
      <c r="AA319">
        <v>1.22099023572673</v>
      </c>
      <c r="AB319">
        <v>158.682</v>
      </c>
      <c r="AC319">
        <v>1.19718705815261</v>
      </c>
      <c r="AE319">
        <v>158.682</v>
      </c>
      <c r="AF319">
        <v>-1933.29123452283</v>
      </c>
      <c r="AG319">
        <v>-2029.7558830206</v>
      </c>
      <c r="AH319">
        <v>-1941.24228038827</v>
      </c>
      <c r="AI319">
        <v>-1958.73566152425</v>
      </c>
      <c r="AJ319">
        <v>-1982.27439998501</v>
      </c>
    </row>
    <row r="320" spans="20:36">
      <c r="T320">
        <v>159.181</v>
      </c>
      <c r="U320">
        <v>1.21981780349455</v>
      </c>
      <c r="V320">
        <v>159.181</v>
      </c>
      <c r="W320">
        <v>1.21980314602876</v>
      </c>
      <c r="X320">
        <v>159.181</v>
      </c>
      <c r="Y320">
        <v>1.19252820437464</v>
      </c>
      <c r="Z320">
        <v>159.181</v>
      </c>
      <c r="AA320">
        <v>1.22112945374316</v>
      </c>
      <c r="AB320">
        <v>159.181</v>
      </c>
      <c r="AC320">
        <v>1.19912035466884</v>
      </c>
      <c r="AE320">
        <v>159.181</v>
      </c>
      <c r="AF320">
        <v>-1882.12692163234</v>
      </c>
      <c r="AG320">
        <v>-2101.08310335787</v>
      </c>
      <c r="AH320">
        <v>-1985.58078546318</v>
      </c>
      <c r="AI320">
        <v>-1955.63304671726</v>
      </c>
      <c r="AJ320">
        <v>-1951.53788061899</v>
      </c>
    </row>
    <row r="321" spans="20:36">
      <c r="T321">
        <v>159.68</v>
      </c>
      <c r="U321">
        <v>1.21056017690136</v>
      </c>
      <c r="V321">
        <v>159.68</v>
      </c>
      <c r="W321">
        <v>1.2160652860687</v>
      </c>
      <c r="X321">
        <v>159.68</v>
      </c>
      <c r="Y321">
        <v>1.18614742417717</v>
      </c>
      <c r="Z321">
        <v>159.68</v>
      </c>
      <c r="AA321">
        <v>1.21152042702605</v>
      </c>
      <c r="AB321">
        <v>159.68</v>
      </c>
      <c r="AC321">
        <v>1.18239409002265</v>
      </c>
      <c r="AE321">
        <v>159.68</v>
      </c>
      <c r="AF321">
        <v>-1961.7582861893</v>
      </c>
      <c r="AG321">
        <v>-2058.63522907298</v>
      </c>
      <c r="AH321">
        <v>-1987.08023191945</v>
      </c>
      <c r="AI321">
        <v>-1847.51761182932</v>
      </c>
      <c r="AJ321">
        <v>-1829.98344054336</v>
      </c>
    </row>
    <row r="322" spans="20:36">
      <c r="T322">
        <v>160.179</v>
      </c>
      <c r="U322">
        <v>1.21865050680496</v>
      </c>
      <c r="V322">
        <v>160.179</v>
      </c>
      <c r="W322">
        <v>1.2195447077509</v>
      </c>
      <c r="X322">
        <v>160.179</v>
      </c>
      <c r="Y322">
        <v>1.18745067257824</v>
      </c>
      <c r="Z322">
        <v>160.179</v>
      </c>
      <c r="AA322">
        <v>1.22090184399444</v>
      </c>
      <c r="AB322">
        <v>160.179</v>
      </c>
      <c r="AC322">
        <v>1.19194384145645</v>
      </c>
      <c r="AE322">
        <v>160.179</v>
      </c>
      <c r="AF322">
        <v>-2029.68323788901</v>
      </c>
      <c r="AG322">
        <v>-1955.10214327674</v>
      </c>
      <c r="AH322">
        <v>-1782.06511796102</v>
      </c>
      <c r="AI322">
        <v>-1956.50697478634</v>
      </c>
      <c r="AJ322">
        <v>-1955.56390939514</v>
      </c>
    </row>
    <row r="323" spans="20:36">
      <c r="T323">
        <v>160.678</v>
      </c>
      <c r="U323">
        <v>1.21011056896688</v>
      </c>
      <c r="V323">
        <v>160.678</v>
      </c>
      <c r="W323">
        <v>1.214770316628</v>
      </c>
      <c r="X323">
        <v>160.678</v>
      </c>
      <c r="Y323">
        <v>1.19193039635282</v>
      </c>
      <c r="Z323">
        <v>160.678</v>
      </c>
      <c r="AA323">
        <v>1.21458224943005</v>
      </c>
      <c r="AB323">
        <v>160.678</v>
      </c>
      <c r="AC323">
        <v>1.19579766820899</v>
      </c>
      <c r="AE323">
        <v>160.678</v>
      </c>
      <c r="AF323">
        <v>-1920.29764206616</v>
      </c>
      <c r="AG323">
        <v>-2026.25439760766</v>
      </c>
      <c r="AH323">
        <v>-1812.63148891754</v>
      </c>
      <c r="AI323">
        <v>-2030.7997301922</v>
      </c>
      <c r="AJ323">
        <v>-1981.40704694424</v>
      </c>
    </row>
    <row r="324" spans="20:36">
      <c r="T324">
        <v>161.177</v>
      </c>
      <c r="U324">
        <v>1.21493779789509</v>
      </c>
      <c r="V324">
        <v>161.177</v>
      </c>
      <c r="W324">
        <v>1.20848612420292</v>
      </c>
      <c r="X324">
        <v>161.177</v>
      </c>
      <c r="Y324">
        <v>1.19906073783569</v>
      </c>
      <c r="Z324">
        <v>161.177</v>
      </c>
      <c r="AA324">
        <v>1.221353442749</v>
      </c>
      <c r="AB324">
        <v>161.177</v>
      </c>
      <c r="AC324">
        <v>1.19394819057172</v>
      </c>
      <c r="AE324">
        <v>161.177</v>
      </c>
      <c r="AF324">
        <v>-1907.62394252051</v>
      </c>
      <c r="AG324">
        <v>-2065.20172723386</v>
      </c>
      <c r="AH324">
        <v>-1948.77795945057</v>
      </c>
      <c r="AI324">
        <v>-2063.61726697616</v>
      </c>
      <c r="AJ324">
        <v>-1979.59438930907</v>
      </c>
    </row>
    <row r="325" spans="20:36">
      <c r="T325">
        <v>161.676</v>
      </c>
      <c r="U325">
        <v>1.20205607599514</v>
      </c>
      <c r="V325">
        <v>161.676</v>
      </c>
      <c r="W325">
        <v>1.21444879493893</v>
      </c>
      <c r="X325">
        <v>161.676</v>
      </c>
      <c r="Y325">
        <v>1.18790618047446</v>
      </c>
      <c r="Z325">
        <v>161.676</v>
      </c>
      <c r="AA325">
        <v>1.2200614606881</v>
      </c>
      <c r="AB325">
        <v>161.676</v>
      </c>
      <c r="AC325">
        <v>1.18896602605797</v>
      </c>
      <c r="AE325">
        <v>161.676</v>
      </c>
      <c r="AF325">
        <v>-1882.4540231607</v>
      </c>
      <c r="AG325">
        <v>-2080.55918969434</v>
      </c>
      <c r="AH325">
        <v>-1978.64335665898</v>
      </c>
      <c r="AI325">
        <v>-1913.030233937</v>
      </c>
      <c r="AJ325">
        <v>-1838.00895434108</v>
      </c>
    </row>
    <row r="326" spans="20:36">
      <c r="T326">
        <v>162.175</v>
      </c>
      <c r="U326">
        <v>1.21431747164295</v>
      </c>
      <c r="V326">
        <v>162.175</v>
      </c>
      <c r="W326">
        <v>1.2163634602798</v>
      </c>
      <c r="X326">
        <v>162.175</v>
      </c>
      <c r="Y326">
        <v>1.1992481844184</v>
      </c>
      <c r="Z326">
        <v>162.175</v>
      </c>
      <c r="AA326">
        <v>1.21960869352678</v>
      </c>
      <c r="AB326">
        <v>162.175</v>
      </c>
      <c r="AC326">
        <v>1.18957446855047</v>
      </c>
      <c r="AE326">
        <v>162.175</v>
      </c>
      <c r="AF326">
        <v>-2029.68376355117</v>
      </c>
      <c r="AG326">
        <v>-2061.92474113415</v>
      </c>
      <c r="AH326">
        <v>-1973.66822981863</v>
      </c>
      <c r="AI326">
        <v>-1884.76312593954</v>
      </c>
      <c r="AJ326">
        <v>-1819.31920943423</v>
      </c>
    </row>
    <row r="327" spans="20:36">
      <c r="T327">
        <v>162.674</v>
      </c>
      <c r="U327">
        <v>1.21484654606247</v>
      </c>
      <c r="V327">
        <v>162.674</v>
      </c>
      <c r="W327">
        <v>1.21722331980915</v>
      </c>
      <c r="X327">
        <v>162.674</v>
      </c>
      <c r="Y327">
        <v>1.19199261119319</v>
      </c>
      <c r="Z327">
        <v>162.674</v>
      </c>
      <c r="AA327">
        <v>1.21413203681536</v>
      </c>
      <c r="AB327">
        <v>162.674</v>
      </c>
      <c r="AC327">
        <v>1.18497389714051</v>
      </c>
      <c r="AE327">
        <v>162.674</v>
      </c>
      <c r="AF327">
        <v>-2029.01733685236</v>
      </c>
      <c r="AG327">
        <v>-1918.84709350586</v>
      </c>
      <c r="AH327">
        <v>-1753.8924002025</v>
      </c>
      <c r="AI327">
        <v>-1975.05655595505</v>
      </c>
      <c r="AJ327">
        <v>-1954.64807692363</v>
      </c>
    </row>
    <row r="328" spans="20:36">
      <c r="T328">
        <v>163.173</v>
      </c>
      <c r="U328">
        <v>1.21633804579124</v>
      </c>
      <c r="V328">
        <v>163.173</v>
      </c>
      <c r="W328">
        <v>1.21275276904775</v>
      </c>
      <c r="X328">
        <v>163.173</v>
      </c>
      <c r="Y328">
        <v>1.19417806445153</v>
      </c>
      <c r="Z328">
        <v>163.173</v>
      </c>
      <c r="AA328">
        <v>1.21408020310459</v>
      </c>
      <c r="AB328">
        <v>163.173</v>
      </c>
      <c r="AC328">
        <v>1.19127904354867</v>
      </c>
      <c r="AE328">
        <v>163.173</v>
      </c>
      <c r="AF328">
        <v>-1897.63793183643</v>
      </c>
      <c r="AG328">
        <v>-2067.52322191844</v>
      </c>
      <c r="AH328">
        <v>-1830.50959175113</v>
      </c>
      <c r="AI328">
        <v>-1948.16528699321</v>
      </c>
      <c r="AJ328">
        <v>-2028.40538821104</v>
      </c>
    </row>
    <row r="329" spans="20:36">
      <c r="T329">
        <v>163.672</v>
      </c>
      <c r="U329">
        <v>1.21474087297776</v>
      </c>
      <c r="V329">
        <v>163.672</v>
      </c>
      <c r="W329">
        <v>1.21010541379445</v>
      </c>
      <c r="X329">
        <v>163.672</v>
      </c>
      <c r="Y329">
        <v>1.19478035367519</v>
      </c>
      <c r="Z329">
        <v>163.672</v>
      </c>
      <c r="AA329">
        <v>1.21824489063197</v>
      </c>
      <c r="AB329">
        <v>163.672</v>
      </c>
      <c r="AC329">
        <v>1.19585235179638</v>
      </c>
      <c r="AE329">
        <v>163.672</v>
      </c>
      <c r="AF329">
        <v>-1866.7015020731</v>
      </c>
      <c r="AG329">
        <v>-2106.80918889032</v>
      </c>
      <c r="AH329">
        <v>-1945.41989084276</v>
      </c>
      <c r="AI329">
        <v>-1934.56160675612</v>
      </c>
      <c r="AJ329">
        <v>-2068.38074819485</v>
      </c>
    </row>
    <row r="330" spans="20:36">
      <c r="T330">
        <v>164.171</v>
      </c>
      <c r="U330">
        <v>1.21368968619708</v>
      </c>
      <c r="V330">
        <v>164.171</v>
      </c>
      <c r="W330">
        <v>1.2126552180219</v>
      </c>
      <c r="X330">
        <v>164.171</v>
      </c>
      <c r="Y330">
        <v>1.19380217413637</v>
      </c>
      <c r="Z330">
        <v>164.171</v>
      </c>
      <c r="AA330">
        <v>1.22798743170933</v>
      </c>
      <c r="AB330">
        <v>164.171</v>
      </c>
      <c r="AC330">
        <v>1.18243380318429</v>
      </c>
      <c r="AE330">
        <v>164.171</v>
      </c>
      <c r="AF330">
        <v>-1994.42930356402</v>
      </c>
      <c r="AG330">
        <v>-2061.43130485116</v>
      </c>
      <c r="AH330">
        <v>-2039.24078745379</v>
      </c>
      <c r="AI330">
        <v>-1966.94773798832</v>
      </c>
      <c r="AJ330">
        <v>-1933.52572145816</v>
      </c>
    </row>
    <row r="331" spans="20:36">
      <c r="T331">
        <v>164.67</v>
      </c>
      <c r="U331">
        <v>1.21778656937891</v>
      </c>
      <c r="V331">
        <v>164.67</v>
      </c>
      <c r="W331">
        <v>1.21906458040224</v>
      </c>
      <c r="X331">
        <v>164.67</v>
      </c>
      <c r="Y331">
        <v>1.18734496070781</v>
      </c>
      <c r="Z331">
        <v>164.67</v>
      </c>
      <c r="AA331">
        <v>1.22051847001133</v>
      </c>
      <c r="AB331">
        <v>164.67</v>
      </c>
      <c r="AC331">
        <v>1.18644520634604</v>
      </c>
      <c r="AE331">
        <v>164.67</v>
      </c>
      <c r="AF331">
        <v>-2095.84110002153</v>
      </c>
      <c r="AG331">
        <v>-1968.68951483406</v>
      </c>
      <c r="AH331">
        <v>-1929.56380139448</v>
      </c>
      <c r="AI331">
        <v>-2026.9172159828</v>
      </c>
      <c r="AJ331">
        <v>-1854.14141936206</v>
      </c>
    </row>
    <row r="332" spans="20:36">
      <c r="T332">
        <v>165.169</v>
      </c>
      <c r="U332">
        <v>1.20886320071331</v>
      </c>
      <c r="V332">
        <v>165.169</v>
      </c>
      <c r="W332">
        <v>1.20952325150761</v>
      </c>
      <c r="X332">
        <v>165.169</v>
      </c>
      <c r="Y332">
        <v>1.19654485676125</v>
      </c>
      <c r="Z332">
        <v>165.169</v>
      </c>
      <c r="AA332">
        <v>1.21666062277407</v>
      </c>
      <c r="AB332">
        <v>165.169</v>
      </c>
      <c r="AC332">
        <v>1.19343493050967</v>
      </c>
      <c r="AE332">
        <v>165.169</v>
      </c>
      <c r="AF332">
        <v>-1970.33417144329</v>
      </c>
      <c r="AG332">
        <v>-1936.65617712104</v>
      </c>
      <c r="AH332">
        <v>-1855.95836872995</v>
      </c>
      <c r="AI332">
        <v>-1987.69886293568</v>
      </c>
      <c r="AJ332">
        <v>-1867.38564947237</v>
      </c>
    </row>
    <row r="333" spans="20:36">
      <c r="T333">
        <v>165.668</v>
      </c>
      <c r="U333">
        <v>1.20423403560194</v>
      </c>
      <c r="V333">
        <v>165.668</v>
      </c>
      <c r="W333">
        <v>1.21277096707978</v>
      </c>
      <c r="X333">
        <v>165.668</v>
      </c>
      <c r="Y333">
        <v>1.19022580303875</v>
      </c>
      <c r="Z333">
        <v>165.668</v>
      </c>
      <c r="AA333">
        <v>1.21416433713861</v>
      </c>
      <c r="AB333">
        <v>165.668</v>
      </c>
      <c r="AC333">
        <v>1.19434007537214</v>
      </c>
      <c r="AE333">
        <v>165.668</v>
      </c>
      <c r="AF333">
        <v>-1854.17365872064</v>
      </c>
      <c r="AG333">
        <v>-2052.83056335604</v>
      </c>
      <c r="AH333">
        <v>-1827.15671064025</v>
      </c>
      <c r="AI333">
        <v>-1874.1607594554</v>
      </c>
      <c r="AJ333">
        <v>-2002.38659847725</v>
      </c>
    </row>
    <row r="334" spans="20:36">
      <c r="T334">
        <v>166.167</v>
      </c>
      <c r="U334">
        <v>1.20933389351328</v>
      </c>
      <c r="V334">
        <v>166.167</v>
      </c>
      <c r="W334">
        <v>1.21565591412405</v>
      </c>
      <c r="X334">
        <v>166.167</v>
      </c>
      <c r="Y334">
        <v>1.19566732040088</v>
      </c>
      <c r="Z334">
        <v>166.167</v>
      </c>
      <c r="AA334">
        <v>1.21814111883039</v>
      </c>
      <c r="AB334">
        <v>166.167</v>
      </c>
      <c r="AC334">
        <v>1.19302886891939</v>
      </c>
      <c r="AE334">
        <v>166.167</v>
      </c>
      <c r="AF334">
        <v>-1912.71929901935</v>
      </c>
      <c r="AG334">
        <v>-2154.47892180504</v>
      </c>
      <c r="AH334">
        <v>-1941.72012493748</v>
      </c>
      <c r="AI334">
        <v>-1972.286809237</v>
      </c>
      <c r="AJ334">
        <v>-2068.70291356371</v>
      </c>
    </row>
    <row r="335" spans="20:36">
      <c r="T335">
        <v>166.666</v>
      </c>
      <c r="U335">
        <v>1.20782739583067</v>
      </c>
      <c r="V335">
        <v>166.666</v>
      </c>
      <c r="W335">
        <v>1.21329801468506</v>
      </c>
      <c r="X335">
        <v>166.666</v>
      </c>
      <c r="Y335">
        <v>1.19576266636705</v>
      </c>
      <c r="Z335">
        <v>166.666</v>
      </c>
      <c r="AA335">
        <v>1.22890794419863</v>
      </c>
      <c r="AB335">
        <v>166.666</v>
      </c>
      <c r="AC335">
        <v>1.17686389712826</v>
      </c>
      <c r="AE335">
        <v>166.666</v>
      </c>
      <c r="AF335">
        <v>-1952.38925484783</v>
      </c>
      <c r="AG335">
        <v>-2013.79057569001</v>
      </c>
      <c r="AH335">
        <v>-1925.75584336783</v>
      </c>
      <c r="AI335">
        <v>-2040.08902262433</v>
      </c>
      <c r="AJ335">
        <v>-1913.52148025195</v>
      </c>
    </row>
    <row r="336" spans="20:36">
      <c r="T336">
        <v>167.165</v>
      </c>
      <c r="U336">
        <v>1.20951893726467</v>
      </c>
      <c r="V336">
        <v>167.165</v>
      </c>
      <c r="W336">
        <v>1.21043048062565</v>
      </c>
      <c r="X336">
        <v>167.165</v>
      </c>
      <c r="Y336">
        <v>1.19562566367094</v>
      </c>
      <c r="Z336">
        <v>167.165</v>
      </c>
      <c r="AA336">
        <v>1.22107477671222</v>
      </c>
      <c r="AB336">
        <v>167.165</v>
      </c>
      <c r="AC336">
        <v>1.18515675881431</v>
      </c>
      <c r="AE336">
        <v>167.165</v>
      </c>
      <c r="AF336">
        <v>-1948.25038269332</v>
      </c>
      <c r="AG336">
        <v>-2026.73922041912</v>
      </c>
      <c r="AH336">
        <v>-1898.62293306218</v>
      </c>
      <c r="AI336">
        <v>-2033.23623046853</v>
      </c>
      <c r="AJ336">
        <v>-1903.88412140613</v>
      </c>
    </row>
    <row r="337" spans="20:36">
      <c r="T337">
        <v>167.664</v>
      </c>
      <c r="U337">
        <v>1.21125422301428</v>
      </c>
      <c r="V337">
        <v>167.664</v>
      </c>
      <c r="W337">
        <v>1.2147590166383</v>
      </c>
      <c r="X337">
        <v>167.664</v>
      </c>
      <c r="Y337">
        <v>1.19626073901863</v>
      </c>
      <c r="Z337">
        <v>167.664</v>
      </c>
      <c r="AA337">
        <v>1.22579806921466</v>
      </c>
      <c r="AB337">
        <v>167.664</v>
      </c>
      <c r="AC337">
        <v>1.19387577397268</v>
      </c>
      <c r="AE337">
        <v>167.664</v>
      </c>
      <c r="AF337">
        <v>-2071.1925733544</v>
      </c>
      <c r="AG337">
        <v>-2079.83066689175</v>
      </c>
      <c r="AH337">
        <v>-1910.58901146027</v>
      </c>
      <c r="AI337">
        <v>-1973.94621569414</v>
      </c>
      <c r="AJ337">
        <v>-1952.22509084878</v>
      </c>
    </row>
    <row r="338" spans="20:36">
      <c r="T338">
        <v>168.163</v>
      </c>
      <c r="U338">
        <v>1.20964420743583</v>
      </c>
      <c r="V338">
        <v>168.163</v>
      </c>
      <c r="W338">
        <v>1.21558620664749</v>
      </c>
      <c r="X338">
        <v>168.163</v>
      </c>
      <c r="Y338">
        <v>1.19486514020372</v>
      </c>
      <c r="Z338">
        <v>168.163</v>
      </c>
      <c r="AA338">
        <v>1.21767353671971</v>
      </c>
      <c r="AB338">
        <v>168.163</v>
      </c>
      <c r="AC338">
        <v>1.19059203212323</v>
      </c>
      <c r="AE338">
        <v>168.163</v>
      </c>
      <c r="AF338">
        <v>-1987.51542832974</v>
      </c>
      <c r="AG338">
        <v>-1952.01395490632</v>
      </c>
      <c r="AH338">
        <v>-1940.43146586885</v>
      </c>
      <c r="AI338">
        <v>-1893.66133376778</v>
      </c>
      <c r="AJ338">
        <v>-1978.43138398728</v>
      </c>
    </row>
    <row r="339" spans="20:36">
      <c r="T339">
        <v>168.662</v>
      </c>
      <c r="U339">
        <v>1.20985650343566</v>
      </c>
      <c r="V339">
        <v>168.662</v>
      </c>
      <c r="W339">
        <v>1.21716352823444</v>
      </c>
      <c r="X339">
        <v>168.662</v>
      </c>
      <c r="Y339">
        <v>1.1950347620748</v>
      </c>
      <c r="Z339">
        <v>168.662</v>
      </c>
      <c r="AA339">
        <v>1.21895950430438</v>
      </c>
      <c r="AB339">
        <v>168.662</v>
      </c>
      <c r="AC339">
        <v>1.18658624380188</v>
      </c>
      <c r="AE339">
        <v>168.662</v>
      </c>
      <c r="AF339">
        <v>-1823.70745593481</v>
      </c>
      <c r="AG339">
        <v>-1912.19971506414</v>
      </c>
      <c r="AH339">
        <v>-1967.39323073131</v>
      </c>
      <c r="AI339">
        <v>-1950.88438154816</v>
      </c>
      <c r="AJ339">
        <v>-1928.89594803144</v>
      </c>
    </row>
    <row r="340" spans="20:36">
      <c r="T340">
        <v>169.161</v>
      </c>
      <c r="U340">
        <v>1.20551826040543</v>
      </c>
      <c r="V340">
        <v>169.161</v>
      </c>
      <c r="W340">
        <v>1.2166905044521</v>
      </c>
      <c r="X340">
        <v>169.161</v>
      </c>
      <c r="Y340">
        <v>1.19982832747456</v>
      </c>
      <c r="Z340">
        <v>169.161</v>
      </c>
      <c r="AA340">
        <v>1.21713981184773</v>
      </c>
      <c r="AB340">
        <v>169.161</v>
      </c>
      <c r="AC340">
        <v>1.1967645473757</v>
      </c>
      <c r="AE340">
        <v>169.161</v>
      </c>
      <c r="AF340">
        <v>-1862.10913311214</v>
      </c>
      <c r="AG340">
        <v>-2142.68166806639</v>
      </c>
      <c r="AH340">
        <v>-1917.58971156192</v>
      </c>
      <c r="AI340">
        <v>-1969.64876726264</v>
      </c>
      <c r="AJ340">
        <v>-1876.80310189027</v>
      </c>
    </row>
    <row r="341" spans="20:36">
      <c r="T341">
        <v>169.66</v>
      </c>
      <c r="U341">
        <v>1.21336543904111</v>
      </c>
      <c r="V341">
        <v>169.66</v>
      </c>
      <c r="W341">
        <v>1.21539738832096</v>
      </c>
      <c r="X341">
        <v>169.66</v>
      </c>
      <c r="Y341">
        <v>1.19348844712237</v>
      </c>
      <c r="Z341">
        <v>169.66</v>
      </c>
      <c r="AA341">
        <v>1.2212091431994</v>
      </c>
      <c r="AB341">
        <v>169.66</v>
      </c>
      <c r="AC341">
        <v>1.18494352484661</v>
      </c>
      <c r="AE341">
        <v>169.66</v>
      </c>
      <c r="AF341">
        <v>-2038.72198854747</v>
      </c>
      <c r="AG341">
        <v>-2200.49969411233</v>
      </c>
      <c r="AH341">
        <v>-1833.79928746679</v>
      </c>
      <c r="AI341">
        <v>-1956.24453768084</v>
      </c>
      <c r="AJ341">
        <v>-1831.81218101294</v>
      </c>
    </row>
    <row r="342" spans="20:36">
      <c r="T342">
        <v>170.159</v>
      </c>
      <c r="U342">
        <v>1.20462340122195</v>
      </c>
      <c r="V342">
        <v>170.159</v>
      </c>
      <c r="W342">
        <v>1.2110281349085</v>
      </c>
      <c r="X342">
        <v>170.159</v>
      </c>
      <c r="Y342">
        <v>1.1885722066942</v>
      </c>
      <c r="Z342">
        <v>170.159</v>
      </c>
      <c r="AA342">
        <v>1.21629400471271</v>
      </c>
      <c r="AB342">
        <v>170.159</v>
      </c>
      <c r="AC342">
        <v>1.18696132138375</v>
      </c>
      <c r="AE342">
        <v>170.159</v>
      </c>
      <c r="AF342">
        <v>-1960.14269498575</v>
      </c>
      <c r="AG342">
        <v>-1993.55838592756</v>
      </c>
      <c r="AH342">
        <v>-1842.02788622542</v>
      </c>
      <c r="AI342">
        <v>-1792.49650486898</v>
      </c>
      <c r="AJ342">
        <v>-1965.17977562355</v>
      </c>
    </row>
    <row r="343" spans="20:36">
      <c r="T343">
        <v>170.658</v>
      </c>
      <c r="U343">
        <v>1.21598471393217</v>
      </c>
      <c r="V343">
        <v>170.658</v>
      </c>
      <c r="W343">
        <v>1.21662939324663</v>
      </c>
      <c r="X343">
        <v>170.658</v>
      </c>
      <c r="Y343">
        <v>1.20039944458289</v>
      </c>
      <c r="Z343">
        <v>170.658</v>
      </c>
      <c r="AA343">
        <v>1.23089058298323</v>
      </c>
      <c r="AB343">
        <v>170.658</v>
      </c>
      <c r="AC343">
        <v>1.19267523603718</v>
      </c>
      <c r="AE343">
        <v>170.658</v>
      </c>
      <c r="AF343">
        <v>-1982.25193246838</v>
      </c>
      <c r="AG343">
        <v>-1850.60164151844</v>
      </c>
      <c r="AH343">
        <v>-1963.97661764241</v>
      </c>
      <c r="AI343">
        <v>-1917.3676066674</v>
      </c>
      <c r="AJ343">
        <v>-2018.22990564353</v>
      </c>
    </row>
    <row r="344" spans="20:36">
      <c r="T344">
        <v>171.157</v>
      </c>
      <c r="U344">
        <v>1.20358584992904</v>
      </c>
      <c r="V344">
        <v>171.157</v>
      </c>
      <c r="W344">
        <v>1.22103698783941</v>
      </c>
      <c r="X344">
        <v>171.157</v>
      </c>
      <c r="Y344">
        <v>1.19624001973108</v>
      </c>
      <c r="Z344">
        <v>171.157</v>
      </c>
      <c r="AA344">
        <v>1.21930121180373</v>
      </c>
      <c r="AB344">
        <v>171.157</v>
      </c>
      <c r="AC344">
        <v>1.18240781438993</v>
      </c>
      <c r="AE344">
        <v>171.157</v>
      </c>
      <c r="AF344">
        <v>-1893.4176704585</v>
      </c>
      <c r="AG344">
        <v>-1987.37668555947</v>
      </c>
      <c r="AH344">
        <v>-2058.7510759673</v>
      </c>
      <c r="AI344">
        <v>-2023.59846478568</v>
      </c>
      <c r="AJ344">
        <v>-1931.26047877504</v>
      </c>
    </row>
    <row r="345" spans="20:36">
      <c r="T345">
        <v>171.656</v>
      </c>
      <c r="U345">
        <v>1.21509467950221</v>
      </c>
      <c r="V345">
        <v>171.656</v>
      </c>
      <c r="W345">
        <v>1.22031815296969</v>
      </c>
      <c r="X345">
        <v>171.656</v>
      </c>
      <c r="Y345">
        <v>1.19850357859661</v>
      </c>
      <c r="Z345">
        <v>171.656</v>
      </c>
      <c r="AA345">
        <v>1.2272164309138</v>
      </c>
      <c r="AB345">
        <v>171.656</v>
      </c>
      <c r="AC345">
        <v>1.18690656228998</v>
      </c>
      <c r="AE345">
        <v>171.656</v>
      </c>
      <c r="AF345">
        <v>-1935.37938281804</v>
      </c>
      <c r="AG345">
        <v>-2076.65386203785</v>
      </c>
      <c r="AH345">
        <v>-1914.22751560281</v>
      </c>
      <c r="AI345">
        <v>-2069.74737506461</v>
      </c>
      <c r="AJ345">
        <v>-1918.47050924738</v>
      </c>
    </row>
    <row r="346" spans="20:36">
      <c r="T346">
        <v>172.155</v>
      </c>
      <c r="U346">
        <v>1.2078530884692</v>
      </c>
      <c r="V346">
        <v>172.155</v>
      </c>
      <c r="W346">
        <v>1.22274179563026</v>
      </c>
      <c r="X346">
        <v>172.155</v>
      </c>
      <c r="Y346">
        <v>1.19650339289764</v>
      </c>
      <c r="Z346">
        <v>172.155</v>
      </c>
      <c r="AA346">
        <v>1.21900403737892</v>
      </c>
      <c r="AB346">
        <v>172.155</v>
      </c>
      <c r="AC346">
        <v>1.18403567954035</v>
      </c>
      <c r="AE346">
        <v>172.155</v>
      </c>
      <c r="AF346">
        <v>-1960.66689576216</v>
      </c>
      <c r="AG346">
        <v>-2114.70915797568</v>
      </c>
      <c r="AH346">
        <v>-1678.7503927733</v>
      </c>
      <c r="AI346">
        <v>-1932.39677690068</v>
      </c>
      <c r="AJ346">
        <v>-1929.89444470448</v>
      </c>
    </row>
    <row r="347" spans="20:36">
      <c r="T347">
        <v>172.654</v>
      </c>
      <c r="U347">
        <v>1.22048211511102</v>
      </c>
      <c r="V347">
        <v>172.654</v>
      </c>
      <c r="W347">
        <v>1.21780633919248</v>
      </c>
      <c r="X347">
        <v>172.654</v>
      </c>
      <c r="Y347">
        <v>1.19265743211332</v>
      </c>
      <c r="Z347">
        <v>172.654</v>
      </c>
      <c r="AA347">
        <v>1.2177283266227</v>
      </c>
      <c r="AB347">
        <v>172.654</v>
      </c>
      <c r="AC347">
        <v>1.1856411602265</v>
      </c>
      <c r="AE347">
        <v>172.654</v>
      </c>
      <c r="AF347">
        <v>-2040.03594524646</v>
      </c>
      <c r="AG347">
        <v>-2042.22437129425</v>
      </c>
      <c r="AH347">
        <v>-1883.91739958567</v>
      </c>
      <c r="AI347">
        <v>-1870.59633028489</v>
      </c>
      <c r="AJ347">
        <v>-1968.18334478504</v>
      </c>
    </row>
    <row r="348" spans="20:36">
      <c r="T348">
        <v>173.153</v>
      </c>
      <c r="U348">
        <v>1.21857102893565</v>
      </c>
      <c r="V348">
        <v>173.153</v>
      </c>
      <c r="W348">
        <v>1.22255425910927</v>
      </c>
      <c r="X348">
        <v>173.153</v>
      </c>
      <c r="Y348">
        <v>1.20191437676049</v>
      </c>
      <c r="Z348">
        <v>173.153</v>
      </c>
      <c r="AA348">
        <v>1.22544918834573</v>
      </c>
      <c r="AB348">
        <v>173.153</v>
      </c>
      <c r="AC348">
        <v>1.17963571079321</v>
      </c>
      <c r="AE348">
        <v>173.153</v>
      </c>
      <c r="AF348">
        <v>-1994.77323029167</v>
      </c>
      <c r="AG348">
        <v>-2017.47082496233</v>
      </c>
      <c r="AH348">
        <v>-2078.56150656484</v>
      </c>
      <c r="AI348">
        <v>-1867.78306234072</v>
      </c>
      <c r="AJ348">
        <v>-1820.57121211602</v>
      </c>
    </row>
    <row r="349" spans="20:36">
      <c r="T349">
        <v>173.652</v>
      </c>
      <c r="U349">
        <v>1.21706430458024</v>
      </c>
      <c r="V349">
        <v>173.652</v>
      </c>
      <c r="W349">
        <v>1.22128777607908</v>
      </c>
      <c r="X349">
        <v>173.652</v>
      </c>
      <c r="Y349">
        <v>1.19727032408473</v>
      </c>
      <c r="Z349">
        <v>173.652</v>
      </c>
      <c r="AA349">
        <v>1.22328279243571</v>
      </c>
      <c r="AB349">
        <v>173.652</v>
      </c>
      <c r="AC349">
        <v>1.18604440191658</v>
      </c>
      <c r="AE349">
        <v>173.652</v>
      </c>
      <c r="AF349">
        <v>-1898.69044109423</v>
      </c>
      <c r="AG349">
        <v>-2060.15857251936</v>
      </c>
      <c r="AH349">
        <v>-1987.29813685142</v>
      </c>
      <c r="AI349">
        <v>-1978.13552742868</v>
      </c>
      <c r="AJ349">
        <v>-1889.24662240978</v>
      </c>
    </row>
    <row r="350" spans="20:36">
      <c r="T350">
        <v>174.151</v>
      </c>
      <c r="U350">
        <v>1.22056929687667</v>
      </c>
      <c r="V350">
        <v>174.151</v>
      </c>
      <c r="W350">
        <v>1.21637479269493</v>
      </c>
      <c r="X350">
        <v>174.151</v>
      </c>
      <c r="Y350">
        <v>1.20218690831243</v>
      </c>
      <c r="Z350">
        <v>174.151</v>
      </c>
      <c r="AA350">
        <v>1.22355738896467</v>
      </c>
      <c r="AB350">
        <v>174.151</v>
      </c>
      <c r="AC350">
        <v>1.18996363818366</v>
      </c>
      <c r="AE350">
        <v>174.151</v>
      </c>
      <c r="AF350">
        <v>-1912.02622673931</v>
      </c>
      <c r="AG350">
        <v>-2036.70002635145</v>
      </c>
      <c r="AH350">
        <v>-1802.37894557632</v>
      </c>
      <c r="AI350">
        <v>-2076.03570301692</v>
      </c>
      <c r="AJ350">
        <v>-1972.03606903093</v>
      </c>
    </row>
    <row r="351" spans="20:36">
      <c r="T351">
        <v>174.65</v>
      </c>
      <c r="U351">
        <v>1.22074993731679</v>
      </c>
      <c r="V351">
        <v>174.65</v>
      </c>
      <c r="W351">
        <v>1.22526628973946</v>
      </c>
      <c r="X351">
        <v>174.65</v>
      </c>
      <c r="Y351">
        <v>1.19605941945433</v>
      </c>
      <c r="Z351">
        <v>174.65</v>
      </c>
      <c r="AA351">
        <v>1.22939285023978</v>
      </c>
      <c r="AB351">
        <v>174.65</v>
      </c>
      <c r="AC351">
        <v>1.19895791906605</v>
      </c>
      <c r="AE351">
        <v>174.65</v>
      </c>
      <c r="AF351">
        <v>-2035.32672776749</v>
      </c>
      <c r="AG351">
        <v>-2064.46067899063</v>
      </c>
      <c r="AH351">
        <v>-1720.54678939199</v>
      </c>
      <c r="AI351">
        <v>-1996.35033929436</v>
      </c>
      <c r="AJ351">
        <v>-1928.06918592554</v>
      </c>
    </row>
    <row r="352" spans="20:36">
      <c r="T352">
        <v>175.149</v>
      </c>
      <c r="U352">
        <v>1.21738991888053</v>
      </c>
      <c r="V352">
        <v>175.149</v>
      </c>
      <c r="W352">
        <v>1.22288123140351</v>
      </c>
      <c r="X352">
        <v>175.149</v>
      </c>
      <c r="Y352">
        <v>1.1959105029774</v>
      </c>
      <c r="Z352">
        <v>175.149</v>
      </c>
      <c r="AA352">
        <v>1.21539632169868</v>
      </c>
      <c r="AB352">
        <v>175.149</v>
      </c>
      <c r="AC352">
        <v>1.18745118012315</v>
      </c>
      <c r="AE352">
        <v>175.149</v>
      </c>
      <c r="AF352">
        <v>-2055.21240063437</v>
      </c>
      <c r="AG352">
        <v>-2000.94310205071</v>
      </c>
      <c r="AH352">
        <v>-1874.81021755942</v>
      </c>
      <c r="AI352">
        <v>-1886.56236985779</v>
      </c>
      <c r="AJ352">
        <v>-1884.67005486548</v>
      </c>
    </row>
    <row r="353" spans="20:36">
      <c r="T353">
        <v>175.648</v>
      </c>
      <c r="U353">
        <v>1.21562423793891</v>
      </c>
      <c r="V353">
        <v>175.648</v>
      </c>
      <c r="W353">
        <v>1.22479373991744</v>
      </c>
      <c r="X353">
        <v>175.648</v>
      </c>
      <c r="Y353">
        <v>1.19524850825352</v>
      </c>
      <c r="Z353">
        <v>175.648</v>
      </c>
      <c r="AA353">
        <v>1.22374918897765</v>
      </c>
      <c r="AB353">
        <v>175.648</v>
      </c>
      <c r="AC353">
        <v>1.19199005991654</v>
      </c>
      <c r="AE353">
        <v>175.648</v>
      </c>
      <c r="AF353">
        <v>-1958.34995898127</v>
      </c>
      <c r="AG353">
        <v>-2129.50348998721</v>
      </c>
      <c r="AH353">
        <v>-1953.36797570956</v>
      </c>
      <c r="AI353">
        <v>-1916.31466582983</v>
      </c>
      <c r="AJ353">
        <v>-1982.88714237586</v>
      </c>
    </row>
    <row r="354" spans="20:36">
      <c r="T354">
        <v>176.147</v>
      </c>
      <c r="U354">
        <v>1.22155363041438</v>
      </c>
      <c r="V354">
        <v>176.147</v>
      </c>
      <c r="W354">
        <v>1.2151725859434</v>
      </c>
      <c r="X354">
        <v>176.147</v>
      </c>
      <c r="Y354">
        <v>1.1901428804804</v>
      </c>
      <c r="Z354">
        <v>176.147</v>
      </c>
      <c r="AA354">
        <v>1.22008468494784</v>
      </c>
      <c r="AB354">
        <v>176.147</v>
      </c>
      <c r="AC354">
        <v>1.19863474470115</v>
      </c>
      <c r="AE354">
        <v>176.147</v>
      </c>
      <c r="AF354">
        <v>-1935.79500516362</v>
      </c>
      <c r="AG354">
        <v>-2132.31721520799</v>
      </c>
      <c r="AH354">
        <v>-1885.04276402701</v>
      </c>
      <c r="AI354">
        <v>-2012.34104840792</v>
      </c>
      <c r="AJ354">
        <v>-1942.38033490889</v>
      </c>
    </row>
    <row r="355" spans="20:36">
      <c r="T355">
        <v>176.646</v>
      </c>
      <c r="U355">
        <v>1.22192866863149</v>
      </c>
      <c r="V355">
        <v>176.646</v>
      </c>
      <c r="W355">
        <v>1.21811187916657</v>
      </c>
      <c r="X355">
        <v>176.646</v>
      </c>
      <c r="Y355">
        <v>1.18886036596133</v>
      </c>
      <c r="Z355">
        <v>176.646</v>
      </c>
      <c r="AA355">
        <v>1.22001935983898</v>
      </c>
      <c r="AB355">
        <v>176.646</v>
      </c>
      <c r="AC355">
        <v>1.18854290525693</v>
      </c>
      <c r="AE355">
        <v>176.646</v>
      </c>
      <c r="AF355">
        <v>-1992.53356709379</v>
      </c>
      <c r="AG355">
        <v>-2001.15224660666</v>
      </c>
      <c r="AH355">
        <v>-1873.09022639152</v>
      </c>
      <c r="AI355">
        <v>-2081.39751096771</v>
      </c>
      <c r="AJ355">
        <v>-1988.73369411705</v>
      </c>
    </row>
    <row r="356" spans="20:36">
      <c r="T356">
        <v>177.145</v>
      </c>
      <c r="U356">
        <v>1.22205552356192</v>
      </c>
      <c r="V356">
        <v>177.145</v>
      </c>
      <c r="W356">
        <v>1.21803751013252</v>
      </c>
      <c r="X356">
        <v>177.145</v>
      </c>
      <c r="Y356">
        <v>1.19723611637531</v>
      </c>
      <c r="Z356">
        <v>177.145</v>
      </c>
      <c r="AA356">
        <v>1.21585121727019</v>
      </c>
      <c r="AB356">
        <v>177.145</v>
      </c>
      <c r="AC356">
        <v>1.18662979694938</v>
      </c>
      <c r="AE356">
        <v>177.145</v>
      </c>
      <c r="AF356">
        <v>-2013.26181553466</v>
      </c>
      <c r="AG356">
        <v>-1929.16325907308</v>
      </c>
      <c r="AH356">
        <v>-1838.27589126904</v>
      </c>
      <c r="AI356">
        <v>-1889.71866451368</v>
      </c>
      <c r="AJ356">
        <v>-1939.7746038092</v>
      </c>
    </row>
    <row r="357" spans="20:36">
      <c r="T357">
        <v>177.644</v>
      </c>
      <c r="U357">
        <v>1.21462911203348</v>
      </c>
      <c r="V357">
        <v>177.644</v>
      </c>
      <c r="W357">
        <v>1.21890045825071</v>
      </c>
      <c r="X357">
        <v>177.644</v>
      </c>
      <c r="Y357">
        <v>1.20365766092253</v>
      </c>
      <c r="Z357">
        <v>177.644</v>
      </c>
      <c r="AA357">
        <v>1.22193336331392</v>
      </c>
      <c r="AB357">
        <v>177.644</v>
      </c>
      <c r="AC357">
        <v>1.18815293375593</v>
      </c>
      <c r="AE357">
        <v>177.644</v>
      </c>
      <c r="AF357">
        <v>-1925.90567218717</v>
      </c>
      <c r="AG357">
        <v>-2053.35529653713</v>
      </c>
      <c r="AH357">
        <v>-1960.83156036619</v>
      </c>
      <c r="AI357">
        <v>-1834.12596603099</v>
      </c>
      <c r="AJ357">
        <v>-1931.70047699018</v>
      </c>
    </row>
    <row r="358" spans="20:36">
      <c r="T358">
        <v>178.143</v>
      </c>
      <c r="U358">
        <v>1.22670999762276</v>
      </c>
      <c r="V358">
        <v>178.143</v>
      </c>
      <c r="W358">
        <v>1.22345386338752</v>
      </c>
      <c r="X358">
        <v>178.143</v>
      </c>
      <c r="Y358">
        <v>1.19365997262287</v>
      </c>
      <c r="Z358">
        <v>178.143</v>
      </c>
      <c r="AA358">
        <v>1.22080718397186</v>
      </c>
      <c r="AB358">
        <v>178.143</v>
      </c>
      <c r="AC358">
        <v>1.19167599691693</v>
      </c>
      <c r="AE358">
        <v>178.143</v>
      </c>
      <c r="AF358">
        <v>-1937.62100224876</v>
      </c>
      <c r="AG358">
        <v>-2185.76384714109</v>
      </c>
      <c r="AH358">
        <v>-1962.99641366218</v>
      </c>
      <c r="AI358">
        <v>-1957.62978966199</v>
      </c>
      <c r="AJ358">
        <v>-1969.10247142738</v>
      </c>
    </row>
    <row r="359" spans="20:36">
      <c r="T359">
        <v>178.642</v>
      </c>
      <c r="U359">
        <v>1.21149395782371</v>
      </c>
      <c r="V359">
        <v>178.642</v>
      </c>
      <c r="W359">
        <v>1.22073545487989</v>
      </c>
      <c r="X359">
        <v>178.642</v>
      </c>
      <c r="Y359">
        <v>1.19694186627946</v>
      </c>
      <c r="Z359">
        <v>178.642</v>
      </c>
      <c r="AA359">
        <v>1.21800357329071</v>
      </c>
      <c r="AB359">
        <v>178.642</v>
      </c>
      <c r="AC359">
        <v>1.19250740050097</v>
      </c>
      <c r="AE359">
        <v>178.642</v>
      </c>
      <c r="AF359">
        <v>-1917.32429555006</v>
      </c>
      <c r="AG359">
        <v>-2124.93019207255</v>
      </c>
      <c r="AH359">
        <v>-1882.65738270539</v>
      </c>
      <c r="AI359">
        <v>-2031.9177033785</v>
      </c>
      <c r="AJ359">
        <v>-1946.32228053457</v>
      </c>
    </row>
    <row r="360" spans="20:36">
      <c r="T360">
        <v>179.141</v>
      </c>
      <c r="U360">
        <v>1.21713836409517</v>
      </c>
      <c r="V360">
        <v>179.141</v>
      </c>
      <c r="W360">
        <v>1.2167844233356</v>
      </c>
      <c r="X360">
        <v>179.141</v>
      </c>
      <c r="Y360">
        <v>1.19048431045229</v>
      </c>
      <c r="Z360">
        <v>179.141</v>
      </c>
      <c r="AA360">
        <v>1.22164977911673</v>
      </c>
      <c r="AB360">
        <v>179.141</v>
      </c>
      <c r="AC360">
        <v>1.19440030546946</v>
      </c>
      <c r="AE360">
        <v>179.141</v>
      </c>
      <c r="AF360">
        <v>-2013.09566613934</v>
      </c>
      <c r="AG360">
        <v>-2065.47852617817</v>
      </c>
      <c r="AH360">
        <v>-1779.94080338752</v>
      </c>
      <c r="AI360">
        <v>-2008.81642273784</v>
      </c>
      <c r="AJ360">
        <v>-1942.59944268397</v>
      </c>
    </row>
    <row r="361" spans="20:36">
      <c r="T361">
        <v>179.64</v>
      </c>
      <c r="U361">
        <v>1.22550624514372</v>
      </c>
      <c r="V361">
        <v>179.64</v>
      </c>
      <c r="W361">
        <v>1.22242197302475</v>
      </c>
      <c r="X361">
        <v>179.64</v>
      </c>
      <c r="Y361">
        <v>1.19274917609633</v>
      </c>
      <c r="Z361">
        <v>179.64</v>
      </c>
      <c r="AA361">
        <v>1.22148448232904</v>
      </c>
      <c r="AB361">
        <v>179.64</v>
      </c>
      <c r="AC361">
        <v>1.18550394443998</v>
      </c>
      <c r="AE361">
        <v>179.64</v>
      </c>
      <c r="AF361">
        <v>-2099.78186656072</v>
      </c>
      <c r="AG361">
        <v>-2021.3741368353</v>
      </c>
      <c r="AH361">
        <v>-1861.11966893312</v>
      </c>
      <c r="AI361">
        <v>-1986.17070829664</v>
      </c>
      <c r="AJ361">
        <v>-1884.18169446245</v>
      </c>
    </row>
    <row r="362" spans="20:36">
      <c r="T362">
        <v>180.139</v>
      </c>
      <c r="U362">
        <v>1.21378878589316</v>
      </c>
      <c r="V362">
        <v>180.139</v>
      </c>
      <c r="W362">
        <v>1.21581561292536</v>
      </c>
      <c r="X362">
        <v>180.139</v>
      </c>
      <c r="Y362">
        <v>1.19251478505089</v>
      </c>
      <c r="Z362">
        <v>180.139</v>
      </c>
      <c r="AA362">
        <v>1.23076211838677</v>
      </c>
      <c r="AB362">
        <v>180.139</v>
      </c>
      <c r="AC362">
        <v>1.18544089531047</v>
      </c>
      <c r="AE362">
        <v>180.139</v>
      </c>
      <c r="AF362">
        <v>-2039.12501033612</v>
      </c>
      <c r="AG362">
        <v>-1928.6484574279</v>
      </c>
      <c r="AH362">
        <v>-1948.25565667716</v>
      </c>
      <c r="AI362">
        <v>-1848.4352894388</v>
      </c>
      <c r="AJ362">
        <v>-1881.45584638784</v>
      </c>
    </row>
    <row r="363" spans="20:36">
      <c r="T363">
        <v>180.638</v>
      </c>
      <c r="U363">
        <v>1.22133858965349</v>
      </c>
      <c r="V363">
        <v>180.638</v>
      </c>
      <c r="W363">
        <v>1.22642357638211</v>
      </c>
      <c r="X363">
        <v>180.638</v>
      </c>
      <c r="Y363">
        <v>1.19191591391707</v>
      </c>
      <c r="Z363">
        <v>180.638</v>
      </c>
      <c r="AA363">
        <v>1.22540322800851</v>
      </c>
      <c r="AB363">
        <v>180.638</v>
      </c>
      <c r="AC363">
        <v>1.18716354541763</v>
      </c>
      <c r="AE363">
        <v>180.638</v>
      </c>
      <c r="AF363">
        <v>-1920.98348517157</v>
      </c>
      <c r="AG363">
        <v>-2053.8966432572</v>
      </c>
      <c r="AH363">
        <v>-1918.20049069482</v>
      </c>
      <c r="AI363">
        <v>-1918.4178861216</v>
      </c>
      <c r="AJ363">
        <v>-1945.47847447015</v>
      </c>
    </row>
    <row r="364" spans="20:36">
      <c r="T364">
        <v>181.137</v>
      </c>
      <c r="U364">
        <v>1.21675776793608</v>
      </c>
      <c r="V364">
        <v>181.137</v>
      </c>
      <c r="W364">
        <v>1.22390607586538</v>
      </c>
      <c r="X364">
        <v>181.137</v>
      </c>
      <c r="Y364">
        <v>1.19984712190561</v>
      </c>
      <c r="Z364">
        <v>181.137</v>
      </c>
      <c r="AA364">
        <v>1.22219993946665</v>
      </c>
      <c r="AB364">
        <v>181.137</v>
      </c>
      <c r="AC364">
        <v>1.19042091766584</v>
      </c>
      <c r="AE364">
        <v>181.137</v>
      </c>
      <c r="AF364">
        <v>-1886.09660857462</v>
      </c>
      <c r="AG364">
        <v>-2092.57775213472</v>
      </c>
      <c r="AH364">
        <v>-1826.9219955765</v>
      </c>
      <c r="AI364">
        <v>-2041.79310838305</v>
      </c>
      <c r="AJ364">
        <v>-1959.04928800804</v>
      </c>
    </row>
    <row r="365" spans="20:36">
      <c r="T365">
        <v>181.636</v>
      </c>
      <c r="U365">
        <v>1.2155890311836</v>
      </c>
      <c r="V365">
        <v>181.636</v>
      </c>
      <c r="W365">
        <v>1.21892432752112</v>
      </c>
      <c r="X365">
        <v>181.636</v>
      </c>
      <c r="Y365">
        <v>1.19693053741687</v>
      </c>
      <c r="Z365">
        <v>181.636</v>
      </c>
      <c r="AA365">
        <v>1.2230787405686</v>
      </c>
      <c r="AB365">
        <v>181.636</v>
      </c>
      <c r="AC365">
        <v>1.18592300371759</v>
      </c>
      <c r="AE365">
        <v>181.636</v>
      </c>
      <c r="AF365">
        <v>-1935.8891908882</v>
      </c>
      <c r="AG365">
        <v>-2069.39362208549</v>
      </c>
      <c r="AH365">
        <v>-1857.59994223421</v>
      </c>
      <c r="AI365">
        <v>-2052.59503534708</v>
      </c>
      <c r="AJ365">
        <v>-1926.88118179047</v>
      </c>
    </row>
    <row r="366" spans="20:36">
      <c r="T366">
        <v>182.135</v>
      </c>
      <c r="U366">
        <v>1.2226418176487</v>
      </c>
      <c r="V366">
        <v>182.135</v>
      </c>
      <c r="W366">
        <v>1.22701215720757</v>
      </c>
      <c r="X366">
        <v>182.135</v>
      </c>
      <c r="Y366">
        <v>1.19200751649317</v>
      </c>
      <c r="Z366">
        <v>182.135</v>
      </c>
      <c r="AA366">
        <v>1.22449290070087</v>
      </c>
      <c r="AB366">
        <v>182.135</v>
      </c>
      <c r="AC366">
        <v>1.19053292442707</v>
      </c>
      <c r="AE366">
        <v>182.135</v>
      </c>
      <c r="AF366">
        <v>-2050.02523585144</v>
      </c>
      <c r="AG366">
        <v>-2112.21163565159</v>
      </c>
      <c r="AH366">
        <v>-1939.33575949284</v>
      </c>
      <c r="AI366">
        <v>-1933.69512225102</v>
      </c>
      <c r="AJ366">
        <v>-1854.95902174129</v>
      </c>
    </row>
    <row r="367" spans="20:36">
      <c r="T367">
        <v>182.634</v>
      </c>
      <c r="U367">
        <v>1.21651117329062</v>
      </c>
      <c r="V367">
        <v>182.634</v>
      </c>
      <c r="W367">
        <v>1.23341272588524</v>
      </c>
      <c r="X367">
        <v>182.634</v>
      </c>
      <c r="Y367">
        <v>1.19086455807408</v>
      </c>
      <c r="Z367">
        <v>182.634</v>
      </c>
      <c r="AA367">
        <v>1.22599350868037</v>
      </c>
      <c r="AB367">
        <v>182.634</v>
      </c>
      <c r="AC367">
        <v>1.18800970723439</v>
      </c>
      <c r="AE367">
        <v>182.634</v>
      </c>
      <c r="AF367">
        <v>-1991.21572604688</v>
      </c>
      <c r="AG367">
        <v>-2101.45323917069</v>
      </c>
      <c r="AH367">
        <v>-1987.70841743811</v>
      </c>
      <c r="AI367">
        <v>-1853.80632486446</v>
      </c>
      <c r="AJ367">
        <v>-1930.35131546662</v>
      </c>
    </row>
    <row r="368" spans="20:36">
      <c r="T368">
        <v>183.133</v>
      </c>
      <c r="U368">
        <v>1.21961690394894</v>
      </c>
      <c r="V368">
        <v>183.133</v>
      </c>
      <c r="W368">
        <v>1.22497981782264</v>
      </c>
      <c r="X368">
        <v>183.133</v>
      </c>
      <c r="Y368">
        <v>1.19306195605164</v>
      </c>
      <c r="Z368">
        <v>183.133</v>
      </c>
      <c r="AA368">
        <v>1.2252170659833</v>
      </c>
      <c r="AB368">
        <v>183.133</v>
      </c>
      <c r="AC368">
        <v>1.18753708928186</v>
      </c>
      <c r="AE368">
        <v>183.133</v>
      </c>
      <c r="AF368">
        <v>-1991.39317374569</v>
      </c>
      <c r="AG368">
        <v>-2080.09382116175</v>
      </c>
      <c r="AH368">
        <v>-1910.61514219791</v>
      </c>
      <c r="AI368">
        <v>-1894.83368019858</v>
      </c>
      <c r="AJ368">
        <v>-1983.80307253661</v>
      </c>
    </row>
    <row r="369" spans="20:36">
      <c r="T369">
        <v>183.632</v>
      </c>
      <c r="U369">
        <v>1.21913686989284</v>
      </c>
      <c r="V369">
        <v>183.632</v>
      </c>
      <c r="W369">
        <v>1.22549449200716</v>
      </c>
      <c r="X369">
        <v>183.632</v>
      </c>
      <c r="Y369">
        <v>1.19347685856183</v>
      </c>
      <c r="Z369">
        <v>183.632</v>
      </c>
      <c r="AA369">
        <v>1.22497463230509</v>
      </c>
      <c r="AB369">
        <v>183.632</v>
      </c>
      <c r="AC369">
        <v>1.18415165623172</v>
      </c>
      <c r="AE369">
        <v>183.632</v>
      </c>
      <c r="AF369">
        <v>-1956.5296533924</v>
      </c>
      <c r="AG369">
        <v>-2069.85195228966</v>
      </c>
      <c r="AH369">
        <v>-1815.65429299542</v>
      </c>
      <c r="AI369">
        <v>-2005.11603474933</v>
      </c>
      <c r="AJ369">
        <v>-1930.10370859036</v>
      </c>
    </row>
    <row r="370" spans="20:36">
      <c r="T370">
        <v>184.131</v>
      </c>
      <c r="U370">
        <v>1.21719277435577</v>
      </c>
      <c r="V370">
        <v>184.131</v>
      </c>
      <c r="W370">
        <v>1.22667935419546</v>
      </c>
      <c r="X370">
        <v>184.131</v>
      </c>
      <c r="Y370">
        <v>1.18688229907631</v>
      </c>
      <c r="Z370">
        <v>184.131</v>
      </c>
      <c r="AA370">
        <v>1.22618619659215</v>
      </c>
      <c r="AB370">
        <v>184.131</v>
      </c>
      <c r="AC370">
        <v>1.18823778199634</v>
      </c>
      <c r="AE370">
        <v>184.131</v>
      </c>
      <c r="AF370">
        <v>-1977.89551121942</v>
      </c>
      <c r="AG370">
        <v>-2046.36210583588</v>
      </c>
      <c r="AH370">
        <v>-1820.8907161157</v>
      </c>
      <c r="AI370">
        <v>-2026.04641458042</v>
      </c>
      <c r="AJ370">
        <v>-1834.21929745125</v>
      </c>
    </row>
    <row r="371" spans="20:36">
      <c r="T371">
        <v>184.63</v>
      </c>
      <c r="U371">
        <v>1.21384558281038</v>
      </c>
      <c r="V371">
        <v>184.63</v>
      </c>
      <c r="W371">
        <v>1.22542590737577</v>
      </c>
      <c r="X371">
        <v>184.63</v>
      </c>
      <c r="Y371">
        <v>1.18930527072903</v>
      </c>
      <c r="Z371">
        <v>184.63</v>
      </c>
      <c r="AA371">
        <v>1.22348702809664</v>
      </c>
      <c r="AB371">
        <v>184.63</v>
      </c>
      <c r="AC371">
        <v>1.19687357160229</v>
      </c>
      <c r="AE371">
        <v>184.63</v>
      </c>
      <c r="AF371">
        <v>-1981.10554890298</v>
      </c>
      <c r="AG371">
        <v>-2074.2360231352</v>
      </c>
      <c r="AH371">
        <v>-1887.65979606755</v>
      </c>
      <c r="AI371">
        <v>-2023.30332443417</v>
      </c>
      <c r="AJ371">
        <v>-1875.14987729911</v>
      </c>
    </row>
    <row r="372" spans="20:36">
      <c r="T372">
        <v>185.129</v>
      </c>
      <c r="U372">
        <v>1.21796646561357</v>
      </c>
      <c r="V372">
        <v>185.129</v>
      </c>
      <c r="W372">
        <v>1.21966848866402</v>
      </c>
      <c r="X372">
        <v>185.129</v>
      </c>
      <c r="Y372">
        <v>1.20062672174578</v>
      </c>
      <c r="Z372">
        <v>185.129</v>
      </c>
      <c r="AA372">
        <v>1.22601816653319</v>
      </c>
      <c r="AB372">
        <v>185.129</v>
      </c>
      <c r="AC372">
        <v>1.20065312265533</v>
      </c>
      <c r="AE372">
        <v>185.129</v>
      </c>
      <c r="AF372">
        <v>-1984.31583501904</v>
      </c>
      <c r="AG372">
        <v>-2060.40822138984</v>
      </c>
      <c r="AH372">
        <v>-1979.61135215719</v>
      </c>
      <c r="AI372">
        <v>-2032.295449793</v>
      </c>
      <c r="AJ372">
        <v>-1953.44255617413</v>
      </c>
    </row>
    <row r="373" spans="20:36">
      <c r="T373">
        <v>185.628</v>
      </c>
      <c r="U373">
        <v>1.21888950181415</v>
      </c>
      <c r="V373">
        <v>185.628</v>
      </c>
      <c r="W373">
        <v>1.22617068942153</v>
      </c>
      <c r="X373">
        <v>185.628</v>
      </c>
      <c r="Y373">
        <v>1.19263545539955</v>
      </c>
      <c r="Z373">
        <v>185.628</v>
      </c>
      <c r="AA373">
        <v>1.21978353809568</v>
      </c>
      <c r="AB373">
        <v>185.628</v>
      </c>
      <c r="AC373">
        <v>1.19676190687588</v>
      </c>
      <c r="AE373">
        <v>185.628</v>
      </c>
      <c r="AF373">
        <v>-1996.68115066977</v>
      </c>
      <c r="AG373">
        <v>-2088.73900556155</v>
      </c>
      <c r="AH373">
        <v>-1865.97456431425</v>
      </c>
      <c r="AI373">
        <v>-1924.98550235241</v>
      </c>
      <c r="AJ373">
        <v>-1974.66623878061</v>
      </c>
    </row>
    <row r="374" spans="20:36">
      <c r="T374">
        <v>186.127</v>
      </c>
      <c r="U374">
        <v>1.21597266099289</v>
      </c>
      <c r="V374">
        <v>186.127</v>
      </c>
      <c r="W374">
        <v>1.22436651133967</v>
      </c>
      <c r="X374">
        <v>186.127</v>
      </c>
      <c r="Y374">
        <v>1.19499535715547</v>
      </c>
      <c r="Z374">
        <v>186.127</v>
      </c>
      <c r="AA374">
        <v>1.21942127299585</v>
      </c>
      <c r="AB374">
        <v>186.127</v>
      </c>
      <c r="AC374">
        <v>1.20186191175335</v>
      </c>
      <c r="AE374">
        <v>186.127</v>
      </c>
      <c r="AF374">
        <v>-1996.78554089479</v>
      </c>
      <c r="AG374">
        <v>-2005.87117285161</v>
      </c>
      <c r="AH374">
        <v>-1829.76826033802</v>
      </c>
      <c r="AI374">
        <v>-1872.14902472452</v>
      </c>
      <c r="AJ374">
        <v>-1892.92150756048</v>
      </c>
    </row>
    <row r="375" spans="20:36">
      <c r="T375">
        <v>186.626</v>
      </c>
      <c r="U375">
        <v>1.21980565703541</v>
      </c>
      <c r="V375">
        <v>186.626</v>
      </c>
      <c r="W375">
        <v>1.21594002767103</v>
      </c>
      <c r="X375">
        <v>186.626</v>
      </c>
      <c r="Y375">
        <v>1.19712351053889</v>
      </c>
      <c r="Z375">
        <v>186.626</v>
      </c>
      <c r="AA375">
        <v>1.22373028852975</v>
      </c>
      <c r="AB375">
        <v>186.626</v>
      </c>
      <c r="AC375">
        <v>1.19588373204457</v>
      </c>
      <c r="AE375">
        <v>186.626</v>
      </c>
      <c r="AF375">
        <v>-1954.55784520013</v>
      </c>
      <c r="AG375">
        <v>-2024.43166435531</v>
      </c>
      <c r="AH375">
        <v>-1874.20175939273</v>
      </c>
      <c r="AI375">
        <v>-1933.80819570564</v>
      </c>
      <c r="AJ375">
        <v>-1872.21089690807</v>
      </c>
    </row>
    <row r="376" spans="20:36">
      <c r="T376">
        <v>187.125</v>
      </c>
      <c r="U376">
        <v>1.22003358027726</v>
      </c>
      <c r="V376">
        <v>187.125</v>
      </c>
      <c r="W376">
        <v>1.22612635723656</v>
      </c>
      <c r="X376">
        <v>187.125</v>
      </c>
      <c r="Y376">
        <v>1.19268843459355</v>
      </c>
      <c r="Z376">
        <v>187.125</v>
      </c>
      <c r="AA376">
        <v>1.22814415918105</v>
      </c>
      <c r="AB376">
        <v>187.125</v>
      </c>
      <c r="AC376">
        <v>1.19799033939591</v>
      </c>
      <c r="AE376">
        <v>187.125</v>
      </c>
      <c r="AF376">
        <v>-1986.67780344029</v>
      </c>
      <c r="AG376">
        <v>-2187.3066332221</v>
      </c>
      <c r="AH376">
        <v>-1915.85731770917</v>
      </c>
      <c r="AI376">
        <v>-2051.8239974005</v>
      </c>
      <c r="AJ376">
        <v>-1929.99761864263</v>
      </c>
    </row>
    <row r="377" spans="20:36">
      <c r="T377">
        <v>187.624</v>
      </c>
      <c r="U377">
        <v>1.22049756643493</v>
      </c>
      <c r="V377">
        <v>187.624</v>
      </c>
      <c r="W377">
        <v>1.21627501549222</v>
      </c>
      <c r="X377">
        <v>187.624</v>
      </c>
      <c r="Y377">
        <v>1.19145872351544</v>
      </c>
      <c r="Z377">
        <v>187.624</v>
      </c>
      <c r="AA377">
        <v>1.22283652895829</v>
      </c>
      <c r="AB377">
        <v>187.624</v>
      </c>
      <c r="AC377">
        <v>1.18981305695996</v>
      </c>
      <c r="AE377">
        <v>187.624</v>
      </c>
      <c r="AF377">
        <v>-1955.97122485926</v>
      </c>
      <c r="AG377">
        <v>-2009.31069422721</v>
      </c>
      <c r="AH377">
        <v>-1963.41724555382</v>
      </c>
      <c r="AI377">
        <v>-2024.90377712412</v>
      </c>
      <c r="AJ377">
        <v>-2000.34911164408</v>
      </c>
    </row>
    <row r="378" spans="20:36">
      <c r="T378">
        <v>188.123</v>
      </c>
      <c r="U378">
        <v>1.2193730414838</v>
      </c>
      <c r="V378">
        <v>188.123</v>
      </c>
      <c r="W378">
        <v>1.22085072112219</v>
      </c>
      <c r="X378">
        <v>188.123</v>
      </c>
      <c r="Y378">
        <v>1.1968188050094</v>
      </c>
      <c r="Z378">
        <v>188.123</v>
      </c>
      <c r="AA378">
        <v>1.22161490257149</v>
      </c>
      <c r="AB378">
        <v>188.123</v>
      </c>
      <c r="AC378">
        <v>1.20203475610885</v>
      </c>
      <c r="AE378">
        <v>188.123</v>
      </c>
      <c r="AF378">
        <v>-2003.79858618022</v>
      </c>
      <c r="AG378">
        <v>-1994.87864695429</v>
      </c>
      <c r="AH378">
        <v>-1941.30646188016</v>
      </c>
      <c r="AI378">
        <v>-1892.28315720219</v>
      </c>
      <c r="AJ378">
        <v>-1923.45429456312</v>
      </c>
    </row>
    <row r="379" spans="20:36">
      <c r="T379">
        <v>188.622</v>
      </c>
      <c r="U379">
        <v>1.21675172405449</v>
      </c>
      <c r="V379">
        <v>188.622</v>
      </c>
      <c r="W379">
        <v>1.22181802507803</v>
      </c>
      <c r="X379">
        <v>188.622</v>
      </c>
      <c r="Y379">
        <v>1.18671849661967</v>
      </c>
      <c r="Z379">
        <v>188.622</v>
      </c>
      <c r="AA379">
        <v>1.21989046206086</v>
      </c>
      <c r="AB379">
        <v>188.622</v>
      </c>
      <c r="AC379">
        <v>1.19552223472596</v>
      </c>
      <c r="AE379">
        <v>188.622</v>
      </c>
      <c r="AF379">
        <v>-2020.09234903971</v>
      </c>
      <c r="AG379">
        <v>-2128.40563124182</v>
      </c>
      <c r="AH379">
        <v>-1797.36055436039</v>
      </c>
      <c r="AI379">
        <v>-1913.22978529934</v>
      </c>
      <c r="AJ379">
        <v>-1877.33962754015</v>
      </c>
    </row>
    <row r="380" spans="20:36">
      <c r="T380">
        <v>189.121</v>
      </c>
      <c r="U380">
        <v>1.21835053438396</v>
      </c>
      <c r="V380">
        <v>189.121</v>
      </c>
      <c r="W380">
        <v>1.22161289192949</v>
      </c>
      <c r="X380">
        <v>189.121</v>
      </c>
      <c r="Y380">
        <v>1.19380116061282</v>
      </c>
      <c r="Z380">
        <v>189.121</v>
      </c>
      <c r="AA380">
        <v>1.22187383571999</v>
      </c>
      <c r="AB380">
        <v>189.121</v>
      </c>
      <c r="AC380">
        <v>1.19891986738957</v>
      </c>
      <c r="AE380">
        <v>189.121</v>
      </c>
      <c r="AF380">
        <v>-2032.36642576068</v>
      </c>
      <c r="AG380">
        <v>-2075.29490334645</v>
      </c>
      <c r="AH380">
        <v>-1808.70198113412</v>
      </c>
      <c r="AI380">
        <v>-1941.07955614688</v>
      </c>
      <c r="AJ380">
        <v>-1941.26264963469</v>
      </c>
    </row>
    <row r="381" spans="20:36">
      <c r="T381">
        <v>189.62</v>
      </c>
      <c r="U381">
        <v>1.22314050555634</v>
      </c>
      <c r="V381">
        <v>189.62</v>
      </c>
      <c r="W381">
        <v>1.22466211918708</v>
      </c>
      <c r="X381">
        <v>189.62</v>
      </c>
      <c r="Y381">
        <v>1.20232518326553</v>
      </c>
      <c r="Z381">
        <v>189.62</v>
      </c>
      <c r="AA381">
        <v>1.22136220910252</v>
      </c>
      <c r="AB381">
        <v>189.62</v>
      </c>
      <c r="AC381">
        <v>1.20016136333048</v>
      </c>
      <c r="AE381">
        <v>189.62</v>
      </c>
      <c r="AF381">
        <v>-1916.10314906177</v>
      </c>
      <c r="AG381">
        <v>-2002.78684997624</v>
      </c>
      <c r="AH381">
        <v>-1956.41311629124</v>
      </c>
      <c r="AI381">
        <v>-1917.31095934336</v>
      </c>
      <c r="AJ381">
        <v>-1942.27124562873</v>
      </c>
    </row>
    <row r="382" spans="20:36">
      <c r="T382">
        <v>190.119</v>
      </c>
      <c r="U382">
        <v>1.2229520452263</v>
      </c>
      <c r="V382">
        <v>190.119</v>
      </c>
      <c r="W382">
        <v>1.21734932586426</v>
      </c>
      <c r="X382">
        <v>190.119</v>
      </c>
      <c r="Y382">
        <v>1.18935056674952</v>
      </c>
      <c r="Z382">
        <v>190.119</v>
      </c>
      <c r="AA382">
        <v>1.22473678437271</v>
      </c>
      <c r="AB382">
        <v>190.119</v>
      </c>
      <c r="AC382">
        <v>1.19785244419292</v>
      </c>
      <c r="AE382">
        <v>190.119</v>
      </c>
      <c r="AF382">
        <v>-1967.51034160636</v>
      </c>
      <c r="AG382">
        <v>-2045.66334343935</v>
      </c>
      <c r="AH382">
        <v>-2047.17377816538</v>
      </c>
      <c r="AI382">
        <v>-1912.79506127402</v>
      </c>
      <c r="AJ382">
        <v>-1927.37065825217</v>
      </c>
    </row>
    <row r="383" spans="20:36">
      <c r="T383">
        <v>190.618</v>
      </c>
      <c r="U383">
        <v>1.22479534112311</v>
      </c>
      <c r="V383">
        <v>190.618</v>
      </c>
      <c r="W383">
        <v>1.22301303859383</v>
      </c>
      <c r="X383">
        <v>190.618</v>
      </c>
      <c r="Y383">
        <v>1.19631947865828</v>
      </c>
      <c r="Z383">
        <v>190.618</v>
      </c>
      <c r="AA383">
        <v>1.23245935159793</v>
      </c>
      <c r="AB383">
        <v>190.618</v>
      </c>
      <c r="AC383">
        <v>1.20091478259241</v>
      </c>
      <c r="AE383">
        <v>190.618</v>
      </c>
      <c r="AF383">
        <v>-2025.49381309763</v>
      </c>
      <c r="AG383">
        <v>-2118.99971311332</v>
      </c>
      <c r="AH383">
        <v>-1846.47031417939</v>
      </c>
      <c r="AI383">
        <v>-1993.91601800583</v>
      </c>
      <c r="AJ383">
        <v>-1946.95486671593</v>
      </c>
    </row>
    <row r="384" spans="20:36">
      <c r="T384">
        <v>191.117</v>
      </c>
      <c r="U384">
        <v>1.22255910371395</v>
      </c>
      <c r="V384">
        <v>191.117</v>
      </c>
      <c r="W384">
        <v>1.21304667855396</v>
      </c>
      <c r="X384">
        <v>191.117</v>
      </c>
      <c r="Y384">
        <v>1.20143946726246</v>
      </c>
      <c r="Z384">
        <v>191.117</v>
      </c>
      <c r="AA384">
        <v>1.22875100592418</v>
      </c>
      <c r="AB384">
        <v>191.117</v>
      </c>
      <c r="AC384">
        <v>1.1912856103119</v>
      </c>
      <c r="AE384">
        <v>191.117</v>
      </c>
      <c r="AF384">
        <v>-2025.44651443783</v>
      </c>
      <c r="AG384">
        <v>-2087.9225783311</v>
      </c>
      <c r="AH384">
        <v>-1704.12252117373</v>
      </c>
      <c r="AI384">
        <v>-2027.98804610552</v>
      </c>
      <c r="AJ384">
        <v>-1930.85648689291</v>
      </c>
    </row>
    <row r="385" spans="20:36">
      <c r="T385">
        <v>191.616</v>
      </c>
      <c r="U385">
        <v>1.21891116375991</v>
      </c>
      <c r="V385">
        <v>191.616</v>
      </c>
      <c r="W385">
        <v>1.22373420600448</v>
      </c>
      <c r="X385">
        <v>191.616</v>
      </c>
      <c r="Y385">
        <v>1.2000000365793</v>
      </c>
      <c r="Z385">
        <v>191.616</v>
      </c>
      <c r="AA385">
        <v>1.22706917938067</v>
      </c>
      <c r="AB385">
        <v>191.616</v>
      </c>
      <c r="AC385">
        <v>1.19465192637561</v>
      </c>
      <c r="AE385">
        <v>191.616</v>
      </c>
      <c r="AF385">
        <v>-1992.83387144332</v>
      </c>
      <c r="AG385">
        <v>-2082.84938541878</v>
      </c>
      <c r="AH385">
        <v>-1845.25152765151</v>
      </c>
      <c r="AI385">
        <v>-2025.40521471891</v>
      </c>
      <c r="AJ385">
        <v>-1930.72555610336</v>
      </c>
    </row>
    <row r="386" spans="20:36">
      <c r="T386">
        <v>192.115</v>
      </c>
      <c r="U386">
        <v>1.22082810408614</v>
      </c>
      <c r="V386">
        <v>192.115</v>
      </c>
      <c r="W386">
        <v>1.21766531534769</v>
      </c>
      <c r="X386">
        <v>192.115</v>
      </c>
      <c r="Y386">
        <v>1.19349580872948</v>
      </c>
      <c r="Z386">
        <v>192.115</v>
      </c>
      <c r="AA386">
        <v>1.21688970539798</v>
      </c>
      <c r="AB386">
        <v>192.115</v>
      </c>
      <c r="AC386">
        <v>1.20323420694514</v>
      </c>
      <c r="AE386">
        <v>192.115</v>
      </c>
      <c r="AF386">
        <v>-2001.56464483244</v>
      </c>
      <c r="AG386">
        <v>-2048.56028141666</v>
      </c>
      <c r="AH386">
        <v>-2028.74504900434</v>
      </c>
      <c r="AI386">
        <v>-1813.25258247114</v>
      </c>
      <c r="AJ386">
        <v>-1961.99423368424</v>
      </c>
    </row>
    <row r="387" spans="20:36">
      <c r="T387">
        <v>192.614</v>
      </c>
      <c r="U387">
        <v>1.22189837291483</v>
      </c>
      <c r="V387">
        <v>192.614</v>
      </c>
      <c r="W387">
        <v>1.22004436047316</v>
      </c>
      <c r="X387">
        <v>192.614</v>
      </c>
      <c r="Y387">
        <v>1.19209263270655</v>
      </c>
      <c r="Z387">
        <v>192.614</v>
      </c>
      <c r="AA387">
        <v>1.22056506131159</v>
      </c>
      <c r="AB387">
        <v>192.614</v>
      </c>
      <c r="AC387">
        <v>1.20293173163101</v>
      </c>
      <c r="AE387">
        <v>192.614</v>
      </c>
      <c r="AF387">
        <v>-1992.93320217932</v>
      </c>
      <c r="AG387">
        <v>-2018.1741212235</v>
      </c>
      <c r="AH387">
        <v>-1978.40622378806</v>
      </c>
      <c r="AI387">
        <v>-1819.74778323622</v>
      </c>
      <c r="AJ387">
        <v>-1942.57547444633</v>
      </c>
    </row>
    <row r="388" spans="20:36">
      <c r="T388">
        <v>193.113</v>
      </c>
      <c r="U388">
        <v>1.22154345024748</v>
      </c>
      <c r="V388">
        <v>193.113</v>
      </c>
      <c r="W388">
        <v>1.21752690149498</v>
      </c>
      <c r="X388">
        <v>193.113</v>
      </c>
      <c r="Y388">
        <v>1.18698667912752</v>
      </c>
      <c r="Z388">
        <v>193.113</v>
      </c>
      <c r="AA388">
        <v>1.22496660674369</v>
      </c>
      <c r="AB388">
        <v>193.113</v>
      </c>
      <c r="AC388">
        <v>1.2076156788709</v>
      </c>
      <c r="AE388">
        <v>193.113</v>
      </c>
      <c r="AF388">
        <v>-2022.7629233615</v>
      </c>
      <c r="AG388">
        <v>-2071.46596775426</v>
      </c>
      <c r="AH388">
        <v>-1825.02433757476</v>
      </c>
      <c r="AI388">
        <v>-2013.45830453803</v>
      </c>
      <c r="AJ388">
        <v>-1905.86207386103</v>
      </c>
    </row>
    <row r="389" spans="20:36">
      <c r="T389">
        <v>193.612</v>
      </c>
      <c r="U389">
        <v>1.22490415090048</v>
      </c>
      <c r="V389">
        <v>193.612</v>
      </c>
      <c r="W389">
        <v>1.20938850356608</v>
      </c>
      <c r="X389">
        <v>193.612</v>
      </c>
      <c r="Y389">
        <v>1.19553618867845</v>
      </c>
      <c r="Z389">
        <v>193.612</v>
      </c>
      <c r="AA389">
        <v>1.21219577332018</v>
      </c>
      <c r="AB389">
        <v>193.612</v>
      </c>
      <c r="AC389">
        <v>1.20055937555258</v>
      </c>
      <c r="AE389">
        <v>193.612</v>
      </c>
      <c r="AF389">
        <v>-2040.55169269757</v>
      </c>
      <c r="AG389">
        <v>-1948.75164311505</v>
      </c>
      <c r="AH389">
        <v>-1736.89298577851</v>
      </c>
      <c r="AI389">
        <v>-2124.58724119627</v>
      </c>
      <c r="AJ389">
        <v>-1868.86176830015</v>
      </c>
    </row>
    <row r="390" spans="20:36">
      <c r="T390">
        <v>194.111</v>
      </c>
      <c r="U390">
        <v>1.22195567548396</v>
      </c>
      <c r="V390">
        <v>194.111</v>
      </c>
      <c r="W390">
        <v>1.21462892973174</v>
      </c>
      <c r="X390">
        <v>194.111</v>
      </c>
      <c r="Y390">
        <v>1.19481383272812</v>
      </c>
      <c r="Z390">
        <v>194.111</v>
      </c>
      <c r="AA390">
        <v>1.21652298490113</v>
      </c>
      <c r="AB390">
        <v>194.111</v>
      </c>
      <c r="AC390">
        <v>1.19508074803668</v>
      </c>
      <c r="AE390">
        <v>194.111</v>
      </c>
      <c r="AF390">
        <v>-2038.30582512979</v>
      </c>
      <c r="AG390">
        <v>-1936.61346298669</v>
      </c>
      <c r="AH390">
        <v>-1803.06921287977</v>
      </c>
      <c r="AI390">
        <v>-2010.87333040279</v>
      </c>
      <c r="AJ390">
        <v>-1922.29701189072</v>
      </c>
    </row>
    <row r="391" spans="20:36">
      <c r="T391">
        <v>194.61</v>
      </c>
      <c r="U391">
        <v>1.22077414785402</v>
      </c>
      <c r="V391">
        <v>194.61</v>
      </c>
      <c r="W391">
        <v>1.21702549703918</v>
      </c>
      <c r="X391">
        <v>194.61</v>
      </c>
      <c r="Y391">
        <v>1.20116175080287</v>
      </c>
      <c r="Z391">
        <v>194.61</v>
      </c>
      <c r="AA391">
        <v>1.21408462904364</v>
      </c>
      <c r="AB391">
        <v>194.61</v>
      </c>
      <c r="AC391">
        <v>1.20460456788552</v>
      </c>
      <c r="AE391">
        <v>194.61</v>
      </c>
      <c r="AF391">
        <v>-1987.5401699864</v>
      </c>
      <c r="AG391">
        <v>-2103.741205966</v>
      </c>
      <c r="AH391">
        <v>-2040.20108517771</v>
      </c>
      <c r="AI391">
        <v>-1841.86517330153</v>
      </c>
      <c r="AJ391">
        <v>-1963.85682968879</v>
      </c>
    </row>
    <row r="392" spans="20:36">
      <c r="T392">
        <v>195.109</v>
      </c>
      <c r="U392">
        <v>1.21489651835788</v>
      </c>
      <c r="V392">
        <v>195.109</v>
      </c>
      <c r="W392">
        <v>1.206048964835</v>
      </c>
      <c r="X392">
        <v>195.109</v>
      </c>
      <c r="Y392">
        <v>1.2033406292037</v>
      </c>
      <c r="Z392">
        <v>195.109</v>
      </c>
      <c r="AA392">
        <v>1.21478781549989</v>
      </c>
      <c r="AB392">
        <v>195.109</v>
      </c>
      <c r="AC392">
        <v>1.19522901661611</v>
      </c>
      <c r="AE392">
        <v>195.109</v>
      </c>
      <c r="AF392">
        <v>-1919.62801057224</v>
      </c>
      <c r="AG392">
        <v>-2120.15096017559</v>
      </c>
      <c r="AH392">
        <v>-1997.44649752897</v>
      </c>
      <c r="AI392">
        <v>-1842.68789483941</v>
      </c>
      <c r="AJ392">
        <v>-2034.93677649282</v>
      </c>
    </row>
    <row r="393" spans="20:36">
      <c r="T393">
        <v>195.608</v>
      </c>
      <c r="U393">
        <v>1.22241563106804</v>
      </c>
      <c r="V393">
        <v>195.608</v>
      </c>
      <c r="W393">
        <v>1.2127132612271</v>
      </c>
      <c r="X393">
        <v>195.608</v>
      </c>
      <c r="Y393">
        <v>1.19818861996586</v>
      </c>
      <c r="Z393">
        <v>195.608</v>
      </c>
      <c r="AA393">
        <v>1.22096430308844</v>
      </c>
      <c r="AB393">
        <v>195.608</v>
      </c>
      <c r="AC393">
        <v>1.20085308488508</v>
      </c>
      <c r="AE393">
        <v>195.608</v>
      </c>
      <c r="AF393">
        <v>-1991.42865387722</v>
      </c>
      <c r="AG393">
        <v>-2084.9569964849</v>
      </c>
      <c r="AH393">
        <v>-1820.34305936563</v>
      </c>
      <c r="AI393">
        <v>-1914.6407270894</v>
      </c>
      <c r="AJ393">
        <v>-1910.21478744415</v>
      </c>
    </row>
    <row r="394" spans="20:36">
      <c r="T394">
        <v>196.107</v>
      </c>
      <c r="U394">
        <v>1.22457228956564</v>
      </c>
      <c r="V394">
        <v>196.107</v>
      </c>
      <c r="W394">
        <v>1.2100554563118</v>
      </c>
      <c r="X394">
        <v>196.107</v>
      </c>
      <c r="Y394">
        <v>1.1960952297841</v>
      </c>
      <c r="Z394">
        <v>196.107</v>
      </c>
      <c r="AA394">
        <v>1.22096110118322</v>
      </c>
      <c r="AB394">
        <v>196.107</v>
      </c>
      <c r="AC394">
        <v>1.19898176778625</v>
      </c>
      <c r="AE394">
        <v>196.107</v>
      </c>
      <c r="AF394">
        <v>-2092.48196880633</v>
      </c>
      <c r="AG394">
        <v>-2006.79695497184</v>
      </c>
      <c r="AH394">
        <v>-1734.58796203457</v>
      </c>
      <c r="AI394">
        <v>-2029.57485215395</v>
      </c>
      <c r="AJ394">
        <v>-1860.85942269947</v>
      </c>
    </row>
    <row r="395" spans="20:36">
      <c r="T395">
        <v>196.606</v>
      </c>
      <c r="U395">
        <v>1.21742338456579</v>
      </c>
      <c r="V395">
        <v>196.606</v>
      </c>
      <c r="W395">
        <v>1.22109384941944</v>
      </c>
      <c r="X395">
        <v>196.606</v>
      </c>
      <c r="Y395">
        <v>1.19780756356163</v>
      </c>
      <c r="Z395">
        <v>196.606</v>
      </c>
      <c r="AA395">
        <v>1.22015736559683</v>
      </c>
      <c r="AB395">
        <v>196.606</v>
      </c>
      <c r="AC395">
        <v>1.20798919832755</v>
      </c>
      <c r="AE395">
        <v>196.606</v>
      </c>
      <c r="AF395">
        <v>-2054.54044632672</v>
      </c>
      <c r="AG395">
        <v>-2035.217013624</v>
      </c>
      <c r="AH395">
        <v>-1819.12539213262</v>
      </c>
      <c r="AI395">
        <v>-1964.73893435634</v>
      </c>
      <c r="AJ395">
        <v>-1927.16090171755</v>
      </c>
    </row>
    <row r="396" spans="20:36">
      <c r="T396">
        <v>197.105</v>
      </c>
      <c r="U396">
        <v>1.21992676893911</v>
      </c>
      <c r="V396">
        <v>197.105</v>
      </c>
      <c r="W396">
        <v>1.2112599442192</v>
      </c>
      <c r="X396">
        <v>197.105</v>
      </c>
      <c r="Y396">
        <v>1.19563945206157</v>
      </c>
      <c r="Z396">
        <v>197.105</v>
      </c>
      <c r="AA396">
        <v>1.22156702029334</v>
      </c>
      <c r="AB396">
        <v>197.105</v>
      </c>
      <c r="AC396">
        <v>1.21004830058696</v>
      </c>
      <c r="AE396">
        <v>197.105</v>
      </c>
      <c r="AF396">
        <v>-1914.61104443022</v>
      </c>
      <c r="AG396">
        <v>-2062.52313491759</v>
      </c>
      <c r="AH396">
        <v>-1978.14627910066</v>
      </c>
      <c r="AI396">
        <v>-1945.06862791527</v>
      </c>
      <c r="AJ396">
        <v>-1978.73673052776</v>
      </c>
    </row>
    <row r="397" spans="20:36">
      <c r="T397">
        <v>197.604</v>
      </c>
      <c r="U397">
        <v>1.22190105479621</v>
      </c>
      <c r="V397">
        <v>197.604</v>
      </c>
      <c r="W397">
        <v>1.21993727468071</v>
      </c>
      <c r="X397">
        <v>197.604</v>
      </c>
      <c r="Y397">
        <v>1.2148843120911</v>
      </c>
      <c r="Z397">
        <v>197.604</v>
      </c>
      <c r="AA397">
        <v>1.21703184717617</v>
      </c>
      <c r="AB397">
        <v>197.604</v>
      </c>
      <c r="AC397">
        <v>1.20392958206576</v>
      </c>
      <c r="AE397">
        <v>197.604</v>
      </c>
      <c r="AF397">
        <v>-1917.8186195681</v>
      </c>
      <c r="AG397">
        <v>-2007.3555762377</v>
      </c>
      <c r="AH397">
        <v>-1983.07793474024</v>
      </c>
      <c r="AI397">
        <v>-1913.97747727186</v>
      </c>
      <c r="AJ397">
        <v>-1955.40860236243</v>
      </c>
    </row>
    <row r="398" spans="20:36">
      <c r="T398">
        <v>198.103</v>
      </c>
      <c r="U398">
        <v>1.21702891805771</v>
      </c>
      <c r="V398">
        <v>198.103</v>
      </c>
      <c r="W398">
        <v>1.22001976505316</v>
      </c>
      <c r="X398">
        <v>198.103</v>
      </c>
      <c r="Y398">
        <v>1.20343876272345</v>
      </c>
      <c r="Z398">
        <v>198.103</v>
      </c>
      <c r="AA398">
        <v>1.22017453635141</v>
      </c>
      <c r="AB398">
        <v>198.103</v>
      </c>
      <c r="AC398">
        <v>1.21006272039045</v>
      </c>
      <c r="AE398">
        <v>198.103</v>
      </c>
      <c r="AF398">
        <v>-2056.83728272992</v>
      </c>
      <c r="AG398">
        <v>-1986.56757581104</v>
      </c>
      <c r="AH398">
        <v>-1779.51208248711</v>
      </c>
      <c r="AI398">
        <v>-1896.39651047397</v>
      </c>
      <c r="AJ398">
        <v>-1967.70310270945</v>
      </c>
    </row>
    <row r="399" spans="20:36">
      <c r="T399">
        <v>198.602</v>
      </c>
      <c r="U399">
        <v>1.21654266512086</v>
      </c>
      <c r="V399">
        <v>198.602</v>
      </c>
      <c r="W399">
        <v>1.21897877784755</v>
      </c>
      <c r="X399">
        <v>198.602</v>
      </c>
      <c r="Y399">
        <v>1.20341181470631</v>
      </c>
      <c r="Z399">
        <v>198.602</v>
      </c>
      <c r="AA399">
        <v>1.2196832144517</v>
      </c>
      <c r="AB399">
        <v>198.602</v>
      </c>
      <c r="AC399">
        <v>1.21304561493475</v>
      </c>
      <c r="AE399">
        <v>198.602</v>
      </c>
      <c r="AF399">
        <v>-2017.23642051478</v>
      </c>
      <c r="AG399">
        <v>-2078.1640073944</v>
      </c>
      <c r="AH399">
        <v>-1737.28941739871</v>
      </c>
      <c r="AI399">
        <v>-1868.0526978857</v>
      </c>
      <c r="AJ399">
        <v>-1948.96784522935</v>
      </c>
    </row>
    <row r="400" spans="20:36">
      <c r="T400">
        <v>199.101</v>
      </c>
      <c r="U400">
        <v>1.22221747583899</v>
      </c>
      <c r="V400">
        <v>199.101</v>
      </c>
      <c r="W400">
        <v>1.21298996364907</v>
      </c>
      <c r="X400">
        <v>199.101</v>
      </c>
      <c r="Y400">
        <v>1.20270695175322</v>
      </c>
      <c r="Z400">
        <v>199.101</v>
      </c>
      <c r="AA400">
        <v>1.22281141940915</v>
      </c>
      <c r="AB400">
        <v>199.101</v>
      </c>
      <c r="AC400">
        <v>1.20459134520898</v>
      </c>
      <c r="AE400">
        <v>199.101</v>
      </c>
      <c r="AF400">
        <v>-1871.18905917719</v>
      </c>
      <c r="AG400">
        <v>-2097.0602020934</v>
      </c>
      <c r="AH400">
        <v>-1883.96449789957</v>
      </c>
      <c r="AI400">
        <v>-1927.4132306899</v>
      </c>
      <c r="AJ400">
        <v>-1926.41120246683</v>
      </c>
    </row>
    <row r="401" spans="20:36">
      <c r="T401">
        <v>199.6</v>
      </c>
      <c r="U401">
        <v>1.22012423869371</v>
      </c>
      <c r="V401">
        <v>199.6</v>
      </c>
      <c r="W401">
        <v>1.21859179315579</v>
      </c>
      <c r="X401">
        <v>199.6</v>
      </c>
      <c r="Y401">
        <v>1.19735069056783</v>
      </c>
      <c r="Z401">
        <v>199.6</v>
      </c>
      <c r="AA401">
        <v>1.22414530151224</v>
      </c>
      <c r="AB401">
        <v>199.6</v>
      </c>
      <c r="AC401">
        <v>1.20913802998343</v>
      </c>
      <c r="AE401">
        <v>199.6</v>
      </c>
      <c r="AF401">
        <v>-1920.1748887837</v>
      </c>
      <c r="AG401">
        <v>-2029.72092517968</v>
      </c>
      <c r="AH401">
        <v>-1984.17376922587</v>
      </c>
      <c r="AI401">
        <v>-2031.82870204606</v>
      </c>
      <c r="AJ401">
        <v>-1917.44854487307</v>
      </c>
    </row>
    <row r="402" spans="20:36">
      <c r="T402">
        <v>200.099</v>
      </c>
      <c r="U402">
        <v>1.21366688211642</v>
      </c>
      <c r="V402">
        <v>200.099</v>
      </c>
      <c r="W402">
        <v>1.22122518027367</v>
      </c>
      <c r="X402">
        <v>200.099</v>
      </c>
      <c r="Y402">
        <v>1.19807827823863</v>
      </c>
      <c r="Z402">
        <v>200.099</v>
      </c>
      <c r="AA402">
        <v>1.2183447445862</v>
      </c>
      <c r="AB402">
        <v>200.099</v>
      </c>
      <c r="AC402">
        <v>1.21117421392204</v>
      </c>
      <c r="AE402">
        <v>200.099</v>
      </c>
      <c r="AF402">
        <v>-2020.6049857574</v>
      </c>
      <c r="AG402">
        <v>-2069.02047766593</v>
      </c>
      <c r="AH402">
        <v>-1926.68906956042</v>
      </c>
      <c r="AI402">
        <v>-1911.2553590706</v>
      </c>
      <c r="AJ402">
        <v>-1917.42732019183</v>
      </c>
    </row>
    <row r="403" spans="20:36">
      <c r="T403">
        <v>200.598</v>
      </c>
      <c r="U403">
        <v>1.22078628263709</v>
      </c>
      <c r="V403">
        <v>200.598</v>
      </c>
      <c r="W403">
        <v>1.22181594652326</v>
      </c>
      <c r="X403">
        <v>200.598</v>
      </c>
      <c r="Y403">
        <v>1.20215292151601</v>
      </c>
      <c r="Z403">
        <v>200.598</v>
      </c>
      <c r="AA403">
        <v>1.22060226515335</v>
      </c>
      <c r="AB403">
        <v>200.598</v>
      </c>
      <c r="AC403">
        <v>1.20184921317608</v>
      </c>
      <c r="AE403">
        <v>200.598</v>
      </c>
      <c r="AF403">
        <v>-1994.36857202385</v>
      </c>
      <c r="AG403">
        <v>-2108.38660114112</v>
      </c>
      <c r="AH403">
        <v>-1896.33351157657</v>
      </c>
      <c r="AI403">
        <v>-1936.43402303965</v>
      </c>
      <c r="AJ403">
        <v>-1928.02850750674</v>
      </c>
    </row>
    <row r="404" spans="20:36">
      <c r="T404">
        <v>201.097</v>
      </c>
      <c r="U404">
        <v>1.2149267951866</v>
      </c>
      <c r="V404">
        <v>201.097</v>
      </c>
      <c r="W404">
        <v>1.228117227948</v>
      </c>
      <c r="X404">
        <v>201.097</v>
      </c>
      <c r="Y404">
        <v>1.19990438105017</v>
      </c>
      <c r="Z404">
        <v>201.097</v>
      </c>
      <c r="AA404">
        <v>1.22034493990524</v>
      </c>
      <c r="AB404">
        <v>201.097</v>
      </c>
      <c r="AC404">
        <v>1.20695164790206</v>
      </c>
      <c r="AE404">
        <v>201.097</v>
      </c>
      <c r="AF404">
        <v>-1863.29953918955</v>
      </c>
      <c r="AG404">
        <v>-2158.45842988759</v>
      </c>
      <c r="AH404">
        <v>-1806.78894532845</v>
      </c>
      <c r="AI404">
        <v>-1909.79219653453</v>
      </c>
      <c r="AJ404">
        <v>-1989.54473840259</v>
      </c>
    </row>
    <row r="405" spans="20:36">
      <c r="T405">
        <v>201.596</v>
      </c>
      <c r="U405">
        <v>1.21718343381879</v>
      </c>
      <c r="V405">
        <v>201.596</v>
      </c>
      <c r="W405">
        <v>1.22052402666055</v>
      </c>
      <c r="X405">
        <v>201.596</v>
      </c>
      <c r="Y405">
        <v>1.20382631931557</v>
      </c>
      <c r="Z405">
        <v>201.596</v>
      </c>
      <c r="AA405">
        <v>1.21830321833172</v>
      </c>
      <c r="AB405">
        <v>201.596</v>
      </c>
      <c r="AC405">
        <v>1.20969687476316</v>
      </c>
      <c r="AE405">
        <v>201.596</v>
      </c>
      <c r="AF405">
        <v>-1937.77621911331</v>
      </c>
      <c r="AG405">
        <v>-2112.07355574404</v>
      </c>
      <c r="AH405">
        <v>-1891.72867488394</v>
      </c>
      <c r="AI405">
        <v>-1951.84046706475</v>
      </c>
      <c r="AJ405">
        <v>-1944.29829164479</v>
      </c>
    </row>
    <row r="406" spans="20:36">
      <c r="T406">
        <v>202.095</v>
      </c>
      <c r="U406">
        <v>1.21701434713835</v>
      </c>
      <c r="V406">
        <v>202.095</v>
      </c>
      <c r="W406">
        <v>1.22411709604989</v>
      </c>
      <c r="X406">
        <v>202.095</v>
      </c>
      <c r="Y406">
        <v>1.20338675189882</v>
      </c>
      <c r="Z406">
        <v>202.095</v>
      </c>
      <c r="AA406">
        <v>1.2250710322884</v>
      </c>
      <c r="AB406">
        <v>202.095</v>
      </c>
      <c r="AC406">
        <v>1.21041747846898</v>
      </c>
      <c r="AE406">
        <v>202.095</v>
      </c>
      <c r="AF406">
        <v>-2087.06603101965</v>
      </c>
      <c r="AG406">
        <v>-2117.53401763797</v>
      </c>
      <c r="AH406">
        <v>-1970.03737407605</v>
      </c>
      <c r="AI406">
        <v>-2076.74235228494</v>
      </c>
      <c r="AJ406">
        <v>-1873.19600231499</v>
      </c>
    </row>
    <row r="407" spans="20:36">
      <c r="T407">
        <v>202.594</v>
      </c>
      <c r="U407">
        <v>1.21624629329711</v>
      </c>
      <c r="V407">
        <v>202.594</v>
      </c>
      <c r="W407">
        <v>1.22416855500495</v>
      </c>
      <c r="X407">
        <v>202.594</v>
      </c>
      <c r="Y407">
        <v>1.20572448615548</v>
      </c>
      <c r="Z407">
        <v>202.594</v>
      </c>
      <c r="AA407">
        <v>1.22682777849475</v>
      </c>
      <c r="AB407">
        <v>202.594</v>
      </c>
      <c r="AC407">
        <v>1.20950537062989</v>
      </c>
      <c r="AE407">
        <v>202.594</v>
      </c>
      <c r="AF407">
        <v>-2000.54010285475</v>
      </c>
      <c r="AG407">
        <v>-2079.2086046665</v>
      </c>
      <c r="AH407">
        <v>-1938.72046656028</v>
      </c>
      <c r="AI407">
        <v>-1983.05759364973</v>
      </c>
      <c r="AJ407">
        <v>-1829.71243460671</v>
      </c>
    </row>
    <row r="408" spans="20:36">
      <c r="T408">
        <v>203.093</v>
      </c>
      <c r="U408">
        <v>1.21965973329026</v>
      </c>
      <c r="V408">
        <v>203.093</v>
      </c>
      <c r="W408">
        <v>1.22032141006137</v>
      </c>
      <c r="X408">
        <v>203.093</v>
      </c>
      <c r="Y408">
        <v>1.20294411227434</v>
      </c>
      <c r="Z408">
        <v>203.093</v>
      </c>
      <c r="AA408">
        <v>1.22288607658409</v>
      </c>
      <c r="AB408">
        <v>203.093</v>
      </c>
      <c r="AC408">
        <v>1.21094296992829</v>
      </c>
      <c r="AE408">
        <v>203.093</v>
      </c>
      <c r="AF408">
        <v>-1929.91797511735</v>
      </c>
      <c r="AG408">
        <v>-2069.65050387613</v>
      </c>
      <c r="AH408">
        <v>-1915.13558291123</v>
      </c>
      <c r="AI408">
        <v>-1907.62554185156</v>
      </c>
      <c r="AJ408">
        <v>-1983.68960265454</v>
      </c>
    </row>
    <row r="409" spans="20:36">
      <c r="T409">
        <v>203.592</v>
      </c>
      <c r="U409">
        <v>1.22069566972158</v>
      </c>
      <c r="V409">
        <v>203.592</v>
      </c>
      <c r="W409">
        <v>1.22154553307084</v>
      </c>
      <c r="X409">
        <v>203.592</v>
      </c>
      <c r="Y409">
        <v>1.20779974774033</v>
      </c>
      <c r="Z409">
        <v>203.592</v>
      </c>
      <c r="AA409">
        <v>1.22005148631439</v>
      </c>
      <c r="AB409">
        <v>203.592</v>
      </c>
      <c r="AC409">
        <v>1.20613586002912</v>
      </c>
      <c r="AE409">
        <v>203.592</v>
      </c>
      <c r="AF409">
        <v>-1991.85509082367</v>
      </c>
      <c r="AG409">
        <v>-2045.24115607538</v>
      </c>
      <c r="AH409">
        <v>-1942.76344922806</v>
      </c>
      <c r="AI409">
        <v>-1922.21051563454</v>
      </c>
      <c r="AJ409">
        <v>-1993.98084653227</v>
      </c>
    </row>
    <row r="410" spans="20:36">
      <c r="T410">
        <v>204.091</v>
      </c>
      <c r="U410">
        <v>1.22622882689317</v>
      </c>
      <c r="V410">
        <v>204.091</v>
      </c>
      <c r="W410">
        <v>1.22531175587697</v>
      </c>
      <c r="X410">
        <v>204.091</v>
      </c>
      <c r="Y410">
        <v>1.2042328875016</v>
      </c>
      <c r="Z410">
        <v>204.091</v>
      </c>
      <c r="AA410">
        <v>1.22485278405635</v>
      </c>
      <c r="AB410">
        <v>204.091</v>
      </c>
      <c r="AC410">
        <v>1.20845737736563</v>
      </c>
      <c r="AE410">
        <v>204.091</v>
      </c>
      <c r="AF410">
        <v>-1950.60183281238</v>
      </c>
      <c r="AG410">
        <v>-2110.92006570843</v>
      </c>
      <c r="AH410">
        <v>-1844.49115672575</v>
      </c>
      <c r="AI410">
        <v>-2020.71770311552</v>
      </c>
      <c r="AJ410">
        <v>-1953.88013383713</v>
      </c>
    </row>
    <row r="411" spans="20:36">
      <c r="T411">
        <v>204.59</v>
      </c>
      <c r="U411">
        <v>1.21714130685615</v>
      </c>
      <c r="V411">
        <v>204.59</v>
      </c>
      <c r="W411">
        <v>1.21409846662297</v>
      </c>
      <c r="X411">
        <v>204.59</v>
      </c>
      <c r="Y411">
        <v>1.20413072473832</v>
      </c>
      <c r="Z411">
        <v>204.59</v>
      </c>
      <c r="AA411">
        <v>1.22077213688379</v>
      </c>
      <c r="AB411">
        <v>204.59</v>
      </c>
      <c r="AC411">
        <v>1.2079370107414</v>
      </c>
      <c r="AE411">
        <v>204.59</v>
      </c>
      <c r="AF411">
        <v>-1923.69935795729</v>
      </c>
      <c r="AG411">
        <v>-2053.10471820055</v>
      </c>
      <c r="AH411">
        <v>-1845.23733977459</v>
      </c>
      <c r="AI411">
        <v>-2027.48240352657</v>
      </c>
      <c r="AJ411">
        <v>-1920.3945608341</v>
      </c>
    </row>
    <row r="412" spans="20:36">
      <c r="T412">
        <v>205.089</v>
      </c>
      <c r="U412">
        <v>1.2173523439526</v>
      </c>
      <c r="V412">
        <v>205.089</v>
      </c>
      <c r="W412">
        <v>1.21998909072227</v>
      </c>
      <c r="X412">
        <v>205.089</v>
      </c>
      <c r="Y412">
        <v>1.20707874346457</v>
      </c>
      <c r="Z412">
        <v>205.089</v>
      </c>
      <c r="AA412">
        <v>1.22444899480969</v>
      </c>
      <c r="AB412">
        <v>205.089</v>
      </c>
      <c r="AC412">
        <v>1.20611354024137</v>
      </c>
      <c r="AE412">
        <v>205.089</v>
      </c>
      <c r="AF412">
        <v>-2090.40121836626</v>
      </c>
      <c r="AG412">
        <v>-2080.61439171769</v>
      </c>
      <c r="AH412">
        <v>-1892.83953844019</v>
      </c>
      <c r="AI412">
        <v>-2018.62868390894</v>
      </c>
      <c r="AJ412">
        <v>-1823.79212760236</v>
      </c>
    </row>
    <row r="413" spans="20:36">
      <c r="T413">
        <v>205.588</v>
      </c>
      <c r="U413">
        <v>1.21497499713402</v>
      </c>
      <c r="V413">
        <v>205.588</v>
      </c>
      <c r="W413">
        <v>1.22499627749086</v>
      </c>
      <c r="X413">
        <v>205.588</v>
      </c>
      <c r="Y413">
        <v>1.20946575572445</v>
      </c>
      <c r="Z413">
        <v>205.588</v>
      </c>
      <c r="AA413">
        <v>1.22071722720351</v>
      </c>
      <c r="AB413">
        <v>205.588</v>
      </c>
      <c r="AC413">
        <v>1.20537819991098</v>
      </c>
      <c r="AE413">
        <v>205.588</v>
      </c>
      <c r="AF413">
        <v>-1962.80044447962</v>
      </c>
      <c r="AG413">
        <v>-2046.46558033982</v>
      </c>
      <c r="AH413">
        <v>-1913.50834165125</v>
      </c>
      <c r="AI413">
        <v>-1943.08831189713</v>
      </c>
      <c r="AJ413">
        <v>-1915.24302369608</v>
      </c>
    </row>
    <row r="414" spans="20:36">
      <c r="T414">
        <v>206.087</v>
      </c>
      <c r="U414">
        <v>1.21766494708678</v>
      </c>
      <c r="V414">
        <v>206.087</v>
      </c>
      <c r="W414">
        <v>1.22833551983324</v>
      </c>
      <c r="X414">
        <v>206.087</v>
      </c>
      <c r="Y414">
        <v>1.20546265762026</v>
      </c>
      <c r="Z414">
        <v>206.087</v>
      </c>
      <c r="AA414">
        <v>1.22548392210139</v>
      </c>
      <c r="AB414">
        <v>206.087</v>
      </c>
      <c r="AC414">
        <v>1.20580683810975</v>
      </c>
      <c r="AE414">
        <v>206.087</v>
      </c>
      <c r="AF414">
        <v>-1906.46298871006</v>
      </c>
      <c r="AG414">
        <v>-2146.55279174236</v>
      </c>
      <c r="AH414">
        <v>-1961.56470473987</v>
      </c>
      <c r="AI414">
        <v>-1945.33548006396</v>
      </c>
      <c r="AJ414">
        <v>-2017.51719137495</v>
      </c>
    </row>
    <row r="415" spans="20:36">
      <c r="T415">
        <v>206.586</v>
      </c>
      <c r="U415">
        <v>1.21486624231735</v>
      </c>
      <c r="V415">
        <v>206.586</v>
      </c>
      <c r="W415">
        <v>1.22073379783117</v>
      </c>
      <c r="X415">
        <v>206.586</v>
      </c>
      <c r="Y415">
        <v>1.19977470108</v>
      </c>
      <c r="Z415">
        <v>206.586</v>
      </c>
      <c r="AA415">
        <v>1.22259778962215</v>
      </c>
      <c r="AB415">
        <v>206.586</v>
      </c>
      <c r="AC415">
        <v>1.2048063737707</v>
      </c>
      <c r="AE415">
        <v>206.586</v>
      </c>
      <c r="AF415">
        <v>-1900.74459073729</v>
      </c>
      <c r="AG415">
        <v>-2087.55611033009</v>
      </c>
      <c r="AH415">
        <v>-1857.58154171459</v>
      </c>
      <c r="AI415">
        <v>-1954.78465140722</v>
      </c>
      <c r="AJ415">
        <v>-1963.09330638715</v>
      </c>
    </row>
    <row r="416" spans="20:36">
      <c r="T416">
        <v>207.085</v>
      </c>
      <c r="U416">
        <v>1.22217000709024</v>
      </c>
      <c r="V416">
        <v>207.085</v>
      </c>
      <c r="W416">
        <v>1.22336475796039</v>
      </c>
      <c r="X416">
        <v>207.085</v>
      </c>
      <c r="Y416">
        <v>1.19742450914001</v>
      </c>
      <c r="Z416">
        <v>207.085</v>
      </c>
      <c r="AA416">
        <v>1.22433666424503</v>
      </c>
      <c r="AB416">
        <v>207.085</v>
      </c>
      <c r="AC416">
        <v>1.19861158024898</v>
      </c>
      <c r="AE416">
        <v>207.085</v>
      </c>
      <c r="AF416">
        <v>-2053.26077210189</v>
      </c>
      <c r="AG416">
        <v>-2043.19793077641</v>
      </c>
      <c r="AH416">
        <v>-1860.45722371165</v>
      </c>
      <c r="AI416">
        <v>-2000.70215662186</v>
      </c>
      <c r="AJ416">
        <v>-1947.51716222894</v>
      </c>
    </row>
    <row r="417" spans="20:36">
      <c r="T417">
        <v>207.584</v>
      </c>
      <c r="U417">
        <v>1.21368750512829</v>
      </c>
      <c r="V417">
        <v>207.584</v>
      </c>
      <c r="W417">
        <v>1.22054169862729</v>
      </c>
      <c r="X417">
        <v>207.584</v>
      </c>
      <c r="Y417">
        <v>1.20402856237562</v>
      </c>
      <c r="Z417">
        <v>207.584</v>
      </c>
      <c r="AA417">
        <v>1.22052875237841</v>
      </c>
      <c r="AB417">
        <v>207.584</v>
      </c>
      <c r="AC417">
        <v>1.20699687794178</v>
      </c>
      <c r="AE417">
        <v>207.584</v>
      </c>
      <c r="AF417">
        <v>-2001.38900925017</v>
      </c>
      <c r="AG417">
        <v>-2014.18850163935</v>
      </c>
      <c r="AH417">
        <v>-1949.6155854234</v>
      </c>
      <c r="AI417">
        <v>-1991.81797501461</v>
      </c>
      <c r="AJ417">
        <v>-1922.98161625398</v>
      </c>
    </row>
    <row r="418" spans="20:36">
      <c r="T418">
        <v>208.083</v>
      </c>
      <c r="U418">
        <v>1.21613027560415</v>
      </c>
      <c r="V418">
        <v>208.083</v>
      </c>
      <c r="W418">
        <v>1.21884421273073</v>
      </c>
      <c r="X418">
        <v>208.083</v>
      </c>
      <c r="Y418">
        <v>1.20822732702627</v>
      </c>
      <c r="Z418">
        <v>208.083</v>
      </c>
      <c r="AA418">
        <v>1.22109735041665</v>
      </c>
      <c r="AB418">
        <v>208.083</v>
      </c>
      <c r="AC418">
        <v>1.20479239712216</v>
      </c>
      <c r="AE418">
        <v>208.083</v>
      </c>
      <c r="AF418">
        <v>-1995.84707074241</v>
      </c>
      <c r="AG418">
        <v>-2065.34679749876</v>
      </c>
      <c r="AH418">
        <v>-1945.56588387082</v>
      </c>
      <c r="AI418">
        <v>-1920.495099855</v>
      </c>
      <c r="AJ418">
        <v>-1789.34969594971</v>
      </c>
    </row>
    <row r="419" spans="20:36">
      <c r="T419">
        <v>208.582</v>
      </c>
      <c r="U419">
        <v>1.2163750546408</v>
      </c>
      <c r="V419">
        <v>208.582</v>
      </c>
      <c r="W419">
        <v>1.21837174607903</v>
      </c>
      <c r="X419">
        <v>208.582</v>
      </c>
      <c r="Y419">
        <v>1.20746348176897</v>
      </c>
      <c r="Z419">
        <v>208.582</v>
      </c>
      <c r="AA419">
        <v>1.21967646932298</v>
      </c>
      <c r="AB419">
        <v>208.582</v>
      </c>
      <c r="AC419">
        <v>1.20980414082425</v>
      </c>
      <c r="AE419">
        <v>208.582</v>
      </c>
      <c r="AF419">
        <v>-1944.01893525976</v>
      </c>
      <c r="AG419">
        <v>-2063.8969956175</v>
      </c>
      <c r="AH419">
        <v>-1931.53795052401</v>
      </c>
      <c r="AI419">
        <v>-1924.69931929172</v>
      </c>
      <c r="AJ419">
        <v>-1867.70430431983</v>
      </c>
    </row>
    <row r="420" spans="20:36">
      <c r="T420">
        <v>209.081</v>
      </c>
      <c r="U420">
        <v>1.21615658543517</v>
      </c>
      <c r="V420">
        <v>209.081</v>
      </c>
      <c r="W420">
        <v>1.22063508304614</v>
      </c>
      <c r="X420">
        <v>209.081</v>
      </c>
      <c r="Y420">
        <v>1.21019750750862</v>
      </c>
      <c r="Z420">
        <v>209.081</v>
      </c>
      <c r="AA420">
        <v>1.22212567754893</v>
      </c>
      <c r="AB420">
        <v>209.081</v>
      </c>
      <c r="AC420">
        <v>1.20608205346396</v>
      </c>
      <c r="AE420">
        <v>209.081</v>
      </c>
      <c r="AF420">
        <v>-1908.42495959661</v>
      </c>
      <c r="AG420">
        <v>-2013.94137225736</v>
      </c>
      <c r="AH420">
        <v>-1801.04482487576</v>
      </c>
      <c r="AI420">
        <v>-1974.49457890106</v>
      </c>
      <c r="AJ420">
        <v>-2003.89292795099</v>
      </c>
    </row>
    <row r="421" spans="20:36">
      <c r="T421">
        <v>209.58</v>
      </c>
      <c r="U421">
        <v>1.21571428618588</v>
      </c>
      <c r="V421">
        <v>209.58</v>
      </c>
      <c r="W421">
        <v>1.22301431725932</v>
      </c>
      <c r="X421">
        <v>209.58</v>
      </c>
      <c r="Y421">
        <v>1.20697271403692</v>
      </c>
      <c r="Z421">
        <v>209.58</v>
      </c>
      <c r="AA421">
        <v>1.21874604422571</v>
      </c>
      <c r="AB421">
        <v>209.58</v>
      </c>
      <c r="AC421">
        <v>1.20604072229482</v>
      </c>
      <c r="AE421">
        <v>209.58</v>
      </c>
      <c r="AF421">
        <v>-1970.7455965526</v>
      </c>
      <c r="AG421">
        <v>-2119.48682114643</v>
      </c>
      <c r="AH421">
        <v>-1840.18703891032</v>
      </c>
      <c r="AI421">
        <v>-1965.63801440166</v>
      </c>
      <c r="AJ421">
        <v>-2003.17749352491</v>
      </c>
    </row>
    <row r="422" spans="20:36">
      <c r="T422">
        <v>210.079</v>
      </c>
      <c r="U422">
        <v>1.2213726248658</v>
      </c>
      <c r="V422">
        <v>210.079</v>
      </c>
      <c r="W422">
        <v>1.21443675547128</v>
      </c>
      <c r="X422">
        <v>210.079</v>
      </c>
      <c r="Y422">
        <v>1.21454275107927</v>
      </c>
      <c r="Z422">
        <v>210.079</v>
      </c>
      <c r="AA422">
        <v>1.21938151829198</v>
      </c>
      <c r="AB422">
        <v>210.079</v>
      </c>
      <c r="AC422">
        <v>1.20696357684237</v>
      </c>
      <c r="AE422">
        <v>210.079</v>
      </c>
      <c r="AF422">
        <v>-2039.11706867077</v>
      </c>
      <c r="AG422">
        <v>-2089.51733149184</v>
      </c>
      <c r="AH422">
        <v>-2044.22564632668</v>
      </c>
      <c r="AI422">
        <v>-2010.31409891429</v>
      </c>
      <c r="AJ422">
        <v>-1977.71259837325</v>
      </c>
    </row>
    <row r="423" spans="20:36">
      <c r="T423">
        <v>210.578</v>
      </c>
      <c r="U423">
        <v>1.21494911716964</v>
      </c>
      <c r="V423">
        <v>210.578</v>
      </c>
      <c r="W423">
        <v>1.22086594019293</v>
      </c>
      <c r="X423">
        <v>210.578</v>
      </c>
      <c r="Y423">
        <v>1.20965807680678</v>
      </c>
      <c r="Z423">
        <v>210.578</v>
      </c>
      <c r="AA423">
        <v>1.21731339924941</v>
      </c>
      <c r="AB423">
        <v>210.578</v>
      </c>
      <c r="AC423">
        <v>1.21108880499915</v>
      </c>
      <c r="AE423">
        <v>210.578</v>
      </c>
      <c r="AF423">
        <v>-2099.78945035351</v>
      </c>
      <c r="AG423">
        <v>-2091.48819682461</v>
      </c>
      <c r="AH423">
        <v>-1984.21484753355</v>
      </c>
      <c r="AI423">
        <v>-1962.20419481369</v>
      </c>
      <c r="AJ423">
        <v>-1921.22047555369</v>
      </c>
    </row>
    <row r="424" spans="20:36">
      <c r="T424">
        <v>211.077</v>
      </c>
      <c r="U424">
        <v>1.21964296649199</v>
      </c>
      <c r="V424">
        <v>211.077</v>
      </c>
      <c r="W424">
        <v>1.22021027505085</v>
      </c>
      <c r="X424">
        <v>211.077</v>
      </c>
      <c r="Y424">
        <v>1.20604904954612</v>
      </c>
      <c r="Z424">
        <v>211.077</v>
      </c>
      <c r="AA424">
        <v>1.21811437569879</v>
      </c>
      <c r="AB424">
        <v>211.077</v>
      </c>
      <c r="AC424">
        <v>1.20058729041211</v>
      </c>
      <c r="AE424">
        <v>211.077</v>
      </c>
      <c r="AF424">
        <v>-1974.7370377315</v>
      </c>
      <c r="AG424">
        <v>-2058.79587900646</v>
      </c>
      <c r="AH424">
        <v>-1815.77692887522</v>
      </c>
      <c r="AI424">
        <v>-1977.56721116746</v>
      </c>
      <c r="AJ424">
        <v>-1870.41752669187</v>
      </c>
    </row>
    <row r="425" spans="20:36">
      <c r="T425">
        <v>211.576</v>
      </c>
      <c r="U425">
        <v>1.22049557789793</v>
      </c>
      <c r="V425">
        <v>211.576</v>
      </c>
      <c r="W425">
        <v>1.21916101550101</v>
      </c>
      <c r="X425">
        <v>211.576</v>
      </c>
      <c r="Y425">
        <v>1.20373215668127</v>
      </c>
      <c r="Z425">
        <v>211.576</v>
      </c>
      <c r="AA425">
        <v>1.20860159167252</v>
      </c>
      <c r="AB425">
        <v>211.576</v>
      </c>
      <c r="AC425">
        <v>1.21137043426516</v>
      </c>
      <c r="AE425">
        <v>211.576</v>
      </c>
      <c r="AF425">
        <v>-1977.87517197356</v>
      </c>
      <c r="AG425">
        <v>-2087.9829436812</v>
      </c>
      <c r="AH425">
        <v>-1825.17308694284</v>
      </c>
      <c r="AI425">
        <v>-1967.33782070854</v>
      </c>
      <c r="AJ425">
        <v>-1949.39266126523</v>
      </c>
    </row>
    <row r="426" spans="20:36">
      <c r="T426">
        <v>212.075</v>
      </c>
      <c r="U426">
        <v>1.21971071626067</v>
      </c>
      <c r="V426">
        <v>212.075</v>
      </c>
      <c r="W426">
        <v>1.22426848562854</v>
      </c>
      <c r="X426">
        <v>212.075</v>
      </c>
      <c r="Y426">
        <v>1.20981200089677</v>
      </c>
      <c r="Z426">
        <v>212.075</v>
      </c>
      <c r="AA426">
        <v>1.21985557676983</v>
      </c>
      <c r="AB426">
        <v>212.075</v>
      </c>
      <c r="AC426">
        <v>1.2182180751101</v>
      </c>
      <c r="AE426">
        <v>212.075</v>
      </c>
      <c r="AF426">
        <v>-2048.28098078001</v>
      </c>
      <c r="AG426">
        <v>-2072.17347822656</v>
      </c>
      <c r="AH426">
        <v>-2006.19406147729</v>
      </c>
      <c r="AI426">
        <v>-1976.64069214011</v>
      </c>
      <c r="AJ426">
        <v>-1998.49826587698</v>
      </c>
    </row>
    <row r="427" spans="20:36">
      <c r="T427">
        <v>212.574</v>
      </c>
      <c r="U427">
        <v>1.21650280112448</v>
      </c>
      <c r="V427">
        <v>212.574</v>
      </c>
      <c r="W427">
        <v>1.2225418930873</v>
      </c>
      <c r="X427">
        <v>212.574</v>
      </c>
      <c r="Y427">
        <v>1.21571508101587</v>
      </c>
      <c r="Z427">
        <v>212.574</v>
      </c>
      <c r="AA427">
        <v>1.22061498067623</v>
      </c>
      <c r="AB427">
        <v>212.574</v>
      </c>
      <c r="AC427">
        <v>1.20799501268263</v>
      </c>
      <c r="AE427">
        <v>212.574</v>
      </c>
      <c r="AF427">
        <v>-2087.42382840478</v>
      </c>
      <c r="AG427">
        <v>-2084.61617858272</v>
      </c>
      <c r="AH427">
        <v>-1999.2136721265</v>
      </c>
      <c r="AI427">
        <v>-1989.43441913424</v>
      </c>
      <c r="AJ427">
        <v>-1901.3048112058</v>
      </c>
    </row>
    <row r="428" spans="20:36">
      <c r="T428">
        <v>213.073</v>
      </c>
      <c r="U428">
        <v>1.22320485860318</v>
      </c>
      <c r="V428">
        <v>213.073</v>
      </c>
      <c r="W428">
        <v>1.22293687467372</v>
      </c>
      <c r="X428">
        <v>213.073</v>
      </c>
      <c r="Y428">
        <v>1.21150896974985</v>
      </c>
      <c r="Z428">
        <v>213.073</v>
      </c>
      <c r="AA428">
        <v>1.21779161744035</v>
      </c>
      <c r="AB428">
        <v>213.073</v>
      </c>
      <c r="AC428">
        <v>1.21253429078618</v>
      </c>
      <c r="AE428">
        <v>213.073</v>
      </c>
      <c r="AF428">
        <v>-2060.28217372436</v>
      </c>
      <c r="AG428">
        <v>-2063.71392463977</v>
      </c>
      <c r="AH428">
        <v>-1902.65866248873</v>
      </c>
      <c r="AI428">
        <v>-1895.24874667602</v>
      </c>
      <c r="AJ428">
        <v>-1885.02011329484</v>
      </c>
    </row>
    <row r="429" spans="20:36">
      <c r="T429">
        <v>213.572</v>
      </c>
      <c r="U429">
        <v>1.22068363565589</v>
      </c>
      <c r="V429">
        <v>213.572</v>
      </c>
      <c r="W429">
        <v>1.21892293394626</v>
      </c>
      <c r="X429">
        <v>213.572</v>
      </c>
      <c r="Y429">
        <v>1.21489842474105</v>
      </c>
      <c r="Z429">
        <v>213.572</v>
      </c>
      <c r="AA429">
        <v>1.22284337098719</v>
      </c>
      <c r="AB429">
        <v>213.572</v>
      </c>
      <c r="AC429">
        <v>1.21420232977308</v>
      </c>
      <c r="AE429">
        <v>213.572</v>
      </c>
      <c r="AF429">
        <v>-1979.75816173818</v>
      </c>
      <c r="AG429">
        <v>-2014.78467088344</v>
      </c>
      <c r="AH429">
        <v>-1902.7335288766</v>
      </c>
      <c r="AI429">
        <v>-2001.45790224356</v>
      </c>
      <c r="AJ429">
        <v>-1958.43439419125</v>
      </c>
    </row>
    <row r="430" spans="20:36">
      <c r="T430">
        <v>214.071</v>
      </c>
      <c r="U430">
        <v>1.21604646857684</v>
      </c>
      <c r="V430">
        <v>214.071</v>
      </c>
      <c r="W430">
        <v>1.22384993390373</v>
      </c>
      <c r="X430">
        <v>214.071</v>
      </c>
      <c r="Y430">
        <v>1.20986631339765</v>
      </c>
      <c r="Z430">
        <v>214.071</v>
      </c>
      <c r="AA430">
        <v>1.21732335701384</v>
      </c>
      <c r="AB430">
        <v>214.071</v>
      </c>
      <c r="AC430">
        <v>1.21563189000069</v>
      </c>
      <c r="AE430">
        <v>214.071</v>
      </c>
      <c r="AF430">
        <v>-1918.41673928827</v>
      </c>
      <c r="AG430">
        <v>-2068.77718828044</v>
      </c>
      <c r="AH430">
        <v>-1938.92362369698</v>
      </c>
      <c r="AI430">
        <v>-2062.0561825773</v>
      </c>
      <c r="AJ430">
        <v>-2043.37851035699</v>
      </c>
    </row>
    <row r="431" spans="20:36">
      <c r="T431">
        <v>214.57</v>
      </c>
      <c r="U431">
        <v>1.21902772075839</v>
      </c>
      <c r="V431">
        <v>214.57</v>
      </c>
      <c r="W431">
        <v>1.22222650965599</v>
      </c>
      <c r="X431">
        <v>214.57</v>
      </c>
      <c r="Y431">
        <v>1.20720988360256</v>
      </c>
      <c r="Z431">
        <v>214.57</v>
      </c>
      <c r="AA431">
        <v>1.21787648067066</v>
      </c>
      <c r="AB431">
        <v>214.57</v>
      </c>
      <c r="AC431">
        <v>1.21725300879698</v>
      </c>
      <c r="AE431">
        <v>214.57</v>
      </c>
      <c r="AF431">
        <v>-1997.62936119173</v>
      </c>
      <c r="AG431">
        <v>-2144.21725669848</v>
      </c>
      <c r="AH431">
        <v>-1862.66041467926</v>
      </c>
      <c r="AI431">
        <v>-2006.65119133956</v>
      </c>
      <c r="AJ431">
        <v>-1946.0761548325</v>
      </c>
    </row>
    <row r="432" spans="20:36">
      <c r="T432">
        <v>215.069</v>
      </c>
      <c r="U432">
        <v>1.21924699428801</v>
      </c>
      <c r="V432">
        <v>215.069</v>
      </c>
      <c r="W432">
        <v>1.21955544108173</v>
      </c>
      <c r="X432">
        <v>215.069</v>
      </c>
      <c r="Y432">
        <v>1.20494226827844</v>
      </c>
      <c r="Z432">
        <v>215.069</v>
      </c>
      <c r="AA432">
        <v>1.21980452539469</v>
      </c>
      <c r="AB432">
        <v>215.069</v>
      </c>
      <c r="AC432">
        <v>1.20961332698923</v>
      </c>
      <c r="AE432">
        <v>215.069</v>
      </c>
      <c r="AF432">
        <v>-1982.43392439614</v>
      </c>
      <c r="AG432">
        <v>-2167.78587454091</v>
      </c>
      <c r="AH432">
        <v>-1931.7490622688</v>
      </c>
      <c r="AI432">
        <v>-1877.1907487405</v>
      </c>
      <c r="AJ432">
        <v>-1940.46239474404</v>
      </c>
    </row>
    <row r="433" spans="20:36">
      <c r="T433">
        <v>215.568</v>
      </c>
      <c r="U433">
        <v>1.22475467041518</v>
      </c>
      <c r="V433">
        <v>215.568</v>
      </c>
      <c r="W433">
        <v>1.22157734470649</v>
      </c>
      <c r="X433">
        <v>215.568</v>
      </c>
      <c r="Y433">
        <v>1.21314293457033</v>
      </c>
      <c r="Z433">
        <v>215.568</v>
      </c>
      <c r="AA433">
        <v>1.22956099235991</v>
      </c>
      <c r="AB433">
        <v>215.568</v>
      </c>
      <c r="AC433">
        <v>1.21088321040746</v>
      </c>
      <c r="AE433">
        <v>215.568</v>
      </c>
      <c r="AF433">
        <v>-2068.72689883862</v>
      </c>
      <c r="AG433">
        <v>-2071.0688455054</v>
      </c>
      <c r="AH433">
        <v>-1913.51076595485</v>
      </c>
      <c r="AI433">
        <v>-1925.24429999096</v>
      </c>
      <c r="AJ433">
        <v>-1878.40327603171</v>
      </c>
    </row>
    <row r="434" spans="20:36">
      <c r="T434">
        <v>216.067</v>
      </c>
      <c r="U434">
        <v>1.21641387234717</v>
      </c>
      <c r="V434">
        <v>216.067</v>
      </c>
      <c r="W434">
        <v>1.21981521197784</v>
      </c>
      <c r="X434">
        <v>216.067</v>
      </c>
      <c r="Y434">
        <v>1.21154968146666</v>
      </c>
      <c r="Z434">
        <v>216.067</v>
      </c>
      <c r="AA434">
        <v>1.22436026612541</v>
      </c>
      <c r="AB434">
        <v>216.067</v>
      </c>
      <c r="AC434">
        <v>1.22242590632977</v>
      </c>
      <c r="AE434">
        <v>216.067</v>
      </c>
      <c r="AF434">
        <v>-1983.62097062754</v>
      </c>
      <c r="AG434">
        <v>-2090.70268384632</v>
      </c>
      <c r="AH434">
        <v>-1931.63968114415</v>
      </c>
      <c r="AI434">
        <v>-2003.68243882936</v>
      </c>
      <c r="AJ434">
        <v>-2020.7958078417</v>
      </c>
    </row>
    <row r="435" spans="20:36">
      <c r="T435">
        <v>216.566</v>
      </c>
      <c r="U435">
        <v>1.21677187770368</v>
      </c>
      <c r="V435">
        <v>216.566</v>
      </c>
      <c r="W435">
        <v>1.22330588754715</v>
      </c>
      <c r="X435">
        <v>216.566</v>
      </c>
      <c r="Y435">
        <v>1.20949275957796</v>
      </c>
      <c r="Z435">
        <v>216.566</v>
      </c>
      <c r="AA435">
        <v>1.22290638462601</v>
      </c>
      <c r="AB435">
        <v>216.566</v>
      </c>
      <c r="AC435">
        <v>1.20702395637</v>
      </c>
      <c r="AE435">
        <v>216.566</v>
      </c>
      <c r="AF435">
        <v>-1840.15736304652</v>
      </c>
      <c r="AG435">
        <v>-2059.08551790182</v>
      </c>
      <c r="AH435">
        <v>-1863.47835889405</v>
      </c>
      <c r="AI435">
        <v>-2030.2232113649</v>
      </c>
      <c r="AJ435">
        <v>-2011.80005645164</v>
      </c>
    </row>
    <row r="436" spans="20:36">
      <c r="T436">
        <v>217.065</v>
      </c>
      <c r="U436">
        <v>1.22350442973282</v>
      </c>
      <c r="V436">
        <v>217.065</v>
      </c>
      <c r="W436">
        <v>1.22694718983076</v>
      </c>
      <c r="X436">
        <v>217.065</v>
      </c>
      <c r="Y436">
        <v>1.21564135180557</v>
      </c>
      <c r="Z436">
        <v>217.065</v>
      </c>
      <c r="AA436">
        <v>1.22678793760872</v>
      </c>
      <c r="AB436">
        <v>217.065</v>
      </c>
      <c r="AC436">
        <v>1.21391365886811</v>
      </c>
      <c r="AE436">
        <v>217.065</v>
      </c>
      <c r="AF436">
        <v>-1937.11116779553</v>
      </c>
      <c r="AG436">
        <v>-2098.35825023026</v>
      </c>
      <c r="AH436">
        <v>-1879.86393703236</v>
      </c>
      <c r="AI436">
        <v>-1887.04547442947</v>
      </c>
      <c r="AJ436">
        <v>-1958.00974075807</v>
      </c>
    </row>
    <row r="437" spans="20:36">
      <c r="T437">
        <v>217.564</v>
      </c>
      <c r="U437">
        <v>1.21691793993017</v>
      </c>
      <c r="V437">
        <v>217.564</v>
      </c>
      <c r="W437">
        <v>1.21795634720461</v>
      </c>
      <c r="X437">
        <v>217.564</v>
      </c>
      <c r="Y437">
        <v>1.21739131635735</v>
      </c>
      <c r="Z437">
        <v>217.564</v>
      </c>
      <c r="AA437">
        <v>1.22671421714125</v>
      </c>
      <c r="AB437">
        <v>217.564</v>
      </c>
      <c r="AC437">
        <v>1.20929667163595</v>
      </c>
      <c r="AE437">
        <v>217.564</v>
      </c>
      <c r="AF437">
        <v>-2000.98042822451</v>
      </c>
      <c r="AG437">
        <v>-2021.13480663449</v>
      </c>
      <c r="AH437">
        <v>-1984.9454844869</v>
      </c>
      <c r="AI437">
        <v>-1919.31135040181</v>
      </c>
      <c r="AJ437">
        <v>-1890.95270125653</v>
      </c>
    </row>
    <row r="438" spans="20:36">
      <c r="T438">
        <v>218.063</v>
      </c>
      <c r="U438">
        <v>1.21501271469309</v>
      </c>
      <c r="V438">
        <v>218.063</v>
      </c>
      <c r="W438">
        <v>1.2174091185832</v>
      </c>
      <c r="X438">
        <v>218.063</v>
      </c>
      <c r="Y438">
        <v>1.2084326373756</v>
      </c>
      <c r="Z438">
        <v>218.063</v>
      </c>
      <c r="AA438">
        <v>1.23224287540522</v>
      </c>
      <c r="AB438">
        <v>218.063</v>
      </c>
      <c r="AC438">
        <v>1.21520979373566</v>
      </c>
      <c r="AE438">
        <v>218.063</v>
      </c>
      <c r="AF438">
        <v>-1996.93081285145</v>
      </c>
      <c r="AG438">
        <v>-1950.61978980841</v>
      </c>
      <c r="AH438">
        <v>-1870.55821543495</v>
      </c>
      <c r="AI438">
        <v>-2028.45103600158</v>
      </c>
      <c r="AJ438">
        <v>-1935.8335664975</v>
      </c>
    </row>
    <row r="439" spans="20:36">
      <c r="T439">
        <v>218.562</v>
      </c>
      <c r="U439">
        <v>1.21850401518319</v>
      </c>
      <c r="V439">
        <v>218.562</v>
      </c>
      <c r="W439">
        <v>1.21373940778745</v>
      </c>
      <c r="X439">
        <v>218.562</v>
      </c>
      <c r="Y439">
        <v>1.22075346294775</v>
      </c>
      <c r="Z439">
        <v>218.562</v>
      </c>
      <c r="AA439">
        <v>1.23189984770438</v>
      </c>
      <c r="AB439">
        <v>218.562</v>
      </c>
      <c r="AC439">
        <v>1.20602038388631</v>
      </c>
      <c r="AE439">
        <v>218.562</v>
      </c>
      <c r="AF439">
        <v>-2064.22256999093</v>
      </c>
      <c r="AG439">
        <v>-2086.22747747848</v>
      </c>
      <c r="AH439">
        <v>-1951.31860302884</v>
      </c>
      <c r="AI439">
        <v>-2069.95006500167</v>
      </c>
      <c r="AJ439">
        <v>-1884.422870221</v>
      </c>
    </row>
    <row r="440" spans="20:36">
      <c r="T440">
        <v>219.061</v>
      </c>
      <c r="U440">
        <v>1.22903307515165</v>
      </c>
      <c r="V440">
        <v>219.061</v>
      </c>
      <c r="W440">
        <v>1.2111793992773</v>
      </c>
      <c r="X440">
        <v>219.061</v>
      </c>
      <c r="Y440">
        <v>1.22359181685656</v>
      </c>
      <c r="Z440">
        <v>219.061</v>
      </c>
      <c r="AA440">
        <v>1.22609223765514</v>
      </c>
      <c r="AB440">
        <v>219.061</v>
      </c>
      <c r="AC440">
        <v>1.20662468862779</v>
      </c>
      <c r="AE440">
        <v>219.061</v>
      </c>
      <c r="AF440">
        <v>-2009.01469417222</v>
      </c>
      <c r="AG440">
        <v>-2151.21049556782</v>
      </c>
      <c r="AH440">
        <v>-1971.73408842927</v>
      </c>
      <c r="AI440">
        <v>-1953.03929905696</v>
      </c>
      <c r="AJ440">
        <v>-2003.03086612582</v>
      </c>
    </row>
    <row r="441" spans="20:36">
      <c r="T441">
        <v>219.56</v>
      </c>
      <c r="U441">
        <v>1.220234711851</v>
      </c>
      <c r="V441">
        <v>219.56</v>
      </c>
      <c r="W441">
        <v>1.21043666573476</v>
      </c>
      <c r="X441">
        <v>219.56</v>
      </c>
      <c r="Y441">
        <v>1.21712954982283</v>
      </c>
      <c r="Z441">
        <v>219.56</v>
      </c>
      <c r="AA441">
        <v>1.22275779854786</v>
      </c>
      <c r="AB441">
        <v>219.56</v>
      </c>
      <c r="AC441">
        <v>1.2000803207318</v>
      </c>
      <c r="AE441">
        <v>219.56</v>
      </c>
      <c r="AF441">
        <v>-1939.12978295744</v>
      </c>
      <c r="AG441">
        <v>-2097.38335598278</v>
      </c>
      <c r="AH441">
        <v>-1970.03779082211</v>
      </c>
      <c r="AI441">
        <v>-1901.62820377404</v>
      </c>
      <c r="AJ441">
        <v>-1904.13004081628</v>
      </c>
    </row>
    <row r="442" spans="20:36">
      <c r="T442">
        <v>220.059</v>
      </c>
      <c r="U442">
        <v>1.21541873294278</v>
      </c>
      <c r="V442">
        <v>220.059</v>
      </c>
      <c r="W442">
        <v>1.21526031937833</v>
      </c>
      <c r="X442">
        <v>220.059</v>
      </c>
      <c r="Y442">
        <v>1.21215038603581</v>
      </c>
      <c r="Z442">
        <v>220.059</v>
      </c>
      <c r="AA442">
        <v>1.22498744009758</v>
      </c>
      <c r="AB442">
        <v>220.059</v>
      </c>
      <c r="AC442">
        <v>1.20317233817602</v>
      </c>
      <c r="AE442">
        <v>220.059</v>
      </c>
      <c r="AF442">
        <v>-1959.00251619909</v>
      </c>
      <c r="AG442">
        <v>-1934.55578029219</v>
      </c>
      <c r="AH442">
        <v>-1871.2746795596</v>
      </c>
      <c r="AI442">
        <v>-1997.2464140615</v>
      </c>
      <c r="AJ442">
        <v>-1866.00608641858</v>
      </c>
    </row>
    <row r="443" spans="20:36">
      <c r="T443">
        <v>220.558</v>
      </c>
      <c r="U443">
        <v>1.22150585395583</v>
      </c>
      <c r="V443">
        <v>220.558</v>
      </c>
      <c r="W443">
        <v>1.2148046849286</v>
      </c>
      <c r="X443">
        <v>220.558</v>
      </c>
      <c r="Y443">
        <v>1.21585646133816</v>
      </c>
      <c r="Z443">
        <v>220.558</v>
      </c>
      <c r="AA443">
        <v>1.22681537895747</v>
      </c>
      <c r="AB443">
        <v>220.558</v>
      </c>
      <c r="AC443">
        <v>1.20121559539068</v>
      </c>
      <c r="AE443">
        <v>220.558</v>
      </c>
      <c r="AF443">
        <v>-2033.24504463819</v>
      </c>
      <c r="AG443">
        <v>-1985.02777116132</v>
      </c>
      <c r="AH443">
        <v>-1920.1116991669</v>
      </c>
      <c r="AI443">
        <v>-1985.84100447505</v>
      </c>
      <c r="AJ443">
        <v>-1861.10327160239</v>
      </c>
    </row>
    <row r="444" spans="20:36">
      <c r="T444">
        <v>221.057</v>
      </c>
      <c r="U444">
        <v>1.22505507042341</v>
      </c>
      <c r="V444">
        <v>221.057</v>
      </c>
      <c r="W444">
        <v>1.22144580870899</v>
      </c>
      <c r="X444">
        <v>221.057</v>
      </c>
      <c r="Y444">
        <v>1.21145217526509</v>
      </c>
      <c r="Z444">
        <v>221.057</v>
      </c>
      <c r="AA444">
        <v>1.2205402483698</v>
      </c>
      <c r="AB444">
        <v>221.057</v>
      </c>
      <c r="AC444">
        <v>1.2089970360299</v>
      </c>
      <c r="AE444">
        <v>221.057</v>
      </c>
      <c r="AF444">
        <v>-2087.28152619885</v>
      </c>
      <c r="AG444">
        <v>-2129.9477804906</v>
      </c>
      <c r="AH444">
        <v>-1848.70216323749</v>
      </c>
      <c r="AI444">
        <v>-1898.62042664263</v>
      </c>
      <c r="AJ444">
        <v>-1939.69163953391</v>
      </c>
    </row>
    <row r="445" spans="20:36">
      <c r="T445">
        <v>221.556</v>
      </c>
      <c r="U445">
        <v>1.22096128538749</v>
      </c>
      <c r="V445">
        <v>221.556</v>
      </c>
      <c r="W445">
        <v>1.21828795775732</v>
      </c>
      <c r="X445">
        <v>221.556</v>
      </c>
      <c r="Y445">
        <v>1.21824366496241</v>
      </c>
      <c r="Z445">
        <v>221.556</v>
      </c>
      <c r="AA445">
        <v>1.22013333816056</v>
      </c>
      <c r="AB445">
        <v>221.556</v>
      </c>
      <c r="AC445">
        <v>1.21408818791909</v>
      </c>
      <c r="AE445">
        <v>221.556</v>
      </c>
      <c r="AF445">
        <v>-2058.10636124569</v>
      </c>
      <c r="AG445">
        <v>-2079.82386565112</v>
      </c>
      <c r="AH445">
        <v>-1963.18690502169</v>
      </c>
      <c r="AI445">
        <v>-1832.16621030662</v>
      </c>
      <c r="AJ445">
        <v>-2064.9357468518</v>
      </c>
    </row>
    <row r="446" spans="20:36">
      <c r="T446">
        <v>222.055</v>
      </c>
      <c r="U446">
        <v>1.2239878736773</v>
      </c>
      <c r="V446">
        <v>222.055</v>
      </c>
      <c r="W446">
        <v>1.22100835066006</v>
      </c>
      <c r="X446">
        <v>222.055</v>
      </c>
      <c r="Y446">
        <v>1.21023144847687</v>
      </c>
      <c r="Z446">
        <v>222.055</v>
      </c>
      <c r="AA446">
        <v>1.22554513252158</v>
      </c>
      <c r="AB446">
        <v>222.055</v>
      </c>
      <c r="AC446">
        <v>1.2095321769656</v>
      </c>
      <c r="AE446">
        <v>222.055</v>
      </c>
      <c r="AF446">
        <v>-1925.51887244253</v>
      </c>
      <c r="AG446">
        <v>-2104.91235118495</v>
      </c>
      <c r="AH446">
        <v>-1979.65985780997</v>
      </c>
      <c r="AI446">
        <v>-1861.12025358264</v>
      </c>
      <c r="AJ446">
        <v>-1991.27092549659</v>
      </c>
    </row>
    <row r="447" spans="20:36">
      <c r="T447">
        <v>222.554</v>
      </c>
      <c r="U447">
        <v>1.22561170187446</v>
      </c>
      <c r="V447">
        <v>222.554</v>
      </c>
      <c r="W447">
        <v>1.22737745399231</v>
      </c>
      <c r="X447">
        <v>222.554</v>
      </c>
      <c r="Y447">
        <v>1.21856067916651</v>
      </c>
      <c r="Z447">
        <v>222.554</v>
      </c>
      <c r="AA447">
        <v>1.23094369881286</v>
      </c>
      <c r="AB447">
        <v>222.554</v>
      </c>
      <c r="AC447">
        <v>1.20173714335507</v>
      </c>
      <c r="AE447">
        <v>222.554</v>
      </c>
      <c r="AF447">
        <v>-1982.18968663514</v>
      </c>
      <c r="AG447">
        <v>-1993.73403279671</v>
      </c>
      <c r="AH447">
        <v>-2028.64546512366</v>
      </c>
      <c r="AI447">
        <v>-2079.15937756094</v>
      </c>
      <c r="AJ447">
        <v>-1839.42111832663</v>
      </c>
    </row>
    <row r="448" spans="20:36">
      <c r="T448">
        <v>223.053</v>
      </c>
      <c r="U448">
        <v>1.22104441189725</v>
      </c>
      <c r="V448">
        <v>223.053</v>
      </c>
      <c r="W448">
        <v>1.22148730369705</v>
      </c>
      <c r="X448">
        <v>223.053</v>
      </c>
      <c r="Y448">
        <v>1.21853052990763</v>
      </c>
      <c r="Z448">
        <v>223.053</v>
      </c>
      <c r="AA448">
        <v>1.23052535638507</v>
      </c>
      <c r="AB448">
        <v>223.053</v>
      </c>
      <c r="AC448">
        <v>1.20856886789316</v>
      </c>
      <c r="AE448">
        <v>223.053</v>
      </c>
      <c r="AF448">
        <v>-1993.19239297341</v>
      </c>
      <c r="AG448">
        <v>-2150.85992666228</v>
      </c>
      <c r="AH448">
        <v>-1925.51227304431</v>
      </c>
      <c r="AI448">
        <v>-2027.513592224</v>
      </c>
      <c r="AJ448">
        <v>-1974.3288168013</v>
      </c>
    </row>
    <row r="449" spans="20:36">
      <c r="T449">
        <v>223.552</v>
      </c>
      <c r="U449">
        <v>1.22343840601707</v>
      </c>
      <c r="V449">
        <v>223.552</v>
      </c>
      <c r="W449">
        <v>1.22239805922308</v>
      </c>
      <c r="X449">
        <v>223.552</v>
      </c>
      <c r="Y449">
        <v>1.21046700163055</v>
      </c>
      <c r="Z449">
        <v>223.552</v>
      </c>
      <c r="AA449">
        <v>1.22843941921457</v>
      </c>
      <c r="AB449">
        <v>223.552</v>
      </c>
      <c r="AC449">
        <v>1.20751577846304</v>
      </c>
      <c r="AE449">
        <v>223.552</v>
      </c>
      <c r="AF449">
        <v>-1995.89730773663</v>
      </c>
      <c r="AG449">
        <v>-2107.21760016155</v>
      </c>
      <c r="AH449">
        <v>-1886.73178663838</v>
      </c>
      <c r="AI449">
        <v>-1919.94293932602</v>
      </c>
      <c r="AJ449">
        <v>-2074.1344920703</v>
      </c>
    </row>
    <row r="450" spans="20:36">
      <c r="T450">
        <v>224.051</v>
      </c>
      <c r="U450">
        <v>1.22939866756072</v>
      </c>
      <c r="V450">
        <v>224.051</v>
      </c>
      <c r="W450">
        <v>1.22232278161317</v>
      </c>
      <c r="X450">
        <v>224.051</v>
      </c>
      <c r="Y450">
        <v>1.21314823158035</v>
      </c>
      <c r="Z450">
        <v>224.051</v>
      </c>
      <c r="AA450">
        <v>1.23183254558858</v>
      </c>
      <c r="AB450">
        <v>224.051</v>
      </c>
      <c r="AC450">
        <v>1.20622606412174</v>
      </c>
      <c r="AE450">
        <v>224.051</v>
      </c>
      <c r="AF450">
        <v>-1963.19254041022</v>
      </c>
      <c r="AG450">
        <v>-2073.12575942133</v>
      </c>
      <c r="AH450">
        <v>-1904.17201095114</v>
      </c>
      <c r="AI450">
        <v>-1935.55761884836</v>
      </c>
      <c r="AJ450">
        <v>-1995.9352812151</v>
      </c>
    </row>
    <row r="451" spans="20:36">
      <c r="T451">
        <v>224.55</v>
      </c>
      <c r="U451">
        <v>1.22013390226851</v>
      </c>
      <c r="V451">
        <v>224.55</v>
      </c>
      <c r="W451">
        <v>1.22246658027873</v>
      </c>
      <c r="X451">
        <v>224.55</v>
      </c>
      <c r="Y451">
        <v>1.2129407397803</v>
      </c>
      <c r="Z451">
        <v>224.55</v>
      </c>
      <c r="AA451">
        <v>1.23063928613313</v>
      </c>
      <c r="AB451">
        <v>224.55</v>
      </c>
      <c r="AC451">
        <v>1.2074241952658</v>
      </c>
      <c r="AE451">
        <v>224.55</v>
      </c>
      <c r="AF451">
        <v>-2063.2683143297</v>
      </c>
      <c r="AG451">
        <v>-2075.208846282</v>
      </c>
      <c r="AH451">
        <v>-1957.37742340658</v>
      </c>
      <c r="AI451">
        <v>-2056.77431766459</v>
      </c>
      <c r="AJ451">
        <v>-1871.44294702002</v>
      </c>
    </row>
    <row r="452" spans="20:36">
      <c r="T452">
        <v>225.049</v>
      </c>
      <c r="U452">
        <v>1.22735439362212</v>
      </c>
      <c r="V452">
        <v>225.049</v>
      </c>
      <c r="W452">
        <v>1.21933068027232</v>
      </c>
      <c r="X452">
        <v>225.049</v>
      </c>
      <c r="Y452">
        <v>1.21414122856535</v>
      </c>
      <c r="Z452">
        <v>225.049</v>
      </c>
      <c r="AA452">
        <v>1.23357984868685</v>
      </c>
      <c r="AB452">
        <v>225.049</v>
      </c>
      <c r="AC452">
        <v>1.21508210624401</v>
      </c>
      <c r="AE452">
        <v>225.049</v>
      </c>
      <c r="AF452">
        <v>-2098.2764780207</v>
      </c>
      <c r="AG452">
        <v>-2061.84273962357</v>
      </c>
      <c r="AH452">
        <v>-1993.82266301142</v>
      </c>
      <c r="AI452">
        <v>-2103.99340115396</v>
      </c>
      <c r="AJ452">
        <v>-1944.3302005649</v>
      </c>
    </row>
    <row r="453" spans="20:36">
      <c r="T453">
        <v>225.548</v>
      </c>
      <c r="U453">
        <v>1.23056896914707</v>
      </c>
      <c r="V453">
        <v>225.548</v>
      </c>
      <c r="W453">
        <v>1.22566104739332</v>
      </c>
      <c r="X453">
        <v>225.548</v>
      </c>
      <c r="Y453">
        <v>1.21740804781041</v>
      </c>
      <c r="Z453">
        <v>225.548</v>
      </c>
      <c r="AA453">
        <v>1.22041656346616</v>
      </c>
      <c r="AB453">
        <v>225.548</v>
      </c>
      <c r="AC453">
        <v>1.21390432397559</v>
      </c>
      <c r="AE453">
        <v>225.548</v>
      </c>
      <c r="AF453">
        <v>-2046.52241598001</v>
      </c>
      <c r="AG453">
        <v>-2082.85942586719</v>
      </c>
      <c r="AH453">
        <v>-1913.2411997347</v>
      </c>
      <c r="AI453">
        <v>-1869.39756214367</v>
      </c>
      <c r="AJ453">
        <v>-1941.42401799062</v>
      </c>
    </row>
    <row r="454" spans="20:36">
      <c r="T454">
        <v>226.047</v>
      </c>
      <c r="U454">
        <v>1.2280679806669</v>
      </c>
      <c r="V454">
        <v>226.047</v>
      </c>
      <c r="W454">
        <v>1.22428902318184</v>
      </c>
      <c r="X454">
        <v>226.047</v>
      </c>
      <c r="Y454">
        <v>1.20718236990534</v>
      </c>
      <c r="Z454">
        <v>226.047</v>
      </c>
      <c r="AA454">
        <v>1.23474276665937</v>
      </c>
      <c r="AB454">
        <v>226.047</v>
      </c>
      <c r="AC454">
        <v>1.20600661855567</v>
      </c>
      <c r="AE454">
        <v>226.047</v>
      </c>
      <c r="AF454">
        <v>-1996.43209099489</v>
      </c>
      <c r="AG454">
        <v>-2086.09277536724</v>
      </c>
      <c r="AH454">
        <v>-1816.74280909539</v>
      </c>
      <c r="AI454">
        <v>-1915.24362786201</v>
      </c>
      <c r="AJ454">
        <v>-1994.71987998399</v>
      </c>
    </row>
    <row r="455" spans="20:36">
      <c r="T455">
        <v>226.546</v>
      </c>
      <c r="U455">
        <v>1.2224850050332</v>
      </c>
      <c r="V455">
        <v>226.546</v>
      </c>
      <c r="W455">
        <v>1.22440421893982</v>
      </c>
      <c r="X455">
        <v>226.546</v>
      </c>
      <c r="Y455">
        <v>1.20948825624409</v>
      </c>
      <c r="Z455">
        <v>226.546</v>
      </c>
      <c r="AA455">
        <v>1.23343133321856</v>
      </c>
      <c r="AB455">
        <v>226.546</v>
      </c>
      <c r="AC455">
        <v>1.20586227537053</v>
      </c>
      <c r="AE455">
        <v>226.546</v>
      </c>
      <c r="AF455">
        <v>-1999.47501589004</v>
      </c>
      <c r="AG455">
        <v>-2155.00421598265</v>
      </c>
      <c r="AH455">
        <v>-1908.59797661095</v>
      </c>
      <c r="AI455">
        <v>-2002.97828275169</v>
      </c>
      <c r="AJ455">
        <v>-2003.04531254322</v>
      </c>
    </row>
    <row r="456" spans="20:36">
      <c r="T456">
        <v>227.045</v>
      </c>
      <c r="U456">
        <v>1.22539795517052</v>
      </c>
      <c r="V456">
        <v>227.045</v>
      </c>
      <c r="W456">
        <v>1.23013406260505</v>
      </c>
      <c r="X456">
        <v>227.045</v>
      </c>
      <c r="Y456">
        <v>1.22287024352248</v>
      </c>
      <c r="Z456">
        <v>227.045</v>
      </c>
      <c r="AA456">
        <v>1.23132348962764</v>
      </c>
      <c r="AB456">
        <v>227.045</v>
      </c>
      <c r="AC456">
        <v>1.20345568234194</v>
      </c>
      <c r="AE456">
        <v>227.045</v>
      </c>
      <c r="AF456">
        <v>-2009.62417712529</v>
      </c>
      <c r="AG456">
        <v>-2156.98453996075</v>
      </c>
      <c r="AH456">
        <v>-2078.04046545415</v>
      </c>
      <c r="AI456">
        <v>-2066.89647357974</v>
      </c>
      <c r="AJ456">
        <v>-1865.64866485801</v>
      </c>
    </row>
    <row r="457" spans="20:36">
      <c r="T457">
        <v>227.544</v>
      </c>
      <c r="U457">
        <v>1.23153579256006</v>
      </c>
      <c r="V457">
        <v>227.544</v>
      </c>
      <c r="W457">
        <v>1.21841412837131</v>
      </c>
      <c r="X457">
        <v>227.544</v>
      </c>
      <c r="Y457">
        <v>1.21461732870558</v>
      </c>
      <c r="Z457">
        <v>227.544</v>
      </c>
      <c r="AA457">
        <v>1.22955569048366</v>
      </c>
      <c r="AB457">
        <v>227.544</v>
      </c>
      <c r="AC457">
        <v>1.21284127573131</v>
      </c>
      <c r="AE457">
        <v>227.544</v>
      </c>
      <c r="AF457">
        <v>-2037.55157000202</v>
      </c>
      <c r="AG457">
        <v>-1967.67181074697</v>
      </c>
      <c r="AH457">
        <v>-1964.57689085523</v>
      </c>
      <c r="AI457">
        <v>-2009.63305956419</v>
      </c>
      <c r="AJ457">
        <v>-1904.80108912585</v>
      </c>
    </row>
    <row r="458" spans="20:36">
      <c r="T458">
        <v>228.043</v>
      </c>
      <c r="U458">
        <v>1.22257330542929</v>
      </c>
      <c r="V458">
        <v>228.043</v>
      </c>
      <c r="W458">
        <v>1.22667926471174</v>
      </c>
      <c r="X458">
        <v>228.043</v>
      </c>
      <c r="Y458">
        <v>1.2083731697126</v>
      </c>
      <c r="Z458">
        <v>228.043</v>
      </c>
      <c r="AA458">
        <v>1.23055997950033</v>
      </c>
      <c r="AB458">
        <v>228.043</v>
      </c>
      <c r="AC458">
        <v>1.21658467496357</v>
      </c>
      <c r="AE458">
        <v>228.043</v>
      </c>
      <c r="AF458">
        <v>-2109.03680941545</v>
      </c>
      <c r="AG458">
        <v>-2160.44775619861</v>
      </c>
      <c r="AH458">
        <v>-1829.45590937018</v>
      </c>
      <c r="AI458">
        <v>-1894.53837349186</v>
      </c>
      <c r="AJ458">
        <v>-2038.22487833074</v>
      </c>
    </row>
    <row r="459" spans="20:36">
      <c r="T459">
        <v>228.542</v>
      </c>
      <c r="U459">
        <v>1.22026921109669</v>
      </c>
      <c r="V459">
        <v>228.542</v>
      </c>
      <c r="W459">
        <v>1.22275379930644</v>
      </c>
      <c r="X459">
        <v>228.542</v>
      </c>
      <c r="Y459">
        <v>1.2219222470498</v>
      </c>
      <c r="Z459">
        <v>228.542</v>
      </c>
      <c r="AA459">
        <v>1.22869416520637</v>
      </c>
      <c r="AB459">
        <v>228.542</v>
      </c>
      <c r="AC459">
        <v>1.2108472474724</v>
      </c>
      <c r="AE459">
        <v>228.542</v>
      </c>
      <c r="AF459">
        <v>-2036.74531171422</v>
      </c>
      <c r="AG459">
        <v>-2222.3704296475</v>
      </c>
      <c r="AH459">
        <v>-1985.12233349043</v>
      </c>
      <c r="AI459">
        <v>-1922.93655831862</v>
      </c>
      <c r="AJ459">
        <v>-1957.90383775381</v>
      </c>
    </row>
    <row r="460" spans="20:36">
      <c r="T460">
        <v>229.041</v>
      </c>
      <c r="U460">
        <v>1.22418954761487</v>
      </c>
      <c r="V460">
        <v>229.041</v>
      </c>
      <c r="W460">
        <v>1.22366474335051</v>
      </c>
      <c r="X460">
        <v>229.041</v>
      </c>
      <c r="Y460">
        <v>1.2137164908957</v>
      </c>
      <c r="Z460">
        <v>229.041</v>
      </c>
      <c r="AA460">
        <v>1.23440827050109</v>
      </c>
      <c r="AB460">
        <v>229.041</v>
      </c>
      <c r="AC460">
        <v>1.20958009408343</v>
      </c>
      <c r="AE460">
        <v>229.041</v>
      </c>
      <c r="AF460">
        <v>-1928.13565340046</v>
      </c>
      <c r="AG460">
        <v>-2099.35032823801</v>
      </c>
      <c r="AH460">
        <v>-2046.87853849836</v>
      </c>
      <c r="AI460">
        <v>-2005.41059452895</v>
      </c>
      <c r="AJ460">
        <v>-1958.9303584504</v>
      </c>
    </row>
    <row r="461" spans="20:36">
      <c r="T461">
        <v>229.54</v>
      </c>
      <c r="U461">
        <v>1.22181382488883</v>
      </c>
      <c r="V461">
        <v>229.54</v>
      </c>
      <c r="W461">
        <v>1.22950765388325</v>
      </c>
      <c r="X461">
        <v>229.54</v>
      </c>
      <c r="Y461">
        <v>1.21450653717624</v>
      </c>
      <c r="Z461">
        <v>229.54</v>
      </c>
      <c r="AA461">
        <v>1.23782630380891</v>
      </c>
      <c r="AB461">
        <v>229.54</v>
      </c>
      <c r="AC461">
        <v>1.21279458977217</v>
      </c>
      <c r="AE461">
        <v>229.54</v>
      </c>
      <c r="AF461">
        <v>-1903.502662665</v>
      </c>
      <c r="AG461">
        <v>-2038.58694059573</v>
      </c>
      <c r="AH461">
        <v>-1964.49091051375</v>
      </c>
      <c r="AI461">
        <v>-2119.47294385352</v>
      </c>
      <c r="AJ461">
        <v>-1891.7621750056</v>
      </c>
    </row>
    <row r="462" spans="20:36">
      <c r="T462">
        <v>230.039</v>
      </c>
      <c r="U462">
        <v>1.22642793025047</v>
      </c>
      <c r="V462">
        <v>230.039</v>
      </c>
      <c r="W462">
        <v>1.22686941135083</v>
      </c>
      <c r="X462">
        <v>230.039</v>
      </c>
      <c r="Y462">
        <v>1.2100343433268</v>
      </c>
      <c r="Z462">
        <v>230.039</v>
      </c>
      <c r="AA462">
        <v>1.23505855506091</v>
      </c>
      <c r="AB462">
        <v>230.039</v>
      </c>
      <c r="AC462">
        <v>1.21268638780839</v>
      </c>
      <c r="AE462">
        <v>230.039</v>
      </c>
      <c r="AF462">
        <v>-2052.25336130899</v>
      </c>
      <c r="AG462">
        <v>-1925.25400430304</v>
      </c>
      <c r="AH462">
        <v>-1807.86716776589</v>
      </c>
      <c r="AI462">
        <v>-2139.97154867013</v>
      </c>
      <c r="AJ462">
        <v>-1935.14058470069</v>
      </c>
    </row>
    <row r="463" spans="20:36">
      <c r="T463">
        <v>230.538</v>
      </c>
      <c r="U463">
        <v>1.21839185050091</v>
      </c>
      <c r="V463">
        <v>230.538</v>
      </c>
      <c r="W463">
        <v>1.23137782428932</v>
      </c>
      <c r="X463">
        <v>230.538</v>
      </c>
      <c r="Y463">
        <v>1.20928522083583</v>
      </c>
      <c r="Z463">
        <v>230.538</v>
      </c>
      <c r="AA463">
        <v>1.22267388869473</v>
      </c>
      <c r="AB463">
        <v>230.538</v>
      </c>
      <c r="AC463">
        <v>1.20788071578242</v>
      </c>
      <c r="AE463">
        <v>230.538</v>
      </c>
      <c r="AF463">
        <v>-2099.15028285156</v>
      </c>
      <c r="AG463">
        <v>-2091.20554747514</v>
      </c>
      <c r="AH463">
        <v>-1847.91589987356</v>
      </c>
      <c r="AI463">
        <v>-2002.06275749609</v>
      </c>
      <c r="AJ463">
        <v>-1934.57296268658</v>
      </c>
    </row>
    <row r="464" spans="20:36">
      <c r="T464">
        <v>231.037</v>
      </c>
      <c r="U464">
        <v>1.23242756301057</v>
      </c>
      <c r="V464">
        <v>231.037</v>
      </c>
      <c r="W464">
        <v>1.23076764361005</v>
      </c>
      <c r="X464">
        <v>231.037</v>
      </c>
      <c r="Y464">
        <v>1.21586056869679</v>
      </c>
      <c r="Z464">
        <v>231.037</v>
      </c>
      <c r="AA464">
        <v>1.2275785078956</v>
      </c>
      <c r="AB464">
        <v>231.037</v>
      </c>
      <c r="AC464">
        <v>1.21269425157165</v>
      </c>
      <c r="AE464">
        <v>231.037</v>
      </c>
      <c r="AF464">
        <v>-2113.97816137358</v>
      </c>
      <c r="AG464">
        <v>-2236.30889010851</v>
      </c>
      <c r="AH464">
        <v>-2018.43445280731</v>
      </c>
      <c r="AI464">
        <v>-1820.73441534273</v>
      </c>
      <c r="AJ464">
        <v>-1975.29208319848</v>
      </c>
    </row>
    <row r="465" spans="20:36">
      <c r="T465">
        <v>231.536</v>
      </c>
      <c r="U465">
        <v>1.22740218997733</v>
      </c>
      <c r="V465">
        <v>231.536</v>
      </c>
      <c r="W465">
        <v>1.22347125762032</v>
      </c>
      <c r="X465">
        <v>231.536</v>
      </c>
      <c r="Y465">
        <v>1.21226072158577</v>
      </c>
      <c r="Z465">
        <v>231.536</v>
      </c>
      <c r="AA465">
        <v>1.22204549830039</v>
      </c>
      <c r="AB465">
        <v>231.536</v>
      </c>
      <c r="AC465">
        <v>1.2105968926251</v>
      </c>
      <c r="AE465">
        <v>231.536</v>
      </c>
      <c r="AF465">
        <v>-1993.95369845434</v>
      </c>
      <c r="AG465">
        <v>-2117.81012105748</v>
      </c>
      <c r="AH465">
        <v>-2086.95429627481</v>
      </c>
      <c r="AI465">
        <v>-1878.20956757947</v>
      </c>
      <c r="AJ465">
        <v>-1971.01989413519</v>
      </c>
    </row>
    <row r="466" spans="20:36">
      <c r="T466">
        <v>232.035</v>
      </c>
      <c r="U466">
        <v>1.22467484534576</v>
      </c>
      <c r="V466">
        <v>232.035</v>
      </c>
      <c r="W466">
        <v>1.22240542734122</v>
      </c>
      <c r="X466">
        <v>232.035</v>
      </c>
      <c r="Y466">
        <v>1.21092330236237</v>
      </c>
      <c r="Z466">
        <v>232.035</v>
      </c>
      <c r="AA466">
        <v>1.21609782264926</v>
      </c>
      <c r="AB466">
        <v>232.035</v>
      </c>
      <c r="AC466">
        <v>1.21508038270805</v>
      </c>
      <c r="AE466">
        <v>232.035</v>
      </c>
      <c r="AF466">
        <v>-1964.06436360925</v>
      </c>
      <c r="AG466">
        <v>-2009.01658242633</v>
      </c>
      <c r="AH466">
        <v>-1864.45688562111</v>
      </c>
      <c r="AI466">
        <v>-2000.78480450289</v>
      </c>
      <c r="AJ466">
        <v>-2017.19104904832</v>
      </c>
    </row>
    <row r="467" spans="20:36">
      <c r="T467">
        <v>232.534</v>
      </c>
      <c r="U467">
        <v>1.22280709728659</v>
      </c>
      <c r="V467">
        <v>232.534</v>
      </c>
      <c r="W467">
        <v>1.22153817760799</v>
      </c>
      <c r="X467">
        <v>232.534</v>
      </c>
      <c r="Y467">
        <v>1.20245024886602</v>
      </c>
      <c r="Z467">
        <v>232.534</v>
      </c>
      <c r="AA467">
        <v>1.22602553710927</v>
      </c>
      <c r="AB467">
        <v>232.534</v>
      </c>
      <c r="AC467">
        <v>1.21610293316447</v>
      </c>
      <c r="AE467">
        <v>232.534</v>
      </c>
      <c r="AF467">
        <v>-1999.66957964214</v>
      </c>
      <c r="AG467">
        <v>-1943.06334939411</v>
      </c>
      <c r="AH467">
        <v>-1778.71456323337</v>
      </c>
      <c r="AI467">
        <v>-2099.24531675654</v>
      </c>
      <c r="AJ467">
        <v>-2000.15995164483</v>
      </c>
    </row>
    <row r="468" spans="20:36">
      <c r="T468">
        <v>233.033</v>
      </c>
      <c r="U468">
        <v>1.2222020409134</v>
      </c>
      <c r="V468">
        <v>233.033</v>
      </c>
      <c r="W468">
        <v>1.23068832962277</v>
      </c>
      <c r="X468">
        <v>233.033</v>
      </c>
      <c r="Y468">
        <v>1.20987086420926</v>
      </c>
      <c r="Z468">
        <v>233.033</v>
      </c>
      <c r="AA468">
        <v>1.22074018642101</v>
      </c>
      <c r="AB468">
        <v>233.033</v>
      </c>
      <c r="AC468">
        <v>1.21392007439038</v>
      </c>
      <c r="AE468">
        <v>233.033</v>
      </c>
      <c r="AF468">
        <v>-2054.98052898774</v>
      </c>
      <c r="AG468">
        <v>-2081.71609959183</v>
      </c>
      <c r="AH468">
        <v>-1901.23136879537</v>
      </c>
      <c r="AI468">
        <v>-1875.82091771138</v>
      </c>
      <c r="AJ468">
        <v>-1961.54514877652</v>
      </c>
    </row>
    <row r="469" spans="20:36">
      <c r="T469">
        <v>233.532</v>
      </c>
      <c r="U469">
        <v>1.22843392935288</v>
      </c>
      <c r="V469">
        <v>233.532</v>
      </c>
      <c r="W469">
        <v>1.22747240593595</v>
      </c>
      <c r="X469">
        <v>233.532</v>
      </c>
      <c r="Y469">
        <v>1.21171506481597</v>
      </c>
      <c r="Z469">
        <v>233.532</v>
      </c>
      <c r="AA469">
        <v>1.22272160860443</v>
      </c>
      <c r="AB469">
        <v>233.532</v>
      </c>
      <c r="AC469">
        <v>1.21265538178614</v>
      </c>
      <c r="AE469">
        <v>233.532</v>
      </c>
      <c r="AF469">
        <v>-2044.65446509528</v>
      </c>
      <c r="AG469">
        <v>-2232.48092310031</v>
      </c>
      <c r="AH469">
        <v>-2064.56568992696</v>
      </c>
      <c r="AI469">
        <v>-1824.422118357</v>
      </c>
      <c r="AJ469">
        <v>-1954.85406385513</v>
      </c>
    </row>
    <row r="470" spans="20:36">
      <c r="T470">
        <v>234.031</v>
      </c>
      <c r="U470">
        <v>1.22826213550285</v>
      </c>
      <c r="V470">
        <v>234.031</v>
      </c>
      <c r="W470">
        <v>1.22783127826306</v>
      </c>
      <c r="X470">
        <v>234.031</v>
      </c>
      <c r="Y470">
        <v>1.21050873416201</v>
      </c>
      <c r="Z470">
        <v>234.031</v>
      </c>
      <c r="AA470">
        <v>1.22579402916018</v>
      </c>
      <c r="AB470">
        <v>234.031</v>
      </c>
      <c r="AC470">
        <v>1.22222835039971</v>
      </c>
      <c r="AE470">
        <v>234.031</v>
      </c>
      <c r="AF470">
        <v>-1977.73165174863</v>
      </c>
      <c r="AG470">
        <v>-2121.22806473774</v>
      </c>
      <c r="AH470">
        <v>-1964.40613058399</v>
      </c>
      <c r="AI470">
        <v>-2005.94009290558</v>
      </c>
      <c r="AJ470">
        <v>-1973.4852138377</v>
      </c>
    </row>
    <row r="471" spans="20:36">
      <c r="T471">
        <v>234.53</v>
      </c>
      <c r="U471">
        <v>1.23041649876921</v>
      </c>
      <c r="V471">
        <v>234.53</v>
      </c>
      <c r="W471">
        <v>1.22018803170388</v>
      </c>
      <c r="X471">
        <v>234.53</v>
      </c>
      <c r="Y471">
        <v>1.20482086590598</v>
      </c>
      <c r="Z471">
        <v>234.53</v>
      </c>
      <c r="AA471">
        <v>1.22459901525355</v>
      </c>
      <c r="AB471">
        <v>234.53</v>
      </c>
      <c r="AC471">
        <v>1.21499959619729</v>
      </c>
      <c r="AE471">
        <v>234.53</v>
      </c>
      <c r="AF471">
        <v>-2015.84855909705</v>
      </c>
      <c r="AG471">
        <v>-2011.89540827325</v>
      </c>
      <c r="AH471">
        <v>-1907.06220113479</v>
      </c>
      <c r="AI471">
        <v>-2135.66411210563</v>
      </c>
      <c r="AJ471">
        <v>-1920.33739009193</v>
      </c>
    </row>
    <row r="472" spans="20:36">
      <c r="T472">
        <v>235.029</v>
      </c>
      <c r="U472">
        <v>1.22420125259856</v>
      </c>
      <c r="V472">
        <v>235.029</v>
      </c>
      <c r="W472">
        <v>1.21971146417377</v>
      </c>
      <c r="X472">
        <v>235.029</v>
      </c>
      <c r="Y472">
        <v>1.21213032405163</v>
      </c>
      <c r="Z472">
        <v>235.029</v>
      </c>
      <c r="AA472">
        <v>1.21786600169657</v>
      </c>
      <c r="AB472">
        <v>235.029</v>
      </c>
      <c r="AC472">
        <v>1.21800484709602</v>
      </c>
      <c r="AE472">
        <v>235.029</v>
      </c>
      <c r="AF472">
        <v>-1969.85973439887</v>
      </c>
      <c r="AG472">
        <v>-2007.08980937845</v>
      </c>
      <c r="AH472">
        <v>-1922.35467307771</v>
      </c>
      <c r="AI472">
        <v>-2040.98500753308</v>
      </c>
      <c r="AJ472">
        <v>-2047.13880375527</v>
      </c>
    </row>
    <row r="473" spans="20:36">
      <c r="T473">
        <v>235.528</v>
      </c>
      <c r="U473">
        <v>1.23153068573123</v>
      </c>
      <c r="V473">
        <v>235.528</v>
      </c>
      <c r="W473">
        <v>1.22697038188583</v>
      </c>
      <c r="X473">
        <v>235.528</v>
      </c>
      <c r="Y473">
        <v>1.21143314457977</v>
      </c>
      <c r="Z473">
        <v>235.528</v>
      </c>
      <c r="AA473">
        <v>1.22650061194894</v>
      </c>
      <c r="AB473">
        <v>235.528</v>
      </c>
      <c r="AC473">
        <v>1.20669679590053</v>
      </c>
      <c r="AE473">
        <v>235.528</v>
      </c>
      <c r="AF473">
        <v>-2029.88946887277</v>
      </c>
      <c r="AG473">
        <v>-2143.62104632978</v>
      </c>
      <c r="AH473">
        <v>-1962.29018405532</v>
      </c>
      <c r="AI473">
        <v>-1883.03582350648</v>
      </c>
      <c r="AJ473">
        <v>-1941.38926406434</v>
      </c>
    </row>
    <row r="474" spans="20:36">
      <c r="T474">
        <v>236.027</v>
      </c>
      <c r="U474">
        <v>1.22851110115546</v>
      </c>
      <c r="V474">
        <v>236.027</v>
      </c>
      <c r="W474">
        <v>1.22150390988375</v>
      </c>
      <c r="X474">
        <v>236.027</v>
      </c>
      <c r="Y474">
        <v>1.20717109216403</v>
      </c>
      <c r="Z474">
        <v>236.027</v>
      </c>
      <c r="AA474">
        <v>1.22761102755995</v>
      </c>
      <c r="AB474">
        <v>236.027</v>
      </c>
      <c r="AC474">
        <v>1.21091329862638</v>
      </c>
      <c r="AE474">
        <v>236.027</v>
      </c>
      <c r="AF474">
        <v>-1979.35584685987</v>
      </c>
      <c r="AG474">
        <v>-2145.96831703691</v>
      </c>
      <c r="AH474">
        <v>-2040.76206170043</v>
      </c>
      <c r="AI474">
        <v>-1893.14213177605</v>
      </c>
      <c r="AJ474">
        <v>-1905.40366833406</v>
      </c>
    </row>
    <row r="475" spans="20:36">
      <c r="T475">
        <v>236.526</v>
      </c>
      <c r="U475">
        <v>1.2308847731936</v>
      </c>
      <c r="V475">
        <v>236.526</v>
      </c>
      <c r="W475">
        <v>1.22435057466522</v>
      </c>
      <c r="X475">
        <v>236.526</v>
      </c>
      <c r="Y475">
        <v>1.2112873969512</v>
      </c>
      <c r="Z475">
        <v>236.526</v>
      </c>
      <c r="AA475">
        <v>1.21721909501051</v>
      </c>
      <c r="AB475">
        <v>236.526</v>
      </c>
      <c r="AC475">
        <v>1.21113565990099</v>
      </c>
      <c r="AE475">
        <v>236.526</v>
      </c>
      <c r="AF475">
        <v>-1975.29631036378</v>
      </c>
      <c r="AG475">
        <v>-2033.27520626635</v>
      </c>
      <c r="AH475">
        <v>-1910.907061496</v>
      </c>
      <c r="AI475">
        <v>-1954.0250903279</v>
      </c>
      <c r="AJ475">
        <v>-1948.0261774045</v>
      </c>
    </row>
    <row r="476" spans="20:36">
      <c r="T476">
        <v>237.025</v>
      </c>
      <c r="U476">
        <v>1.22180999658752</v>
      </c>
      <c r="V476">
        <v>237.025</v>
      </c>
      <c r="W476">
        <v>1.22716461761475</v>
      </c>
      <c r="X476">
        <v>237.025</v>
      </c>
      <c r="Y476">
        <v>1.22032927689182</v>
      </c>
      <c r="Z476">
        <v>237.025</v>
      </c>
      <c r="AA476">
        <v>1.21957477054449</v>
      </c>
      <c r="AB476">
        <v>237.025</v>
      </c>
      <c r="AC476">
        <v>1.21711040687153</v>
      </c>
      <c r="AE476">
        <v>237.025</v>
      </c>
      <c r="AF476">
        <v>-1968.83254821898</v>
      </c>
      <c r="AG476">
        <v>-2064.93669920737</v>
      </c>
      <c r="AH476">
        <v>-1832.06236399988</v>
      </c>
      <c r="AI476">
        <v>-2011.2565555787</v>
      </c>
      <c r="AJ476">
        <v>-2009.58933650486</v>
      </c>
    </row>
    <row r="477" spans="20:36">
      <c r="T477">
        <v>237.524</v>
      </c>
      <c r="U477">
        <v>1.22474429852905</v>
      </c>
      <c r="V477">
        <v>237.524</v>
      </c>
      <c r="W477">
        <v>1.22035659776108</v>
      </c>
      <c r="X477">
        <v>237.524</v>
      </c>
      <c r="Y477">
        <v>1.21475279177652</v>
      </c>
      <c r="Z477">
        <v>237.524</v>
      </c>
      <c r="AA477">
        <v>1.21776081608601</v>
      </c>
      <c r="AB477">
        <v>237.524</v>
      </c>
      <c r="AC477">
        <v>1.20862643626311</v>
      </c>
      <c r="AE477">
        <v>237.524</v>
      </c>
      <c r="AF477">
        <v>-2015.70135059854</v>
      </c>
      <c r="AG477">
        <v>-2088.25189731982</v>
      </c>
      <c r="AH477">
        <v>-1908.98029641166</v>
      </c>
      <c r="AI477">
        <v>-1955.85548319417</v>
      </c>
      <c r="AJ477">
        <v>-2098.88621002382</v>
      </c>
    </row>
    <row r="478" spans="20:36">
      <c r="T478">
        <v>238.023</v>
      </c>
      <c r="U478">
        <v>1.2248125231337</v>
      </c>
      <c r="V478">
        <v>238.023</v>
      </c>
      <c r="W478">
        <v>1.22690901729494</v>
      </c>
      <c r="X478">
        <v>238.023</v>
      </c>
      <c r="Y478">
        <v>1.21271348261986</v>
      </c>
      <c r="Z478">
        <v>238.023</v>
      </c>
      <c r="AA478">
        <v>1.21657949031946</v>
      </c>
      <c r="AB478">
        <v>238.023</v>
      </c>
      <c r="AC478">
        <v>1.21168326364647</v>
      </c>
      <c r="AE478">
        <v>238.023</v>
      </c>
      <c r="AF478">
        <v>-2074.07957367488</v>
      </c>
      <c r="AG478">
        <v>-2132.11477213439</v>
      </c>
      <c r="AH478">
        <v>-2012.40654560251</v>
      </c>
      <c r="AI478">
        <v>-1910.13463345253</v>
      </c>
      <c r="AJ478">
        <v>-1941.23391107468</v>
      </c>
    </row>
    <row r="479" spans="20:36">
      <c r="T479">
        <v>238.522</v>
      </c>
      <c r="U479">
        <v>1.21904986147332</v>
      </c>
      <c r="V479">
        <v>238.522</v>
      </c>
      <c r="W479">
        <v>1.2213700540235</v>
      </c>
      <c r="X479">
        <v>238.522</v>
      </c>
      <c r="Y479">
        <v>1.21451675072464</v>
      </c>
      <c r="Z479">
        <v>238.522</v>
      </c>
      <c r="AA479">
        <v>1.21725201480783</v>
      </c>
      <c r="AB479">
        <v>238.522</v>
      </c>
      <c r="AC479">
        <v>1.21025845100266</v>
      </c>
      <c r="AE479">
        <v>238.522</v>
      </c>
      <c r="AF479">
        <v>-1857.87580200552</v>
      </c>
      <c r="AG479">
        <v>-2130.63585075143</v>
      </c>
      <c r="AH479">
        <v>-1958.00376745545</v>
      </c>
      <c r="AI479">
        <v>-1831.49894505531</v>
      </c>
      <c r="AJ479">
        <v>-1772.37153554729</v>
      </c>
    </row>
    <row r="480" spans="20:36">
      <c r="T480">
        <v>239.021</v>
      </c>
      <c r="U480">
        <v>1.22250333341229</v>
      </c>
      <c r="V480">
        <v>239.021</v>
      </c>
      <c r="W480">
        <v>1.22450414290286</v>
      </c>
      <c r="X480">
        <v>239.021</v>
      </c>
      <c r="Y480">
        <v>1.21769215757733</v>
      </c>
      <c r="Z480">
        <v>239.021</v>
      </c>
      <c r="AA480">
        <v>1.21443556699238</v>
      </c>
      <c r="AB480">
        <v>239.021</v>
      </c>
      <c r="AC480">
        <v>1.20446323336958</v>
      </c>
      <c r="AE480">
        <v>239.021</v>
      </c>
      <c r="AF480">
        <v>-1858.54720728422</v>
      </c>
      <c r="AG480">
        <v>-2065.53689417512</v>
      </c>
      <c r="AH480">
        <v>-1822.88143501646</v>
      </c>
      <c r="AI480">
        <v>-1932.15146290328</v>
      </c>
      <c r="AJ480">
        <v>-1851.52373060516</v>
      </c>
    </row>
    <row r="481" spans="20:36">
      <c r="T481">
        <v>239.52</v>
      </c>
      <c r="U481">
        <v>1.22521280536453</v>
      </c>
      <c r="V481">
        <v>239.52</v>
      </c>
      <c r="W481">
        <v>1.2242585171005</v>
      </c>
      <c r="X481">
        <v>239.52</v>
      </c>
      <c r="Y481">
        <v>1.21534695988685</v>
      </c>
      <c r="Z481">
        <v>239.52</v>
      </c>
      <c r="AA481">
        <v>1.21926019470388</v>
      </c>
      <c r="AB481">
        <v>239.52</v>
      </c>
      <c r="AC481">
        <v>1.21442549577693</v>
      </c>
      <c r="AE481">
        <v>239.52</v>
      </c>
      <c r="AF481">
        <v>-2014.79066546861</v>
      </c>
      <c r="AG481">
        <v>-2062.38538099032</v>
      </c>
      <c r="AH481">
        <v>-1942.97072366007</v>
      </c>
      <c r="AI481">
        <v>-2101.48057360338</v>
      </c>
      <c r="AJ481">
        <v>-2053.67862210055</v>
      </c>
    </row>
    <row r="482" spans="20:36">
      <c r="T482">
        <v>240.019</v>
      </c>
      <c r="U482">
        <v>1.22371085500101</v>
      </c>
      <c r="V482">
        <v>240.019</v>
      </c>
      <c r="W482">
        <v>1.22609078408584</v>
      </c>
      <c r="X482">
        <v>240.019</v>
      </c>
      <c r="Y482">
        <v>1.21641687192027</v>
      </c>
      <c r="Z482">
        <v>240.019</v>
      </c>
      <c r="AA482">
        <v>1.21608045447181</v>
      </c>
      <c r="AB482">
        <v>240.019</v>
      </c>
      <c r="AC482">
        <v>1.21368407768918</v>
      </c>
      <c r="AE482">
        <v>240.019</v>
      </c>
      <c r="AF482">
        <v>-2132.61059313062</v>
      </c>
      <c r="AG482">
        <v>-2155.49033817275</v>
      </c>
      <c r="AH482">
        <v>-1963.28514623753</v>
      </c>
      <c r="AI482">
        <v>-1979.2593284085</v>
      </c>
      <c r="AJ482">
        <v>-2087.21197976525</v>
      </c>
    </row>
    <row r="483" spans="20:36">
      <c r="T483">
        <v>240.518</v>
      </c>
      <c r="U483">
        <v>1.22873215690669</v>
      </c>
      <c r="V483">
        <v>240.518</v>
      </c>
      <c r="W483">
        <v>1.22336271985976</v>
      </c>
      <c r="X483">
        <v>240.518</v>
      </c>
      <c r="Y483">
        <v>1.21704066238549</v>
      </c>
      <c r="Z483">
        <v>240.518</v>
      </c>
      <c r="AA483">
        <v>1.2224382602071</v>
      </c>
      <c r="AB483">
        <v>240.518</v>
      </c>
      <c r="AC483">
        <v>1.20466593675427</v>
      </c>
      <c r="AE483">
        <v>240.518</v>
      </c>
      <c r="AF483">
        <v>-2141.24884565651</v>
      </c>
      <c r="AG483">
        <v>-2126.74944820123</v>
      </c>
      <c r="AH483">
        <v>-2013.09360574817</v>
      </c>
      <c r="AI483">
        <v>-1908.24317235197</v>
      </c>
      <c r="AJ483">
        <v>-1899.47593254572</v>
      </c>
    </row>
    <row r="484" spans="20:36">
      <c r="T484">
        <v>241.017</v>
      </c>
      <c r="U484">
        <v>1.23172763113719</v>
      </c>
      <c r="V484">
        <v>241.017</v>
      </c>
      <c r="W484">
        <v>1.22114590543924</v>
      </c>
      <c r="X484">
        <v>241.017</v>
      </c>
      <c r="Y484">
        <v>1.2146155333831</v>
      </c>
      <c r="Z484">
        <v>241.017</v>
      </c>
      <c r="AA484">
        <v>1.22505650215077</v>
      </c>
      <c r="AB484">
        <v>241.017</v>
      </c>
      <c r="AC484">
        <v>1.20819026609434</v>
      </c>
      <c r="AE484">
        <v>241.017</v>
      </c>
      <c r="AF484">
        <v>-1991.87850953627</v>
      </c>
      <c r="AG484">
        <v>-2056.64305828982</v>
      </c>
      <c r="AH484">
        <v>-1950.11603743035</v>
      </c>
      <c r="AI484">
        <v>-1922.80205580486</v>
      </c>
      <c r="AJ484">
        <v>-1876.24826834683</v>
      </c>
    </row>
    <row r="485" spans="20:36">
      <c r="T485">
        <v>241.516</v>
      </c>
      <c r="U485">
        <v>1.23348622896933</v>
      </c>
      <c r="V485">
        <v>241.516</v>
      </c>
      <c r="W485">
        <v>1.22031964073766</v>
      </c>
      <c r="X485">
        <v>241.516</v>
      </c>
      <c r="Y485">
        <v>1.22020287745696</v>
      </c>
      <c r="Z485">
        <v>241.516</v>
      </c>
      <c r="AA485">
        <v>1.22427841291184</v>
      </c>
      <c r="AB485">
        <v>241.516</v>
      </c>
      <c r="AC485">
        <v>1.20550882558682</v>
      </c>
      <c r="AE485">
        <v>241.516</v>
      </c>
      <c r="AF485">
        <v>-1912.22082478338</v>
      </c>
      <c r="AG485">
        <v>-2004.31718806221</v>
      </c>
      <c r="AH485">
        <v>-1802.51692090043</v>
      </c>
      <c r="AI485">
        <v>-2047.76997123995</v>
      </c>
      <c r="AJ485">
        <v>-1892.22660679478</v>
      </c>
    </row>
    <row r="486" spans="20:36">
      <c r="T486">
        <v>242.015</v>
      </c>
      <c r="U486">
        <v>1.22353536840678</v>
      </c>
      <c r="V486">
        <v>242.015</v>
      </c>
      <c r="W486">
        <v>1.22129374404483</v>
      </c>
      <c r="X486">
        <v>242.015</v>
      </c>
      <c r="Y486">
        <v>1.2213743025051</v>
      </c>
      <c r="Z486">
        <v>242.015</v>
      </c>
      <c r="AA486">
        <v>1.22381600945987</v>
      </c>
      <c r="AB486">
        <v>242.015</v>
      </c>
      <c r="AC486">
        <v>1.20807849193187</v>
      </c>
      <c r="AE486">
        <v>242.015</v>
      </c>
      <c r="AF486">
        <v>-1880.99304396103</v>
      </c>
      <c r="AG486">
        <v>-2082.79759173423</v>
      </c>
      <c r="AH486">
        <v>-1958.01750268154</v>
      </c>
      <c r="AI486">
        <v>-1977.15035691827</v>
      </c>
      <c r="AJ486">
        <v>-1920.97333061367</v>
      </c>
    </row>
    <row r="487" spans="20:36">
      <c r="T487">
        <v>242.514</v>
      </c>
      <c r="U487">
        <v>1.22894736941006</v>
      </c>
      <c r="V487">
        <v>242.514</v>
      </c>
      <c r="W487">
        <v>1.22520045186451</v>
      </c>
      <c r="X487">
        <v>242.514</v>
      </c>
      <c r="Y487">
        <v>1.21892311127379</v>
      </c>
      <c r="Z487">
        <v>242.514</v>
      </c>
      <c r="AA487">
        <v>1.22169629924245</v>
      </c>
      <c r="AB487">
        <v>242.514</v>
      </c>
      <c r="AC487">
        <v>1.20718758391604</v>
      </c>
      <c r="AE487">
        <v>242.514</v>
      </c>
      <c r="AF487">
        <v>-2045.28688437609</v>
      </c>
      <c r="AG487">
        <v>-2096.93809740124</v>
      </c>
      <c r="AH487">
        <v>-2089.02841384953</v>
      </c>
      <c r="AI487">
        <v>-1755.89339697637</v>
      </c>
      <c r="AJ487">
        <v>-1980.65667937061</v>
      </c>
    </row>
    <row r="488" spans="20:36">
      <c r="T488">
        <v>243.013</v>
      </c>
      <c r="U488">
        <v>1.22469945970638</v>
      </c>
      <c r="V488">
        <v>243.013</v>
      </c>
      <c r="W488">
        <v>1.22455332409848</v>
      </c>
      <c r="X488">
        <v>243.013</v>
      </c>
      <c r="Y488">
        <v>1.22366301363341</v>
      </c>
      <c r="Z488">
        <v>243.013</v>
      </c>
      <c r="AA488">
        <v>1.22100104442255</v>
      </c>
      <c r="AB488">
        <v>243.013</v>
      </c>
      <c r="AC488">
        <v>1.21173582710121</v>
      </c>
      <c r="AE488">
        <v>243.013</v>
      </c>
      <c r="AF488">
        <v>-2111.51743057124</v>
      </c>
      <c r="AG488">
        <v>-2072.06022382163</v>
      </c>
      <c r="AH488">
        <v>-2017.08421820213</v>
      </c>
      <c r="AI488">
        <v>-1909.29625132986</v>
      </c>
      <c r="AJ488">
        <v>-1907.66621335308</v>
      </c>
    </row>
    <row r="489" spans="20:36">
      <c r="T489">
        <v>243.512</v>
      </c>
      <c r="U489">
        <v>1.22940375157344</v>
      </c>
      <c r="V489">
        <v>243.512</v>
      </c>
      <c r="W489">
        <v>1.22548136376622</v>
      </c>
      <c r="X489">
        <v>243.512</v>
      </c>
      <c r="Y489">
        <v>1.21878307718349</v>
      </c>
      <c r="Z489">
        <v>243.512</v>
      </c>
      <c r="AA489">
        <v>1.21384143416088</v>
      </c>
      <c r="AB489">
        <v>243.512</v>
      </c>
      <c r="AC489">
        <v>1.20964345246478</v>
      </c>
      <c r="AE489">
        <v>243.512</v>
      </c>
      <c r="AF489">
        <v>-1966.5632680668</v>
      </c>
      <c r="AG489">
        <v>-2001.4421779418</v>
      </c>
      <c r="AH489">
        <v>-1788.83800267913</v>
      </c>
      <c r="AI489">
        <v>-2049.90232653434</v>
      </c>
      <c r="AJ489">
        <v>-1870.97817253229</v>
      </c>
    </row>
    <row r="490" spans="20:36">
      <c r="T490">
        <v>244.011</v>
      </c>
      <c r="U490">
        <v>1.21819407096729</v>
      </c>
      <c r="V490">
        <v>244.011</v>
      </c>
      <c r="W490">
        <v>1.22946852179988</v>
      </c>
      <c r="X490">
        <v>244.011</v>
      </c>
      <c r="Y490">
        <v>1.22036630926981</v>
      </c>
      <c r="Z490">
        <v>244.011</v>
      </c>
      <c r="AA490">
        <v>1.21448698984888</v>
      </c>
      <c r="AB490">
        <v>244.011</v>
      </c>
      <c r="AC490">
        <v>1.21436998403933</v>
      </c>
      <c r="AE490">
        <v>244.011</v>
      </c>
      <c r="AF490">
        <v>-1841.15901452584</v>
      </c>
      <c r="AG490">
        <v>-2125.46701169525</v>
      </c>
      <c r="AH490">
        <v>-1853.48604764034</v>
      </c>
      <c r="AI490">
        <v>-2015.01517528273</v>
      </c>
      <c r="AJ490">
        <v>-1909.9153316738</v>
      </c>
    </row>
    <row r="491" spans="20:36">
      <c r="T491">
        <v>244.51</v>
      </c>
      <c r="U491">
        <v>1.2275834593208</v>
      </c>
      <c r="V491">
        <v>244.51</v>
      </c>
      <c r="W491">
        <v>1.22617707651491</v>
      </c>
      <c r="X491">
        <v>244.51</v>
      </c>
      <c r="Y491">
        <v>1.21531954041168</v>
      </c>
      <c r="Z491">
        <v>244.51</v>
      </c>
      <c r="AA491">
        <v>1.22125879083804</v>
      </c>
      <c r="AB491">
        <v>244.51</v>
      </c>
      <c r="AC491">
        <v>1.21151815353446</v>
      </c>
      <c r="AE491">
        <v>244.51</v>
      </c>
      <c r="AF491">
        <v>-1966.93314713776</v>
      </c>
      <c r="AG491">
        <v>-2144.68153973442</v>
      </c>
      <c r="AH491">
        <v>-1942.31683532578</v>
      </c>
      <c r="AI491">
        <v>-1913.38848465378</v>
      </c>
      <c r="AJ491">
        <v>-1867.92023427295</v>
      </c>
    </row>
    <row r="492" spans="20:36">
      <c r="T492">
        <v>245.009</v>
      </c>
      <c r="U492">
        <v>1.23279566842151</v>
      </c>
      <c r="V492">
        <v>245.009</v>
      </c>
      <c r="W492">
        <v>1.22418911971727</v>
      </c>
      <c r="X492">
        <v>245.009</v>
      </c>
      <c r="Y492">
        <v>1.21321453115584</v>
      </c>
      <c r="Z492">
        <v>245.009</v>
      </c>
      <c r="AA492">
        <v>1.2163566040468</v>
      </c>
      <c r="AB492">
        <v>245.009</v>
      </c>
      <c r="AC492">
        <v>1.2120117556035</v>
      </c>
      <c r="AE492">
        <v>245.009</v>
      </c>
      <c r="AF492">
        <v>-2173.86788355148</v>
      </c>
      <c r="AG492">
        <v>-2096.07813482123</v>
      </c>
      <c r="AH492">
        <v>-1915.5643075872</v>
      </c>
      <c r="AI492">
        <v>-1824.97190990189</v>
      </c>
      <c r="AJ492">
        <v>-1963.63698449973</v>
      </c>
    </row>
    <row r="493" spans="20:36">
      <c r="T493">
        <v>245.508</v>
      </c>
      <c r="U493">
        <v>1.22728343665237</v>
      </c>
      <c r="V493">
        <v>245.508</v>
      </c>
      <c r="W493">
        <v>1.21620333690698</v>
      </c>
      <c r="X493">
        <v>245.508</v>
      </c>
      <c r="Y493">
        <v>1.21846827964873</v>
      </c>
      <c r="Z493">
        <v>245.508</v>
      </c>
      <c r="AA493">
        <v>1.21781142192512</v>
      </c>
      <c r="AB493">
        <v>245.508</v>
      </c>
      <c r="AC493">
        <v>1.21221460692883</v>
      </c>
      <c r="AE493">
        <v>245.508</v>
      </c>
      <c r="AF493">
        <v>-2041.03962673959</v>
      </c>
      <c r="AG493">
        <v>-2051.60579188858</v>
      </c>
      <c r="AH493">
        <v>-1904.97496443089</v>
      </c>
      <c r="AI493">
        <v>-1932.79320407434</v>
      </c>
      <c r="AJ493">
        <v>-1928.11764972929</v>
      </c>
    </row>
    <row r="494" spans="20:36">
      <c r="T494">
        <v>246.007</v>
      </c>
      <c r="U494">
        <v>1.23186459264311</v>
      </c>
      <c r="V494">
        <v>246.007</v>
      </c>
      <c r="W494">
        <v>1.22435524548163</v>
      </c>
      <c r="X494">
        <v>246.007</v>
      </c>
      <c r="Y494">
        <v>1.22161067777996</v>
      </c>
      <c r="Z494">
        <v>246.007</v>
      </c>
      <c r="AA494">
        <v>1.21863471684211</v>
      </c>
      <c r="AB494">
        <v>246.007</v>
      </c>
      <c r="AC494">
        <v>1.21721123957203</v>
      </c>
      <c r="AE494">
        <v>246.007</v>
      </c>
      <c r="AF494">
        <v>-2022.38862825923</v>
      </c>
      <c r="AG494">
        <v>-2114.67941581112</v>
      </c>
      <c r="AH494">
        <v>-1943.20446202057</v>
      </c>
      <c r="AI494">
        <v>-2106.5686758405</v>
      </c>
      <c r="AJ494">
        <v>-1921.70822117033</v>
      </c>
    </row>
    <row r="495" spans="20:36">
      <c r="T495">
        <v>246.506</v>
      </c>
      <c r="U495">
        <v>1.22631262291346</v>
      </c>
      <c r="V495">
        <v>246.506</v>
      </c>
      <c r="W495">
        <v>1.22361729245767</v>
      </c>
      <c r="X495">
        <v>246.506</v>
      </c>
      <c r="Y495">
        <v>1.21512046644722</v>
      </c>
      <c r="Z495">
        <v>246.506</v>
      </c>
      <c r="AA495">
        <v>1.21214282845417</v>
      </c>
      <c r="AB495">
        <v>246.506</v>
      </c>
      <c r="AC495">
        <v>1.22120122913088</v>
      </c>
      <c r="AE495">
        <v>246.506</v>
      </c>
      <c r="AF495">
        <v>-1888.92071025633</v>
      </c>
      <c r="AG495">
        <v>-2037.55479337756</v>
      </c>
      <c r="AH495">
        <v>-1933.60507429944</v>
      </c>
      <c r="AI495">
        <v>-1968.8218834944</v>
      </c>
      <c r="AJ495">
        <v>-1944.52773228255</v>
      </c>
    </row>
    <row r="496" spans="20:36">
      <c r="T496">
        <v>247.005</v>
      </c>
      <c r="U496">
        <v>1.22427920394465</v>
      </c>
      <c r="V496">
        <v>247.005</v>
      </c>
      <c r="W496">
        <v>1.22709921162614</v>
      </c>
      <c r="X496">
        <v>247.005</v>
      </c>
      <c r="Y496">
        <v>1.21958525262316</v>
      </c>
      <c r="Z496">
        <v>247.005</v>
      </c>
      <c r="AA496">
        <v>1.21470471525158</v>
      </c>
      <c r="AB496">
        <v>247.005</v>
      </c>
      <c r="AC496">
        <v>1.21302522148907</v>
      </c>
      <c r="AE496">
        <v>247.005</v>
      </c>
      <c r="AF496">
        <v>-1946.71611284371</v>
      </c>
      <c r="AG496">
        <v>-2008.2124630246</v>
      </c>
      <c r="AH496">
        <v>-1780.03662248899</v>
      </c>
      <c r="AI496">
        <v>-1822.87525074484</v>
      </c>
      <c r="AJ496">
        <v>-1883.54914881376</v>
      </c>
    </row>
    <row r="497" spans="20:36">
      <c r="T497">
        <v>247.504</v>
      </c>
      <c r="U497">
        <v>1.22717486823623</v>
      </c>
      <c r="V497">
        <v>247.504</v>
      </c>
      <c r="W497">
        <v>1.22807219626725</v>
      </c>
      <c r="X497">
        <v>247.504</v>
      </c>
      <c r="Y497">
        <v>1.20964591018088</v>
      </c>
      <c r="Z497">
        <v>247.504</v>
      </c>
      <c r="AA497">
        <v>1.22144246108242</v>
      </c>
      <c r="AB497">
        <v>247.504</v>
      </c>
      <c r="AC497">
        <v>1.21765370188524</v>
      </c>
      <c r="AE497">
        <v>247.504</v>
      </c>
      <c r="AF497">
        <v>-2111.39200280872</v>
      </c>
      <c r="AG497">
        <v>-2071.8343962686</v>
      </c>
      <c r="AH497">
        <v>-1832.34592583486</v>
      </c>
      <c r="AI497">
        <v>-1924.97568830171</v>
      </c>
      <c r="AJ497">
        <v>-1929.24797772173</v>
      </c>
    </row>
    <row r="498" spans="20:36">
      <c r="T498">
        <v>248.003</v>
      </c>
      <c r="U498">
        <v>1.22530353645667</v>
      </c>
      <c r="V498">
        <v>248.003</v>
      </c>
      <c r="W498">
        <v>1.22149852972198</v>
      </c>
      <c r="X498">
        <v>248.003</v>
      </c>
      <c r="Y498">
        <v>1.21028407543852</v>
      </c>
      <c r="Z498">
        <v>248.003</v>
      </c>
      <c r="AA498">
        <v>1.22067403143946</v>
      </c>
      <c r="AB498">
        <v>248.003</v>
      </c>
      <c r="AC498">
        <v>1.22290805985007</v>
      </c>
      <c r="AE498">
        <v>248.003</v>
      </c>
      <c r="AF498">
        <v>-2051.57600587788</v>
      </c>
      <c r="AG498">
        <v>-2146.23040353937</v>
      </c>
      <c r="AH498">
        <v>-1934.03052170032</v>
      </c>
      <c r="AI498">
        <v>-1958.91720581172</v>
      </c>
      <c r="AJ498">
        <v>-2095.25631797695</v>
      </c>
    </row>
    <row r="499" spans="20:36">
      <c r="T499">
        <v>248.502</v>
      </c>
      <c r="U499">
        <v>1.22277749382727</v>
      </c>
      <c r="V499">
        <v>248.502</v>
      </c>
      <c r="W499">
        <v>1.21902401517986</v>
      </c>
      <c r="X499">
        <v>248.502</v>
      </c>
      <c r="Y499">
        <v>1.21518873505916</v>
      </c>
      <c r="Z499">
        <v>248.502</v>
      </c>
      <c r="AA499">
        <v>1.22561970442338</v>
      </c>
      <c r="AB499">
        <v>248.502</v>
      </c>
      <c r="AC499">
        <v>1.22036074468308</v>
      </c>
      <c r="AE499">
        <v>248.502</v>
      </c>
      <c r="AF499">
        <v>-2035.99459426936</v>
      </c>
      <c r="AG499">
        <v>-2094.34206520791</v>
      </c>
      <c r="AH499">
        <v>-1981.26177344433</v>
      </c>
      <c r="AI499">
        <v>-1999.5313068889</v>
      </c>
      <c r="AJ499">
        <v>-2059.5684161101</v>
      </c>
    </row>
    <row r="500" spans="20:36">
      <c r="T500">
        <v>249.001</v>
      </c>
      <c r="U500">
        <v>1.22638380176933</v>
      </c>
      <c r="V500">
        <v>249.001</v>
      </c>
      <c r="W500">
        <v>1.22068905169714</v>
      </c>
      <c r="X500">
        <v>249.001</v>
      </c>
      <c r="Y500">
        <v>1.21469731996056</v>
      </c>
      <c r="Z500">
        <v>249.001</v>
      </c>
      <c r="AA500">
        <v>1.23009936583929</v>
      </c>
      <c r="AB500">
        <v>249.001</v>
      </c>
      <c r="AC500">
        <v>1.21765819805131</v>
      </c>
      <c r="AE500">
        <v>249.001</v>
      </c>
      <c r="AF500">
        <v>-1968.79086924229</v>
      </c>
      <c r="AG500">
        <v>-2048.99261382345</v>
      </c>
      <c r="AH500">
        <v>-1835.95018392335</v>
      </c>
      <c r="AI500">
        <v>-1938.96351954989</v>
      </c>
      <c r="AJ500">
        <v>-1926.87825101994</v>
      </c>
    </row>
    <row r="501" spans="20:36">
      <c r="T501">
        <v>249.5</v>
      </c>
      <c r="U501">
        <v>1.22547649977278</v>
      </c>
      <c r="V501">
        <v>249.5</v>
      </c>
      <c r="W501">
        <v>1.21681294391248</v>
      </c>
      <c r="X501">
        <v>249.5</v>
      </c>
      <c r="Y501">
        <v>1.22043859310852</v>
      </c>
      <c r="Z501">
        <v>249.5</v>
      </c>
      <c r="AA501">
        <v>1.2281577239078</v>
      </c>
      <c r="AB501">
        <v>249.5</v>
      </c>
      <c r="AC501">
        <v>1.21700588717047</v>
      </c>
      <c r="AE501">
        <v>249.5</v>
      </c>
      <c r="AF501">
        <v>-1939.80195165468</v>
      </c>
      <c r="AG501">
        <v>-1947.10495663428</v>
      </c>
      <c r="AH501">
        <v>-1861.64245448043</v>
      </c>
      <c r="AI501">
        <v>-1871.00213522109</v>
      </c>
      <c r="AJ501">
        <v>-1892.52482147768</v>
      </c>
    </row>
    <row r="502" spans="20:36">
      <c r="T502">
        <v>249.999</v>
      </c>
      <c r="U502">
        <v>1.22546401841205</v>
      </c>
      <c r="V502">
        <v>249.999</v>
      </c>
      <c r="W502">
        <v>1.22144878061022</v>
      </c>
      <c r="X502">
        <v>249.999</v>
      </c>
      <c r="Y502">
        <v>1.21702443072096</v>
      </c>
      <c r="Z502">
        <v>249.999</v>
      </c>
      <c r="AA502">
        <v>1.2256054003372</v>
      </c>
      <c r="AB502">
        <v>249.999</v>
      </c>
      <c r="AC502">
        <v>1.21796971629472</v>
      </c>
      <c r="AE502">
        <v>249.999</v>
      </c>
      <c r="AF502">
        <v>-2016.77569605918</v>
      </c>
      <c r="AG502">
        <v>-2053.20496274939</v>
      </c>
      <c r="AH502">
        <v>-1917.22591718681</v>
      </c>
      <c r="AI502">
        <v>-1940.05494229222</v>
      </c>
      <c r="AJ502">
        <v>-1954.67275706627</v>
      </c>
    </row>
    <row r="503" spans="20:36">
      <c r="T503">
        <v>250.498</v>
      </c>
      <c r="U503">
        <v>1.22757852166252</v>
      </c>
      <c r="V503">
        <v>250.498</v>
      </c>
      <c r="W503">
        <v>1.21901547579418</v>
      </c>
      <c r="X503">
        <v>250.498</v>
      </c>
      <c r="Y503">
        <v>1.22104246037265</v>
      </c>
      <c r="Z503">
        <v>250.498</v>
      </c>
      <c r="AA503">
        <v>1.23248565490602</v>
      </c>
      <c r="AB503">
        <v>250.498</v>
      </c>
      <c r="AC503">
        <v>1.22215118576946</v>
      </c>
      <c r="AE503">
        <v>250.498</v>
      </c>
      <c r="AF503">
        <v>-2032.62927387626</v>
      </c>
      <c r="AG503">
        <v>-2205.66224942251</v>
      </c>
      <c r="AH503">
        <v>-1904.71758771955</v>
      </c>
      <c r="AI503">
        <v>-2074.10409900564</v>
      </c>
      <c r="AJ503">
        <v>-2023.44931780392</v>
      </c>
    </row>
    <row r="504" spans="20:36">
      <c r="T504">
        <v>250.997</v>
      </c>
      <c r="U504">
        <v>1.22436754519061</v>
      </c>
      <c r="V504">
        <v>250.997</v>
      </c>
      <c r="W504">
        <v>1.21347900845419</v>
      </c>
      <c r="X504">
        <v>250.997</v>
      </c>
      <c r="Y504">
        <v>1.21577257349517</v>
      </c>
      <c r="Z504">
        <v>250.997</v>
      </c>
      <c r="AA504">
        <v>1.22400806525576</v>
      </c>
      <c r="AB504">
        <v>250.997</v>
      </c>
      <c r="AC504">
        <v>1.22211412184702</v>
      </c>
      <c r="AE504">
        <v>250.997</v>
      </c>
      <c r="AF504">
        <v>-2002.3375436136</v>
      </c>
      <c r="AG504">
        <v>-2043.99283164503</v>
      </c>
      <c r="AH504">
        <v>-1906.49632779327</v>
      </c>
      <c r="AI504">
        <v>-2025.66579188431</v>
      </c>
      <c r="AJ504">
        <v>-2066.35378130859</v>
      </c>
    </row>
    <row r="505" spans="20:36">
      <c r="T505">
        <v>251.496</v>
      </c>
      <c r="U505">
        <v>1.22445427649563</v>
      </c>
      <c r="V505">
        <v>251.496</v>
      </c>
      <c r="W505">
        <v>1.21495921678222</v>
      </c>
      <c r="X505">
        <v>251.496</v>
      </c>
      <c r="Y505">
        <v>1.21628693852044</v>
      </c>
      <c r="Z505">
        <v>251.496</v>
      </c>
      <c r="AA505">
        <v>1.21673874593944</v>
      </c>
      <c r="AB505">
        <v>251.496</v>
      </c>
      <c r="AC505">
        <v>1.2212571031704</v>
      </c>
      <c r="AE505">
        <v>251.496</v>
      </c>
      <c r="AF505">
        <v>-2116.32875580409</v>
      </c>
      <c r="AG505">
        <v>-1888.34993729354</v>
      </c>
      <c r="AH505">
        <v>-1961.27665328175</v>
      </c>
      <c r="AI505">
        <v>-1907.3291868988</v>
      </c>
      <c r="AJ505">
        <v>-1976.03572534939</v>
      </c>
    </row>
    <row r="506" spans="20:36">
      <c r="T506">
        <v>251.995</v>
      </c>
      <c r="U506">
        <v>1.22258197061325</v>
      </c>
      <c r="V506">
        <v>251.995</v>
      </c>
      <c r="W506">
        <v>1.21946986412631</v>
      </c>
      <c r="X506">
        <v>251.995</v>
      </c>
      <c r="Y506">
        <v>1.21603978569004</v>
      </c>
      <c r="Z506">
        <v>251.995</v>
      </c>
      <c r="AA506">
        <v>1.22119482064017</v>
      </c>
      <c r="AB506">
        <v>251.995</v>
      </c>
      <c r="AC506">
        <v>1.22808005156009</v>
      </c>
      <c r="AE506">
        <v>251.995</v>
      </c>
      <c r="AF506">
        <v>-2000.22458487366</v>
      </c>
      <c r="AG506">
        <v>-2006.55904101184</v>
      </c>
      <c r="AH506">
        <v>-1976.87114916462</v>
      </c>
      <c r="AI506">
        <v>-1954.17701425968</v>
      </c>
      <c r="AJ506">
        <v>-1855.23091032673</v>
      </c>
    </row>
    <row r="507" spans="20:36">
      <c r="T507">
        <v>252.494</v>
      </c>
      <c r="U507">
        <v>1.22832199953056</v>
      </c>
      <c r="V507">
        <v>252.494</v>
      </c>
      <c r="W507">
        <v>1.21519555973493</v>
      </c>
      <c r="X507">
        <v>252.494</v>
      </c>
      <c r="Y507">
        <v>1.21771008254188</v>
      </c>
      <c r="Z507">
        <v>252.494</v>
      </c>
      <c r="AA507">
        <v>1.21959710145492</v>
      </c>
      <c r="AB507">
        <v>252.494</v>
      </c>
      <c r="AC507">
        <v>1.21640020273219</v>
      </c>
      <c r="AE507">
        <v>252.494</v>
      </c>
      <c r="AF507">
        <v>-1981.81058432932</v>
      </c>
      <c r="AG507">
        <v>-2115.1257656201</v>
      </c>
      <c r="AH507">
        <v>-1948.39006360066</v>
      </c>
      <c r="AI507">
        <v>-1955.46021690058</v>
      </c>
      <c r="AJ507">
        <v>-1911.84717103553</v>
      </c>
    </row>
    <row r="508" spans="20:36">
      <c r="T508">
        <v>252.993</v>
      </c>
      <c r="U508">
        <v>1.2196044108174</v>
      </c>
      <c r="V508">
        <v>252.993</v>
      </c>
      <c r="W508">
        <v>1.2206753854105</v>
      </c>
      <c r="X508">
        <v>252.993</v>
      </c>
      <c r="Y508">
        <v>1.21497285540406</v>
      </c>
      <c r="Z508">
        <v>252.993</v>
      </c>
      <c r="AA508">
        <v>1.21926723368919</v>
      </c>
      <c r="AB508">
        <v>252.993</v>
      </c>
      <c r="AC508">
        <v>1.22137940834096</v>
      </c>
      <c r="AE508">
        <v>252.993</v>
      </c>
      <c r="AF508">
        <v>-1896.68556447144</v>
      </c>
      <c r="AG508">
        <v>-2101.46112368873</v>
      </c>
      <c r="AH508">
        <v>-1841.77533246557</v>
      </c>
      <c r="AI508">
        <v>-1946.28068852874</v>
      </c>
      <c r="AJ508">
        <v>-2057.05165095604</v>
      </c>
    </row>
    <row r="509" spans="20:36">
      <c r="T509">
        <v>253.492</v>
      </c>
      <c r="U509">
        <v>1.22337480123426</v>
      </c>
      <c r="V509">
        <v>253.492</v>
      </c>
      <c r="W509">
        <v>1.21870934664946</v>
      </c>
      <c r="X509">
        <v>253.492</v>
      </c>
      <c r="Y509">
        <v>1.21504065753661</v>
      </c>
      <c r="Z509">
        <v>253.492</v>
      </c>
      <c r="AA509">
        <v>1.21710629152893</v>
      </c>
      <c r="AB509">
        <v>253.492</v>
      </c>
      <c r="AC509">
        <v>1.21860094011248</v>
      </c>
      <c r="AE509">
        <v>253.492</v>
      </c>
      <c r="AF509">
        <v>-2085.42780295614</v>
      </c>
      <c r="AG509">
        <v>-2042.58261946878</v>
      </c>
      <c r="AH509">
        <v>-1863.05430092475</v>
      </c>
      <c r="AI509">
        <v>-1970.96091452148</v>
      </c>
      <c r="AJ509">
        <v>-1944.11822857547</v>
      </c>
    </row>
    <row r="510" spans="20:36">
      <c r="T510">
        <v>253.991</v>
      </c>
      <c r="U510">
        <v>1.22225594695745</v>
      </c>
      <c r="V510">
        <v>253.991</v>
      </c>
      <c r="W510">
        <v>1.22662260037038</v>
      </c>
      <c r="X510">
        <v>253.991</v>
      </c>
      <c r="Y510">
        <v>1.20961724873007</v>
      </c>
      <c r="Z510">
        <v>253.991</v>
      </c>
      <c r="AA510">
        <v>1.22634675783369</v>
      </c>
      <c r="AB510">
        <v>253.991</v>
      </c>
      <c r="AC510">
        <v>1.22184663442821</v>
      </c>
      <c r="AE510">
        <v>253.991</v>
      </c>
      <c r="AF510">
        <v>-2152.3331008973</v>
      </c>
      <c r="AG510">
        <v>-2006.57518810456</v>
      </c>
      <c r="AH510">
        <v>-1889.34443819949</v>
      </c>
      <c r="AI510">
        <v>-1982.44841076066</v>
      </c>
      <c r="AJ510">
        <v>-1824.13203766883</v>
      </c>
    </row>
    <row r="511" spans="20:36">
      <c r="T511">
        <v>254.49</v>
      </c>
      <c r="U511">
        <v>1.22297189467174</v>
      </c>
      <c r="V511">
        <v>254.49</v>
      </c>
      <c r="W511">
        <v>1.2252357943181</v>
      </c>
      <c r="X511">
        <v>254.49</v>
      </c>
      <c r="Y511">
        <v>1.2129685204069</v>
      </c>
      <c r="Z511">
        <v>254.49</v>
      </c>
      <c r="AA511">
        <v>1.22460944430424</v>
      </c>
      <c r="AB511">
        <v>254.49</v>
      </c>
      <c r="AC511">
        <v>1.22115179069355</v>
      </c>
      <c r="AE511">
        <v>254.49</v>
      </c>
      <c r="AF511">
        <v>-2078.70612928853</v>
      </c>
      <c r="AG511">
        <v>-2036.42598869194</v>
      </c>
      <c r="AH511">
        <v>-1900.98654735596</v>
      </c>
      <c r="AI511">
        <v>-1930.87678225947</v>
      </c>
      <c r="AJ511">
        <v>-1834.79063805118</v>
      </c>
    </row>
    <row r="512" spans="20:36">
      <c r="T512">
        <v>254.989</v>
      </c>
      <c r="U512">
        <v>1.2259061186195</v>
      </c>
      <c r="V512">
        <v>254.989</v>
      </c>
      <c r="W512">
        <v>1.2192670218166</v>
      </c>
      <c r="X512">
        <v>254.989</v>
      </c>
      <c r="Y512">
        <v>1.21505637840528</v>
      </c>
      <c r="Z512">
        <v>254.989</v>
      </c>
      <c r="AA512">
        <v>1.21962425450748</v>
      </c>
      <c r="AB512">
        <v>254.989</v>
      </c>
      <c r="AC512">
        <v>1.22448430094559</v>
      </c>
      <c r="AE512">
        <v>254.989</v>
      </c>
      <c r="AF512">
        <v>-1895.36828086523</v>
      </c>
      <c r="AG512">
        <v>-2125.03370436411</v>
      </c>
      <c r="AH512">
        <v>-1984.24005709752</v>
      </c>
      <c r="AI512">
        <v>-1880.80436456959</v>
      </c>
      <c r="AJ512">
        <v>-2048.75071478995</v>
      </c>
    </row>
    <row r="513" spans="20:36">
      <c r="T513">
        <v>255.488</v>
      </c>
      <c r="U513">
        <v>1.21793502891536</v>
      </c>
      <c r="V513">
        <v>255.488</v>
      </c>
      <c r="W513">
        <v>1.21666980113413</v>
      </c>
      <c r="X513">
        <v>255.488</v>
      </c>
      <c r="Y513">
        <v>1.21215610992731</v>
      </c>
      <c r="Z513">
        <v>255.488</v>
      </c>
      <c r="AA513">
        <v>1.21700513619857</v>
      </c>
      <c r="AB513">
        <v>255.488</v>
      </c>
      <c r="AC513">
        <v>1.21858630979362</v>
      </c>
      <c r="AE513">
        <v>255.488</v>
      </c>
      <c r="AF513">
        <v>-1970.66082649907</v>
      </c>
      <c r="AG513">
        <v>-2148.66835402024</v>
      </c>
      <c r="AH513">
        <v>-1980.54243301827</v>
      </c>
      <c r="AI513">
        <v>-1862.99110170321</v>
      </c>
      <c r="AJ513">
        <v>-2006.69586123246</v>
      </c>
    </row>
    <row r="514" spans="20:36">
      <c r="T514">
        <v>255.987</v>
      </c>
      <c r="U514">
        <v>1.22834827915452</v>
      </c>
      <c r="V514">
        <v>255.987</v>
      </c>
      <c r="W514">
        <v>1.21420732407266</v>
      </c>
      <c r="X514">
        <v>255.987</v>
      </c>
      <c r="Y514">
        <v>1.21591656743154</v>
      </c>
      <c r="Z514">
        <v>255.987</v>
      </c>
      <c r="AA514">
        <v>1.22082803168929</v>
      </c>
      <c r="AB514">
        <v>255.987</v>
      </c>
      <c r="AC514">
        <v>1.22097838833775</v>
      </c>
      <c r="AE514">
        <v>255.987</v>
      </c>
      <c r="AF514">
        <v>-2150.62579625212</v>
      </c>
      <c r="AG514">
        <v>-2022.10184411094</v>
      </c>
      <c r="AH514">
        <v>-1960.44067060273</v>
      </c>
      <c r="AI514">
        <v>-1985.53484659016</v>
      </c>
      <c r="AJ514">
        <v>-1927.79577408058</v>
      </c>
    </row>
    <row r="515" spans="20:36">
      <c r="T515">
        <v>256.486</v>
      </c>
      <c r="U515">
        <v>1.22711470911266</v>
      </c>
      <c r="V515">
        <v>256.486</v>
      </c>
      <c r="W515">
        <v>1.21832531842581</v>
      </c>
      <c r="X515">
        <v>256.486</v>
      </c>
      <c r="Y515">
        <v>1.21187637661875</v>
      </c>
      <c r="Z515">
        <v>256.486</v>
      </c>
      <c r="AA515">
        <v>1.2159802219527</v>
      </c>
      <c r="AB515">
        <v>256.486</v>
      </c>
      <c r="AC515">
        <v>1.21565493116607</v>
      </c>
      <c r="AE515">
        <v>256.486</v>
      </c>
      <c r="AF515">
        <v>-2056.18996411</v>
      </c>
      <c r="AG515">
        <v>-2001.73151932948</v>
      </c>
      <c r="AH515">
        <v>-1901.48817569727</v>
      </c>
      <c r="AI515">
        <v>-2001.90812237319</v>
      </c>
      <c r="AJ515">
        <v>-1884.92313350953</v>
      </c>
    </row>
    <row r="516" spans="20:36">
      <c r="T516">
        <v>256.985</v>
      </c>
      <c r="U516">
        <v>1.22578653508054</v>
      </c>
      <c r="V516">
        <v>256.985</v>
      </c>
      <c r="W516">
        <v>1.22287831775669</v>
      </c>
      <c r="X516">
        <v>256.985</v>
      </c>
      <c r="Y516">
        <v>1.21409172965256</v>
      </c>
      <c r="Z516">
        <v>256.985</v>
      </c>
      <c r="AA516">
        <v>1.21663497154611</v>
      </c>
      <c r="AB516">
        <v>256.985</v>
      </c>
      <c r="AC516">
        <v>1.22385957320409</v>
      </c>
      <c r="AE516">
        <v>256.985</v>
      </c>
      <c r="AF516">
        <v>-1851.7198954852</v>
      </c>
      <c r="AG516">
        <v>-2093.2650572197</v>
      </c>
      <c r="AH516">
        <v>-1964.96029036464</v>
      </c>
      <c r="AI516">
        <v>-1945.8560486676</v>
      </c>
      <c r="AJ516">
        <v>-1968.93435717957</v>
      </c>
    </row>
    <row r="517" spans="20:36">
      <c r="T517">
        <v>257.484</v>
      </c>
      <c r="U517">
        <v>1.22172821193698</v>
      </c>
      <c r="V517">
        <v>257.484</v>
      </c>
      <c r="W517">
        <v>1.22054208682118</v>
      </c>
      <c r="X517">
        <v>257.484</v>
      </c>
      <c r="Y517">
        <v>1.21879698836483</v>
      </c>
      <c r="Z517">
        <v>257.484</v>
      </c>
      <c r="AA517">
        <v>1.22259955884311</v>
      </c>
      <c r="AB517">
        <v>257.484</v>
      </c>
      <c r="AC517">
        <v>1.22478542683779</v>
      </c>
      <c r="AE517">
        <v>257.484</v>
      </c>
      <c r="AF517">
        <v>-1829.71139658087</v>
      </c>
      <c r="AG517">
        <v>-2084.19019450694</v>
      </c>
      <c r="AH517">
        <v>-1953.45262957712</v>
      </c>
      <c r="AI517">
        <v>-1912.90894160962</v>
      </c>
      <c r="AJ517">
        <v>-2010.35700124703</v>
      </c>
    </row>
    <row r="518" spans="20:36">
      <c r="T518">
        <v>257.983</v>
      </c>
      <c r="U518">
        <v>1.21761523745036</v>
      </c>
      <c r="V518">
        <v>257.983</v>
      </c>
      <c r="W518">
        <v>1.22390406744928</v>
      </c>
      <c r="X518">
        <v>257.983</v>
      </c>
      <c r="Y518">
        <v>1.21824719676043</v>
      </c>
      <c r="Z518">
        <v>257.983</v>
      </c>
      <c r="AA518">
        <v>1.22193946464082</v>
      </c>
      <c r="AB518">
        <v>257.983</v>
      </c>
      <c r="AC518">
        <v>1.23019513021919</v>
      </c>
      <c r="AE518">
        <v>257.983</v>
      </c>
      <c r="AF518">
        <v>-2100.21936286693</v>
      </c>
      <c r="AG518">
        <v>-2061.45870417349</v>
      </c>
      <c r="AH518">
        <v>-1960.48372457936</v>
      </c>
      <c r="AI518">
        <v>-1919.29280468175</v>
      </c>
      <c r="AJ518">
        <v>-1908.02699720748</v>
      </c>
    </row>
    <row r="519" spans="20:36">
      <c r="T519">
        <v>258.482</v>
      </c>
      <c r="U519">
        <v>1.21298274820237</v>
      </c>
      <c r="V519">
        <v>258.482</v>
      </c>
      <c r="W519">
        <v>1.21603100610034</v>
      </c>
      <c r="X519">
        <v>258.482</v>
      </c>
      <c r="Y519">
        <v>1.21410277286623</v>
      </c>
      <c r="Z519">
        <v>258.482</v>
      </c>
      <c r="AA519">
        <v>1.2222250729678</v>
      </c>
      <c r="AB519">
        <v>258.482</v>
      </c>
      <c r="AC519">
        <v>1.22266078887412</v>
      </c>
      <c r="AE519">
        <v>258.482</v>
      </c>
      <c r="AF519">
        <v>-2083.99907786378</v>
      </c>
      <c r="AG519">
        <v>-2007.58948475959</v>
      </c>
      <c r="AH519">
        <v>-1919.64280612329</v>
      </c>
      <c r="AI519">
        <v>-1968.82536212511</v>
      </c>
      <c r="AJ519">
        <v>-1937.33587067584</v>
      </c>
    </row>
    <row r="520" spans="20:36">
      <c r="T520">
        <v>258.981</v>
      </c>
      <c r="U520">
        <v>1.22007789943999</v>
      </c>
      <c r="V520">
        <v>258.981</v>
      </c>
      <c r="W520">
        <v>1.22800361870074</v>
      </c>
      <c r="X520">
        <v>258.981</v>
      </c>
      <c r="Y520">
        <v>1.21919259364669</v>
      </c>
      <c r="Z520">
        <v>258.981</v>
      </c>
      <c r="AA520">
        <v>1.21152042180894</v>
      </c>
      <c r="AB520">
        <v>258.981</v>
      </c>
      <c r="AC520">
        <v>1.22087913272112</v>
      </c>
      <c r="AE520">
        <v>258.981</v>
      </c>
      <c r="AF520">
        <v>-1952.89416012993</v>
      </c>
      <c r="AG520">
        <v>-2019.35955768622</v>
      </c>
      <c r="AH520">
        <v>-1999.54586154145</v>
      </c>
      <c r="AI520">
        <v>-1946.32162821536</v>
      </c>
      <c r="AJ520">
        <v>-2030.41046499105</v>
      </c>
    </row>
    <row r="521" spans="20:36">
      <c r="T521">
        <v>259.48</v>
      </c>
      <c r="U521">
        <v>1.22191888893723</v>
      </c>
      <c r="V521">
        <v>259.48</v>
      </c>
      <c r="W521">
        <v>1.23696304351151</v>
      </c>
      <c r="X521">
        <v>259.48</v>
      </c>
      <c r="Y521">
        <v>1.21701261094615</v>
      </c>
      <c r="Z521">
        <v>259.48</v>
      </c>
      <c r="AA521">
        <v>1.22554279629515</v>
      </c>
      <c r="AB521">
        <v>259.48</v>
      </c>
      <c r="AC521">
        <v>1.21719593443317</v>
      </c>
      <c r="AE521">
        <v>259.48</v>
      </c>
      <c r="AF521">
        <v>-1938.39133806994</v>
      </c>
      <c r="AG521">
        <v>-2101.0689475839</v>
      </c>
      <c r="AH521">
        <v>-1963.65052792347</v>
      </c>
      <c r="AI521">
        <v>-2019.1084668069</v>
      </c>
      <c r="AJ521">
        <v>-2055.840201967</v>
      </c>
    </row>
    <row r="522" spans="20:36">
      <c r="T522">
        <v>259.979</v>
      </c>
      <c r="U522">
        <v>1.22808906010491</v>
      </c>
      <c r="V522">
        <v>259.979</v>
      </c>
      <c r="W522">
        <v>1.22899875402363</v>
      </c>
      <c r="X522">
        <v>259.979</v>
      </c>
      <c r="Y522">
        <v>1.21739294213296</v>
      </c>
      <c r="Z522">
        <v>259.979</v>
      </c>
      <c r="AA522">
        <v>1.22578626326482</v>
      </c>
      <c r="AB522">
        <v>259.979</v>
      </c>
      <c r="AC522">
        <v>1.21107485072461</v>
      </c>
      <c r="AE522">
        <v>259.979</v>
      </c>
      <c r="AF522">
        <v>-1970.23716555313</v>
      </c>
      <c r="AG522">
        <v>-2130.75689128421</v>
      </c>
      <c r="AH522">
        <v>-1892.57058364888</v>
      </c>
      <c r="AI522">
        <v>-1923.35458150075</v>
      </c>
      <c r="AJ522">
        <v>-1915.87874795847</v>
      </c>
    </row>
    <row r="523" spans="20:36">
      <c r="T523">
        <v>260.478</v>
      </c>
      <c r="U523">
        <v>1.22450824791465</v>
      </c>
      <c r="V523">
        <v>260.478</v>
      </c>
      <c r="W523">
        <v>1.22524113080642</v>
      </c>
      <c r="X523">
        <v>260.478</v>
      </c>
      <c r="Y523">
        <v>1.21739633263598</v>
      </c>
      <c r="Z523">
        <v>260.478</v>
      </c>
      <c r="AA523">
        <v>1.21606914354014</v>
      </c>
      <c r="AB523">
        <v>260.478</v>
      </c>
      <c r="AC523">
        <v>1.22517909957104</v>
      </c>
      <c r="AE523">
        <v>260.478</v>
      </c>
      <c r="AF523">
        <v>-2116.44420094346</v>
      </c>
      <c r="AG523">
        <v>-2105.02784345208</v>
      </c>
      <c r="AH523">
        <v>-1920.10312932372</v>
      </c>
      <c r="AI523">
        <v>-1851.53316063419</v>
      </c>
      <c r="AJ523">
        <v>-1932.41054611045</v>
      </c>
    </row>
    <row r="524" spans="20:36">
      <c r="T524">
        <v>260.977</v>
      </c>
      <c r="U524">
        <v>1.22137956485012</v>
      </c>
      <c r="V524">
        <v>260.977</v>
      </c>
      <c r="W524">
        <v>1.22218438425148</v>
      </c>
      <c r="X524">
        <v>260.977</v>
      </c>
      <c r="Y524">
        <v>1.22336865015442</v>
      </c>
      <c r="Z524">
        <v>260.977</v>
      </c>
      <c r="AA524">
        <v>1.21685109206685</v>
      </c>
      <c r="AB524">
        <v>260.977</v>
      </c>
      <c r="AC524">
        <v>1.22366366562906</v>
      </c>
      <c r="AE524">
        <v>260.977</v>
      </c>
      <c r="AF524">
        <v>-2079.77099757782</v>
      </c>
      <c r="AG524">
        <v>-2021.8827712157</v>
      </c>
      <c r="AH524">
        <v>-2019.55269896226</v>
      </c>
      <c r="AI524">
        <v>-1913.48939178793</v>
      </c>
      <c r="AJ524">
        <v>-2028.12412176458</v>
      </c>
    </row>
    <row r="525" spans="20:36">
      <c r="T525">
        <v>261.476</v>
      </c>
      <c r="U525">
        <v>1.22644571496824</v>
      </c>
      <c r="V525">
        <v>261.476</v>
      </c>
      <c r="W525">
        <v>1.22220485775406</v>
      </c>
      <c r="X525">
        <v>261.476</v>
      </c>
      <c r="Y525">
        <v>1.21976691312248</v>
      </c>
      <c r="Z525">
        <v>261.476</v>
      </c>
      <c r="AA525">
        <v>1.22464060743654</v>
      </c>
      <c r="AB525">
        <v>261.476</v>
      </c>
      <c r="AC525">
        <v>1.22209959976837</v>
      </c>
      <c r="AE525">
        <v>261.476</v>
      </c>
      <c r="AF525">
        <v>-2027.35576970954</v>
      </c>
      <c r="AG525">
        <v>-2022.75991384413</v>
      </c>
      <c r="AH525">
        <v>-2006.45961138562</v>
      </c>
      <c r="AI525">
        <v>-2027.80246104535</v>
      </c>
      <c r="AJ525">
        <v>-2078.20943096193</v>
      </c>
    </row>
    <row r="526" spans="20:36">
      <c r="T526">
        <v>261.975</v>
      </c>
      <c r="U526">
        <v>1.22849832827454</v>
      </c>
      <c r="V526">
        <v>261.975</v>
      </c>
      <c r="W526">
        <v>1.22024614788076</v>
      </c>
      <c r="X526">
        <v>261.975</v>
      </c>
      <c r="Y526">
        <v>1.21740114133228</v>
      </c>
      <c r="Z526">
        <v>261.975</v>
      </c>
      <c r="AA526">
        <v>1.22412604071317</v>
      </c>
      <c r="AB526">
        <v>261.975</v>
      </c>
      <c r="AC526">
        <v>1.22155677742224</v>
      </c>
      <c r="AE526">
        <v>261.975</v>
      </c>
      <c r="AF526">
        <v>-1946.98874894047</v>
      </c>
      <c r="AG526">
        <v>-2127.51292233501</v>
      </c>
      <c r="AH526">
        <v>-1848.5729135017</v>
      </c>
      <c r="AI526">
        <v>-2074.53601978613</v>
      </c>
      <c r="AJ526">
        <v>-1890.73035498939</v>
      </c>
    </row>
    <row r="527" spans="20:36">
      <c r="T527">
        <v>262.474</v>
      </c>
      <c r="U527">
        <v>1.22109602733251</v>
      </c>
      <c r="V527">
        <v>262.474</v>
      </c>
      <c r="W527">
        <v>1.21537429618326</v>
      </c>
      <c r="X527">
        <v>262.474</v>
      </c>
      <c r="Y527">
        <v>1.22797130828136</v>
      </c>
      <c r="Z527">
        <v>262.474</v>
      </c>
      <c r="AA527">
        <v>1.2179363974594</v>
      </c>
      <c r="AB527">
        <v>262.474</v>
      </c>
      <c r="AC527">
        <v>1.22392556184893</v>
      </c>
      <c r="AE527">
        <v>262.474</v>
      </c>
      <c r="AF527">
        <v>-1971.83734228841</v>
      </c>
      <c r="AG527">
        <v>-2239.07729060356</v>
      </c>
      <c r="AH527">
        <v>-1897.02297068156</v>
      </c>
      <c r="AI527">
        <v>-1928.4870511434</v>
      </c>
      <c r="AJ527">
        <v>-1869.67225686901</v>
      </c>
    </row>
    <row r="528" spans="20:36">
      <c r="T528">
        <v>262.973</v>
      </c>
      <c r="U528">
        <v>1.22108923034918</v>
      </c>
      <c r="V528">
        <v>262.973</v>
      </c>
      <c r="W528">
        <v>1.21738648161897</v>
      </c>
      <c r="X528">
        <v>262.973</v>
      </c>
      <c r="Y528">
        <v>1.22442506311937</v>
      </c>
      <c r="Z528">
        <v>262.973</v>
      </c>
      <c r="AA528">
        <v>1.22132847318885</v>
      </c>
      <c r="AB528">
        <v>262.973</v>
      </c>
      <c r="AC528">
        <v>1.22231738761029</v>
      </c>
      <c r="AE528">
        <v>262.973</v>
      </c>
      <c r="AF528">
        <v>-1980.30802620022</v>
      </c>
      <c r="AG528">
        <v>-2032.17718265453</v>
      </c>
      <c r="AH528">
        <v>-1984.28936461504</v>
      </c>
      <c r="AI528">
        <v>-1829.99944548193</v>
      </c>
      <c r="AJ528">
        <v>-1955.44911057052</v>
      </c>
    </row>
    <row r="529" spans="20:36">
      <c r="T529">
        <v>263.472</v>
      </c>
      <c r="U529">
        <v>1.21659641786168</v>
      </c>
      <c r="V529">
        <v>263.472</v>
      </c>
      <c r="W529">
        <v>1.22337962517646</v>
      </c>
      <c r="X529">
        <v>263.472</v>
      </c>
      <c r="Y529">
        <v>1.22458527127896</v>
      </c>
      <c r="Z529">
        <v>263.472</v>
      </c>
      <c r="AA529">
        <v>1.21997941915356</v>
      </c>
      <c r="AB529">
        <v>263.472</v>
      </c>
      <c r="AC529">
        <v>1.22820936654731</v>
      </c>
      <c r="AE529">
        <v>263.472</v>
      </c>
      <c r="AF529">
        <v>-1974.5468705805</v>
      </c>
      <c r="AG529">
        <v>-1916.84841548173</v>
      </c>
      <c r="AH529">
        <v>-2059.08533484761</v>
      </c>
      <c r="AI529">
        <v>-1828.7654326066</v>
      </c>
      <c r="AJ529">
        <v>-2138.38192413922</v>
      </c>
    </row>
    <row r="530" spans="20:36">
      <c r="T530">
        <v>263.971</v>
      </c>
      <c r="U530">
        <v>1.21832102602882</v>
      </c>
      <c r="V530">
        <v>263.971</v>
      </c>
      <c r="W530">
        <v>1.2301921602806</v>
      </c>
      <c r="X530">
        <v>263.971</v>
      </c>
      <c r="Y530">
        <v>1.21779330619448</v>
      </c>
      <c r="Z530">
        <v>263.971</v>
      </c>
      <c r="AA530">
        <v>1.22104992019941</v>
      </c>
      <c r="AB530">
        <v>263.971</v>
      </c>
      <c r="AC530">
        <v>1.2248293390742</v>
      </c>
      <c r="AE530">
        <v>263.971</v>
      </c>
      <c r="AF530">
        <v>-2011.8202174571</v>
      </c>
      <c r="AG530">
        <v>-2043.74237309679</v>
      </c>
      <c r="AH530">
        <v>-1978.79989663108</v>
      </c>
      <c r="AI530">
        <v>-1956.23794787731</v>
      </c>
      <c r="AJ530">
        <v>-2016.70675733218</v>
      </c>
    </row>
    <row r="531" spans="20:36">
      <c r="T531">
        <v>264.47</v>
      </c>
      <c r="U531">
        <v>1.21906856772964</v>
      </c>
      <c r="V531">
        <v>264.47</v>
      </c>
      <c r="W531">
        <v>1.22521045880664</v>
      </c>
      <c r="X531">
        <v>264.47</v>
      </c>
      <c r="Y531">
        <v>1.2240447043945</v>
      </c>
      <c r="Z531">
        <v>264.47</v>
      </c>
      <c r="AA531">
        <v>1.22506434511303</v>
      </c>
      <c r="AB531">
        <v>264.47</v>
      </c>
      <c r="AC531">
        <v>1.22200517749774</v>
      </c>
      <c r="AE531">
        <v>264.47</v>
      </c>
      <c r="AF531">
        <v>-1984.40482946519</v>
      </c>
      <c r="AG531">
        <v>-2144.56148436617</v>
      </c>
      <c r="AH531">
        <v>-1912.4616492519</v>
      </c>
      <c r="AI531">
        <v>-2060.35893483293</v>
      </c>
      <c r="AJ531">
        <v>-1975.32100896948</v>
      </c>
    </row>
    <row r="532" spans="20:36">
      <c r="T532">
        <v>264.969</v>
      </c>
      <c r="U532">
        <v>1.2242395925496</v>
      </c>
      <c r="V532">
        <v>264.969</v>
      </c>
      <c r="W532">
        <v>1.22062193212209</v>
      </c>
      <c r="X532">
        <v>264.969</v>
      </c>
      <c r="Y532">
        <v>1.22169565311836</v>
      </c>
      <c r="Z532">
        <v>264.969</v>
      </c>
      <c r="AA532">
        <v>1.2238114658008</v>
      </c>
      <c r="AB532">
        <v>264.969</v>
      </c>
      <c r="AC532">
        <v>1.22227421826168</v>
      </c>
      <c r="AE532">
        <v>264.969</v>
      </c>
      <c r="AF532">
        <v>-1998.02313704359</v>
      </c>
      <c r="AG532">
        <v>-2071.71877268543</v>
      </c>
      <c r="AH532">
        <v>-1966.52158728817</v>
      </c>
      <c r="AI532">
        <v>-1937.12507417147</v>
      </c>
      <c r="AJ532">
        <v>-1923.8169424024</v>
      </c>
    </row>
    <row r="533" spans="20:36">
      <c r="T533">
        <v>265.468</v>
      </c>
      <c r="U533">
        <v>1.22220503666545</v>
      </c>
      <c r="V533">
        <v>265.468</v>
      </c>
      <c r="W533">
        <v>1.21725408111777</v>
      </c>
      <c r="X533">
        <v>265.468</v>
      </c>
      <c r="Y533">
        <v>1.22131959547556</v>
      </c>
      <c r="Z533">
        <v>265.468</v>
      </c>
      <c r="AA533">
        <v>1.22749528490777</v>
      </c>
      <c r="AB533">
        <v>265.468</v>
      </c>
      <c r="AC533">
        <v>1.2147729749365</v>
      </c>
      <c r="AE533">
        <v>265.468</v>
      </c>
      <c r="AF533">
        <v>-1983.84086545527</v>
      </c>
      <c r="AG533">
        <v>-2061.74311309381</v>
      </c>
      <c r="AH533">
        <v>-1925.48614466661</v>
      </c>
      <c r="AI533">
        <v>-1920.24463777432</v>
      </c>
      <c r="AJ533">
        <v>-1948.5865284963</v>
      </c>
    </row>
    <row r="534" spans="20:36">
      <c r="T534">
        <v>265.967</v>
      </c>
      <c r="U534">
        <v>1.22601994785278</v>
      </c>
      <c r="V534">
        <v>265.967</v>
      </c>
      <c r="W534">
        <v>1.22957083172889</v>
      </c>
      <c r="X534">
        <v>265.967</v>
      </c>
      <c r="Y534">
        <v>1.21547030613451</v>
      </c>
      <c r="Z534">
        <v>265.967</v>
      </c>
      <c r="AA534">
        <v>1.22358021716407</v>
      </c>
      <c r="AB534">
        <v>265.967</v>
      </c>
      <c r="AC534">
        <v>1.21472386612898</v>
      </c>
      <c r="AE534">
        <v>265.967</v>
      </c>
      <c r="AF534">
        <v>-2102.23433657187</v>
      </c>
      <c r="AG534">
        <v>-1944.7501249639</v>
      </c>
      <c r="AH534">
        <v>-1942.54609884418</v>
      </c>
      <c r="AI534">
        <v>-1952.97219947901</v>
      </c>
      <c r="AJ534">
        <v>-1938.36861699534</v>
      </c>
    </row>
    <row r="535" spans="20:36">
      <c r="T535">
        <v>266.466</v>
      </c>
      <c r="U535">
        <v>1.21816769394993</v>
      </c>
      <c r="V535">
        <v>266.466</v>
      </c>
      <c r="W535">
        <v>1.22097571921782</v>
      </c>
      <c r="X535">
        <v>266.466</v>
      </c>
      <c r="Y535">
        <v>1.22288904858397</v>
      </c>
      <c r="Z535">
        <v>266.466</v>
      </c>
      <c r="AA535">
        <v>1.22479666023839</v>
      </c>
      <c r="AB535">
        <v>266.466</v>
      </c>
      <c r="AC535">
        <v>1.21686628115602</v>
      </c>
      <c r="AE535">
        <v>266.466</v>
      </c>
      <c r="AF535">
        <v>-1959.17650816978</v>
      </c>
      <c r="AG535">
        <v>-1977.56334298325</v>
      </c>
      <c r="AH535">
        <v>-2022.8473266126</v>
      </c>
      <c r="AI535">
        <v>-1935.85245764727</v>
      </c>
      <c r="AJ535">
        <v>-1975.45402602168</v>
      </c>
    </row>
    <row r="536" spans="20:36">
      <c r="T536">
        <v>266.965</v>
      </c>
      <c r="U536">
        <v>1.21643575766786</v>
      </c>
      <c r="V536">
        <v>266.965</v>
      </c>
      <c r="W536">
        <v>1.22681204471978</v>
      </c>
      <c r="X536">
        <v>266.965</v>
      </c>
      <c r="Y536">
        <v>1.22096389361402</v>
      </c>
      <c r="Z536">
        <v>266.965</v>
      </c>
      <c r="AA536">
        <v>1.22230220585788</v>
      </c>
      <c r="AB536">
        <v>266.965</v>
      </c>
      <c r="AC536">
        <v>1.22604335389884</v>
      </c>
      <c r="AE536">
        <v>266.965</v>
      </c>
      <c r="AF536">
        <v>-1950.45206991943</v>
      </c>
      <c r="AG536">
        <v>-2100.66197868318</v>
      </c>
      <c r="AH536">
        <v>-2031.78426809928</v>
      </c>
      <c r="AI536">
        <v>-1935.73276076427</v>
      </c>
      <c r="AJ536">
        <v>-1987.00355599804</v>
      </c>
    </row>
    <row r="537" spans="20:36">
      <c r="T537">
        <v>267.464</v>
      </c>
      <c r="U537">
        <v>1.22437792275217</v>
      </c>
      <c r="V537">
        <v>267.464</v>
      </c>
      <c r="W537">
        <v>1.22298921319443</v>
      </c>
      <c r="X537">
        <v>267.464</v>
      </c>
      <c r="Y537">
        <v>1.22964493380453</v>
      </c>
      <c r="Z537">
        <v>267.464</v>
      </c>
      <c r="AA537">
        <v>1.21176612879766</v>
      </c>
      <c r="AB537">
        <v>267.464</v>
      </c>
      <c r="AC537">
        <v>1.22091979362051</v>
      </c>
      <c r="AE537">
        <v>267.464</v>
      </c>
      <c r="AF537">
        <v>-2007.30560527209</v>
      </c>
      <c r="AG537">
        <v>-2073.64456964541</v>
      </c>
      <c r="AH537">
        <v>-1978.61033784248</v>
      </c>
      <c r="AI537">
        <v>-1973.2596972888</v>
      </c>
      <c r="AJ537">
        <v>-1907.20473919169</v>
      </c>
    </row>
    <row r="538" spans="20:36">
      <c r="T538">
        <v>267.963</v>
      </c>
      <c r="U538">
        <v>1.22722144262299</v>
      </c>
      <c r="V538">
        <v>267.963</v>
      </c>
      <c r="W538">
        <v>1.21683487839975</v>
      </c>
      <c r="X538">
        <v>267.963</v>
      </c>
      <c r="Y538">
        <v>1.22679679279811</v>
      </c>
      <c r="Z538">
        <v>267.963</v>
      </c>
      <c r="AA538">
        <v>1.22531888940256</v>
      </c>
      <c r="AB538">
        <v>267.963</v>
      </c>
      <c r="AC538">
        <v>1.22261406958003</v>
      </c>
      <c r="AE538">
        <v>267.963</v>
      </c>
      <c r="AF538">
        <v>-1998.67556025354</v>
      </c>
      <c r="AG538">
        <v>-2013.34451813522</v>
      </c>
      <c r="AH538">
        <v>-1881.9757277852</v>
      </c>
      <c r="AI538">
        <v>-2037.65074868444</v>
      </c>
      <c r="AJ538">
        <v>-1858.05545734755</v>
      </c>
    </row>
    <row r="539" spans="20:36">
      <c r="T539">
        <v>268.462</v>
      </c>
      <c r="U539">
        <v>1.21629076750576</v>
      </c>
      <c r="V539">
        <v>268.462</v>
      </c>
      <c r="W539">
        <v>1.21713005656704</v>
      </c>
      <c r="X539">
        <v>268.462</v>
      </c>
      <c r="Y539">
        <v>1.22459667391276</v>
      </c>
      <c r="Z539">
        <v>268.462</v>
      </c>
      <c r="AA539">
        <v>1.21795840411027</v>
      </c>
      <c r="AB539">
        <v>268.462</v>
      </c>
      <c r="AC539">
        <v>1.22361404663356</v>
      </c>
      <c r="AE539">
        <v>268.462</v>
      </c>
      <c r="AF539">
        <v>-1968.7805186583</v>
      </c>
      <c r="AG539">
        <v>-1980.01861266036</v>
      </c>
      <c r="AH539">
        <v>-2011.95005496098</v>
      </c>
      <c r="AI539">
        <v>-1921.76236215831</v>
      </c>
      <c r="AJ539">
        <v>-1991.75650751106</v>
      </c>
    </row>
    <row r="540" spans="20:36">
      <c r="T540">
        <v>268.961</v>
      </c>
      <c r="U540">
        <v>1.22688649015378</v>
      </c>
      <c r="V540">
        <v>268.961</v>
      </c>
      <c r="W540">
        <v>1.2209791691199</v>
      </c>
      <c r="X540">
        <v>268.961</v>
      </c>
      <c r="Y540">
        <v>1.22217776252125</v>
      </c>
      <c r="Z540">
        <v>268.961</v>
      </c>
      <c r="AA540">
        <v>1.21309515925476</v>
      </c>
      <c r="AB540">
        <v>268.961</v>
      </c>
      <c r="AC540">
        <v>1.21813806302502</v>
      </c>
      <c r="AE540">
        <v>268.961</v>
      </c>
      <c r="AF540">
        <v>-2056.6989466422</v>
      </c>
      <c r="AG540">
        <v>-2008.10749328462</v>
      </c>
      <c r="AH540">
        <v>-2005.1364601407</v>
      </c>
      <c r="AI540">
        <v>-1939.93057087175</v>
      </c>
      <c r="AJ540">
        <v>-2050.70278037129</v>
      </c>
    </row>
    <row r="541" spans="20:36">
      <c r="T541">
        <v>269.46</v>
      </c>
      <c r="U541">
        <v>1.22571556224728</v>
      </c>
      <c r="V541">
        <v>269.46</v>
      </c>
      <c r="W541">
        <v>1.21692149911468</v>
      </c>
      <c r="X541">
        <v>269.46</v>
      </c>
      <c r="Y541">
        <v>1.21423191217861</v>
      </c>
      <c r="Z541">
        <v>269.46</v>
      </c>
      <c r="AA541">
        <v>1.21635858521777</v>
      </c>
      <c r="AB541">
        <v>269.46</v>
      </c>
      <c r="AC541">
        <v>1.21548563732526</v>
      </c>
      <c r="AE541">
        <v>269.46</v>
      </c>
      <c r="AF541">
        <v>-2077.62801052505</v>
      </c>
      <c r="AG541">
        <v>-2053.12705186358</v>
      </c>
      <c r="AH541">
        <v>-1975.1019024096</v>
      </c>
      <c r="AI541">
        <v>-1907.97494306585</v>
      </c>
      <c r="AJ541">
        <v>-2016.58687034639</v>
      </c>
    </row>
    <row r="542" spans="20:36">
      <c r="T542">
        <v>269.959</v>
      </c>
      <c r="U542">
        <v>1.23291487617205</v>
      </c>
      <c r="V542">
        <v>269.959</v>
      </c>
      <c r="W542">
        <v>1.21914763607062</v>
      </c>
      <c r="X542">
        <v>269.959</v>
      </c>
      <c r="Y542">
        <v>1.22470269117514</v>
      </c>
      <c r="Z542">
        <v>269.959</v>
      </c>
      <c r="AA542">
        <v>1.22998928310258</v>
      </c>
      <c r="AB542">
        <v>269.959</v>
      </c>
      <c r="AC542">
        <v>1.22302817982821</v>
      </c>
      <c r="AE542">
        <v>269.959</v>
      </c>
      <c r="AF542">
        <v>-2070.5195343672</v>
      </c>
      <c r="AG542">
        <v>-2079.59235536776</v>
      </c>
      <c r="AH542">
        <v>-1972.92591677351</v>
      </c>
      <c r="AI542">
        <v>-1882.84432793966</v>
      </c>
      <c r="AJ542">
        <v>-1981.97953741933</v>
      </c>
    </row>
    <row r="543" spans="20:36">
      <c r="T543">
        <v>270.458</v>
      </c>
      <c r="U543">
        <v>1.2295518167508</v>
      </c>
      <c r="V543">
        <v>270.458</v>
      </c>
      <c r="W543">
        <v>1.21800856153325</v>
      </c>
      <c r="X543">
        <v>270.458</v>
      </c>
      <c r="Y543">
        <v>1.22117974944409</v>
      </c>
      <c r="Z543">
        <v>270.458</v>
      </c>
      <c r="AA543">
        <v>1.21631030864247</v>
      </c>
      <c r="AB543">
        <v>270.458</v>
      </c>
      <c r="AC543">
        <v>1.22556246964318</v>
      </c>
      <c r="AE543">
        <v>270.458</v>
      </c>
      <c r="AF543">
        <v>-1962.7379465932</v>
      </c>
      <c r="AG543">
        <v>-2091.97588761068</v>
      </c>
      <c r="AH543">
        <v>-1932.60400902742</v>
      </c>
      <c r="AI543">
        <v>-1936.01505495251</v>
      </c>
      <c r="AJ543">
        <v>-1946.75281072063</v>
      </c>
    </row>
    <row r="544" spans="20:36">
      <c r="T544">
        <v>270.957</v>
      </c>
      <c r="U544">
        <v>1.22897992813866</v>
      </c>
      <c r="V544">
        <v>270.957</v>
      </c>
      <c r="W544">
        <v>1.22791947424895</v>
      </c>
      <c r="X544">
        <v>270.957</v>
      </c>
      <c r="Y544">
        <v>1.21857609469692</v>
      </c>
      <c r="Z544">
        <v>270.957</v>
      </c>
      <c r="AA544">
        <v>1.22528005121551</v>
      </c>
      <c r="AB544">
        <v>270.957</v>
      </c>
      <c r="AC544">
        <v>1.21916910985335</v>
      </c>
      <c r="AE544">
        <v>270.957</v>
      </c>
      <c r="AF544">
        <v>-1984.37472925406</v>
      </c>
      <c r="AG544">
        <v>-2161.2979008455</v>
      </c>
      <c r="AH544">
        <v>-1915.6256549043</v>
      </c>
      <c r="AI544">
        <v>-2004.33737322042</v>
      </c>
      <c r="AJ544">
        <v>-1866.80908637185</v>
      </c>
    </row>
    <row r="545" spans="20:36">
      <c r="T545">
        <v>271.456</v>
      </c>
      <c r="U545">
        <v>1.22133028291588</v>
      </c>
      <c r="V545">
        <v>271.456</v>
      </c>
      <c r="W545">
        <v>1.2227268711555</v>
      </c>
      <c r="X545">
        <v>271.456</v>
      </c>
      <c r="Y545">
        <v>1.22527770879772</v>
      </c>
      <c r="Z545">
        <v>271.456</v>
      </c>
      <c r="AA545">
        <v>1.22830724100403</v>
      </c>
      <c r="AB545">
        <v>271.456</v>
      </c>
      <c r="AC545">
        <v>1.23514629747219</v>
      </c>
      <c r="AE545">
        <v>271.456</v>
      </c>
      <c r="AF545">
        <v>-2071.44472029814</v>
      </c>
      <c r="AG545">
        <v>-2017.99989823111</v>
      </c>
      <c r="AH545">
        <v>-1996.26356050864</v>
      </c>
      <c r="AI545">
        <v>-2132.65671511997</v>
      </c>
      <c r="AJ545">
        <v>-2012.34437371001</v>
      </c>
    </row>
    <row r="546" spans="20:36">
      <c r="T546">
        <v>271.955</v>
      </c>
      <c r="U546">
        <v>1.2212565682898</v>
      </c>
      <c r="V546">
        <v>271.955</v>
      </c>
      <c r="W546">
        <v>1.22320506202886</v>
      </c>
      <c r="X546">
        <v>271.955</v>
      </c>
      <c r="Y546">
        <v>1.23103461191379</v>
      </c>
      <c r="Z546">
        <v>271.955</v>
      </c>
      <c r="AA546">
        <v>1.21965005759492</v>
      </c>
      <c r="AB546">
        <v>271.955</v>
      </c>
      <c r="AC546">
        <v>1.22483641832465</v>
      </c>
      <c r="AE546">
        <v>271.955</v>
      </c>
      <c r="AF546">
        <v>-2075.11601156437</v>
      </c>
      <c r="AG546">
        <v>-1964.75157970041</v>
      </c>
      <c r="AH546">
        <v>-2000.0824053315</v>
      </c>
      <c r="AI546">
        <v>-2044.77146571349</v>
      </c>
      <c r="AJ546">
        <v>-2026.01857574862</v>
      </c>
    </row>
    <row r="547" spans="20:36">
      <c r="T547">
        <v>272.454</v>
      </c>
      <c r="U547">
        <v>1.22621642227062</v>
      </c>
      <c r="V547">
        <v>272.454</v>
      </c>
      <c r="W547">
        <v>1.22751596619126</v>
      </c>
      <c r="X547">
        <v>272.454</v>
      </c>
      <c r="Y547">
        <v>1.22631407550625</v>
      </c>
      <c r="Z547">
        <v>272.454</v>
      </c>
      <c r="AA547">
        <v>1.22332609941357</v>
      </c>
      <c r="AB547">
        <v>272.454</v>
      </c>
      <c r="AC547">
        <v>1.22426246065667</v>
      </c>
      <c r="AE547">
        <v>272.454</v>
      </c>
      <c r="AF547">
        <v>-2018.22172762835</v>
      </c>
      <c r="AG547">
        <v>-2001.52044199777</v>
      </c>
      <c r="AH547">
        <v>-1996.50574902362</v>
      </c>
      <c r="AI547">
        <v>-1865.25602421961</v>
      </c>
      <c r="AJ547">
        <v>-2023.3034444617</v>
      </c>
    </row>
    <row r="548" spans="20:36">
      <c r="T548">
        <v>272.953</v>
      </c>
      <c r="U548">
        <v>1.22734374573134</v>
      </c>
      <c r="V548">
        <v>272.953</v>
      </c>
      <c r="W548">
        <v>1.22957000324589</v>
      </c>
      <c r="X548">
        <v>272.953</v>
      </c>
      <c r="Y548">
        <v>1.21842887130005</v>
      </c>
      <c r="Z548">
        <v>272.953</v>
      </c>
      <c r="AA548">
        <v>1.22421405995762</v>
      </c>
      <c r="AB548">
        <v>272.953</v>
      </c>
      <c r="AC548">
        <v>1.22843403001521</v>
      </c>
      <c r="AE548">
        <v>272.953</v>
      </c>
      <c r="AF548">
        <v>-1910.99873416333</v>
      </c>
      <c r="AG548">
        <v>-2097.88502473674</v>
      </c>
      <c r="AH548">
        <v>-1981.4790116584</v>
      </c>
      <c r="AI548">
        <v>-1799.0882019071</v>
      </c>
      <c r="AJ548">
        <v>-1883.46507960021</v>
      </c>
    </row>
    <row r="549" spans="20:36">
      <c r="T549">
        <v>273.452</v>
      </c>
      <c r="U549">
        <v>1.22810633581025</v>
      </c>
      <c r="V549">
        <v>273.452</v>
      </c>
      <c r="W549">
        <v>1.23142886610108</v>
      </c>
      <c r="X549">
        <v>273.452</v>
      </c>
      <c r="Y549">
        <v>1.22310772417968</v>
      </c>
      <c r="Z549">
        <v>273.452</v>
      </c>
      <c r="AA549">
        <v>1.23274979852622</v>
      </c>
      <c r="AB549">
        <v>273.452</v>
      </c>
      <c r="AC549">
        <v>1.22629466596917</v>
      </c>
      <c r="AE549">
        <v>273.452</v>
      </c>
      <c r="AF549">
        <v>-1903.74648648455</v>
      </c>
      <c r="AG549">
        <v>-2175.49905461867</v>
      </c>
      <c r="AH549">
        <v>-1931.27014774303</v>
      </c>
      <c r="AI549">
        <v>-2081.94572599584</v>
      </c>
      <c r="AJ549">
        <v>-1973.61823185406</v>
      </c>
    </row>
    <row r="550" spans="20:36">
      <c r="T550">
        <v>273.951</v>
      </c>
      <c r="U550">
        <v>1.2275263570463</v>
      </c>
      <c r="V550">
        <v>273.951</v>
      </c>
      <c r="W550">
        <v>1.22974979590198</v>
      </c>
      <c r="X550">
        <v>273.951</v>
      </c>
      <c r="Y550">
        <v>1.2225664928775</v>
      </c>
      <c r="Z550">
        <v>273.951</v>
      </c>
      <c r="AA550">
        <v>1.22749561714241</v>
      </c>
      <c r="AB550">
        <v>273.951</v>
      </c>
      <c r="AC550">
        <v>1.22280151647145</v>
      </c>
      <c r="AE550">
        <v>273.951</v>
      </c>
      <c r="AF550">
        <v>-1994.86409519438</v>
      </c>
      <c r="AG550">
        <v>-2069.55621865336</v>
      </c>
      <c r="AH550">
        <v>-2009.24598903974</v>
      </c>
      <c r="AI550">
        <v>-2103.86983547622</v>
      </c>
      <c r="AJ550">
        <v>-2050.25439642173</v>
      </c>
    </row>
    <row r="551" spans="20:36">
      <c r="T551">
        <v>274.45</v>
      </c>
      <c r="U551">
        <v>1.22102652157322</v>
      </c>
      <c r="V551">
        <v>274.45</v>
      </c>
      <c r="W551">
        <v>1.22684294968186</v>
      </c>
      <c r="X551">
        <v>274.45</v>
      </c>
      <c r="Y551">
        <v>1.22612782290761</v>
      </c>
      <c r="Z551">
        <v>274.45</v>
      </c>
      <c r="AA551">
        <v>1.22332182866976</v>
      </c>
      <c r="AB551">
        <v>274.45</v>
      </c>
      <c r="AC551">
        <v>1.21394734534989</v>
      </c>
      <c r="AE551">
        <v>274.45</v>
      </c>
      <c r="AF551">
        <v>-2091.13948451974</v>
      </c>
      <c r="AG551">
        <v>-1937.0099611604</v>
      </c>
      <c r="AH551">
        <v>-2072.38803391402</v>
      </c>
      <c r="AI551">
        <v>-2000.67833839177</v>
      </c>
      <c r="AJ551">
        <v>-1943.75142994196</v>
      </c>
    </row>
    <row r="552" spans="20:36">
      <c r="T552">
        <v>274.949</v>
      </c>
      <c r="U552">
        <v>1.22292768657943</v>
      </c>
      <c r="V552">
        <v>274.949</v>
      </c>
      <c r="W552">
        <v>1.22846030513048</v>
      </c>
      <c r="X552">
        <v>274.949</v>
      </c>
      <c r="Y552">
        <v>1.22271835937227</v>
      </c>
      <c r="Z552">
        <v>274.949</v>
      </c>
      <c r="AA552">
        <v>1.22594418821796</v>
      </c>
      <c r="AB552">
        <v>274.949</v>
      </c>
      <c r="AC552">
        <v>1.21237683394493</v>
      </c>
      <c r="AE552">
        <v>274.949</v>
      </c>
      <c r="AF552">
        <v>-1987.06626546854</v>
      </c>
      <c r="AG552">
        <v>-2063.23590090738</v>
      </c>
      <c r="AH552">
        <v>-1999.03491493224</v>
      </c>
      <c r="AI552">
        <v>-1959.60842015438</v>
      </c>
      <c r="AJ552">
        <v>-1814.23596506104</v>
      </c>
    </row>
    <row r="553" spans="20:36">
      <c r="T553">
        <v>275.448</v>
      </c>
      <c r="U553">
        <v>1.22764723902556</v>
      </c>
      <c r="V553">
        <v>275.448</v>
      </c>
      <c r="W553">
        <v>1.22362541900445</v>
      </c>
      <c r="X553">
        <v>275.448</v>
      </c>
      <c r="Y553">
        <v>1.2176416650273</v>
      </c>
      <c r="Z553">
        <v>275.448</v>
      </c>
      <c r="AA553">
        <v>1.22231130594041</v>
      </c>
      <c r="AB553">
        <v>275.448</v>
      </c>
      <c r="AC553">
        <v>1.21701438798973</v>
      </c>
      <c r="AE553">
        <v>275.448</v>
      </c>
      <c r="AF553">
        <v>-1928.94103905937</v>
      </c>
      <c r="AG553">
        <v>-2038.18353314153</v>
      </c>
      <c r="AH553">
        <v>-1953.17129419423</v>
      </c>
      <c r="AI553">
        <v>-2004.44316220632</v>
      </c>
      <c r="AJ553">
        <v>-1990.02576345627</v>
      </c>
    </row>
    <row r="554" spans="20:36">
      <c r="T554">
        <v>275.947</v>
      </c>
      <c r="U554">
        <v>1.2289706060392</v>
      </c>
      <c r="V554">
        <v>275.947</v>
      </c>
      <c r="W554">
        <v>1.22368107712804</v>
      </c>
      <c r="X554">
        <v>275.947</v>
      </c>
      <c r="Y554">
        <v>1.22198116750913</v>
      </c>
      <c r="Z554">
        <v>275.947</v>
      </c>
      <c r="AA554">
        <v>1.22267332014936</v>
      </c>
      <c r="AB554">
        <v>275.947</v>
      </c>
      <c r="AC554">
        <v>1.21931893906705</v>
      </c>
      <c r="AE554">
        <v>275.947</v>
      </c>
      <c r="AF554">
        <v>-1995.07001960664</v>
      </c>
      <c r="AG554">
        <v>-2003.3404668229</v>
      </c>
      <c r="AH554">
        <v>-1879.65648012979</v>
      </c>
      <c r="AI554">
        <v>-1971.71741652385</v>
      </c>
      <c r="AJ554">
        <v>-2064.67372386872</v>
      </c>
    </row>
    <row r="555" spans="20:36">
      <c r="T555">
        <v>276.446</v>
      </c>
      <c r="U555">
        <v>1.22788970332636</v>
      </c>
      <c r="V555">
        <v>276.446</v>
      </c>
      <c r="W555">
        <v>1.21714793732056</v>
      </c>
      <c r="X555">
        <v>276.446</v>
      </c>
      <c r="Y555">
        <v>1.22253995444368</v>
      </c>
      <c r="Z555">
        <v>276.446</v>
      </c>
      <c r="AA555">
        <v>1.21856651968578</v>
      </c>
      <c r="AB555">
        <v>276.446</v>
      </c>
      <c r="AC555">
        <v>1.22308732779815</v>
      </c>
      <c r="AE555">
        <v>276.446</v>
      </c>
      <c r="AF555">
        <v>-2006.60611363523</v>
      </c>
      <c r="AG555">
        <v>-2024.71522567993</v>
      </c>
      <c r="AH555">
        <v>-1999.1376596493</v>
      </c>
      <c r="AI555">
        <v>-1948.9705127988</v>
      </c>
      <c r="AJ555">
        <v>-1948.51106003157</v>
      </c>
    </row>
    <row r="556" spans="20:36">
      <c r="T556">
        <v>276.945</v>
      </c>
      <c r="U556">
        <v>1.22865581728971</v>
      </c>
      <c r="V556">
        <v>276.945</v>
      </c>
      <c r="W556">
        <v>1.22508244272219</v>
      </c>
      <c r="X556">
        <v>276.945</v>
      </c>
      <c r="Y556">
        <v>1.22867554666095</v>
      </c>
      <c r="Z556">
        <v>276.945</v>
      </c>
      <c r="AA556">
        <v>1.22063828523493</v>
      </c>
      <c r="AB556">
        <v>276.945</v>
      </c>
      <c r="AC556">
        <v>1.22497933444292</v>
      </c>
      <c r="AE556">
        <v>276.945</v>
      </c>
      <c r="AF556">
        <v>-1970.7123599054</v>
      </c>
      <c r="AG556">
        <v>-2176.0748418636</v>
      </c>
      <c r="AH556">
        <v>-2090.35928348898</v>
      </c>
      <c r="AI556">
        <v>-1933.33376959951</v>
      </c>
      <c r="AJ556">
        <v>-1811.77152034896</v>
      </c>
    </row>
    <row r="557" spans="20:36">
      <c r="T557">
        <v>277.444</v>
      </c>
      <c r="U557">
        <v>1.22429527093902</v>
      </c>
      <c r="V557">
        <v>277.444</v>
      </c>
      <c r="W557">
        <v>1.22079303501652</v>
      </c>
      <c r="X557">
        <v>277.444</v>
      </c>
      <c r="Y557">
        <v>1.23135428017247</v>
      </c>
      <c r="Z557">
        <v>277.444</v>
      </c>
      <c r="AA557">
        <v>1.22408560885996</v>
      </c>
      <c r="AB557">
        <v>277.444</v>
      </c>
      <c r="AC557">
        <v>1.22233584405183</v>
      </c>
      <c r="AE557">
        <v>277.444</v>
      </c>
      <c r="AF557">
        <v>-1981.56714455793</v>
      </c>
      <c r="AG557">
        <v>-2071.84020243034</v>
      </c>
      <c r="AH557">
        <v>-2029.87085218575</v>
      </c>
      <c r="AI557">
        <v>-1826.38103578123</v>
      </c>
      <c r="AJ557">
        <v>-1867.42179995527</v>
      </c>
    </row>
    <row r="558" spans="20:36">
      <c r="T558">
        <v>277.943</v>
      </c>
      <c r="U558">
        <v>1.23158149605928</v>
      </c>
      <c r="V558">
        <v>277.943</v>
      </c>
      <c r="W558">
        <v>1.22568579285339</v>
      </c>
      <c r="X558">
        <v>277.943</v>
      </c>
      <c r="Y558">
        <v>1.22685812069525</v>
      </c>
      <c r="Z558">
        <v>277.943</v>
      </c>
      <c r="AA558">
        <v>1.22685908099789</v>
      </c>
      <c r="AB558">
        <v>277.943</v>
      </c>
      <c r="AC558">
        <v>1.22272490923487</v>
      </c>
      <c r="AE558">
        <v>277.943</v>
      </c>
      <c r="AF558">
        <v>-2068.76012532804</v>
      </c>
      <c r="AG558">
        <v>-1978.41343774786</v>
      </c>
      <c r="AH558">
        <v>-1915.08106953793</v>
      </c>
      <c r="AI558">
        <v>-1965.47319362201</v>
      </c>
      <c r="AJ558">
        <v>-2117.81048321116</v>
      </c>
    </row>
    <row r="559" spans="20:36">
      <c r="T559">
        <v>278.442</v>
      </c>
      <c r="U559">
        <v>1.22356968697386</v>
      </c>
      <c r="V559">
        <v>278.442</v>
      </c>
      <c r="W559">
        <v>1.22186182110466</v>
      </c>
      <c r="X559">
        <v>278.442</v>
      </c>
      <c r="Y559">
        <v>1.22425966750207</v>
      </c>
      <c r="Z559">
        <v>278.442</v>
      </c>
      <c r="AA559">
        <v>1.23143795819482</v>
      </c>
      <c r="AB559">
        <v>278.442</v>
      </c>
      <c r="AC559">
        <v>1.21876099112241</v>
      </c>
      <c r="AE559">
        <v>278.442</v>
      </c>
      <c r="AF559">
        <v>-2052.96856913029</v>
      </c>
      <c r="AG559">
        <v>-2067.57423189509</v>
      </c>
      <c r="AH559">
        <v>-1966.5339021435</v>
      </c>
      <c r="AI559">
        <v>-2092.02847375218</v>
      </c>
      <c r="AJ559">
        <v>-2086.18933377645</v>
      </c>
    </row>
    <row r="560" spans="20:36">
      <c r="T560">
        <v>278.941</v>
      </c>
      <c r="U560">
        <v>1.21958409999654</v>
      </c>
      <c r="V560">
        <v>278.941</v>
      </c>
      <c r="W560">
        <v>1.22329070708911</v>
      </c>
      <c r="X560">
        <v>278.941</v>
      </c>
      <c r="Y560">
        <v>1.2328384039801</v>
      </c>
      <c r="Z560">
        <v>278.941</v>
      </c>
      <c r="AA560">
        <v>1.22584919634349</v>
      </c>
      <c r="AB560">
        <v>278.941</v>
      </c>
      <c r="AC560">
        <v>1.21774627565495</v>
      </c>
      <c r="AE560">
        <v>278.941</v>
      </c>
      <c r="AF560">
        <v>-1912.64270264107</v>
      </c>
      <c r="AG560">
        <v>-2010.45014036382</v>
      </c>
      <c r="AH560">
        <v>-2003.35287899975</v>
      </c>
      <c r="AI560">
        <v>-1993.69010121873</v>
      </c>
      <c r="AJ560">
        <v>-1815.48742284016</v>
      </c>
    </row>
    <row r="561" spans="20:36">
      <c r="T561">
        <v>279.44</v>
      </c>
      <c r="U561">
        <v>1.22475877609727</v>
      </c>
      <c r="V561">
        <v>279.44</v>
      </c>
      <c r="W561">
        <v>1.22595796117123</v>
      </c>
      <c r="X561">
        <v>279.44</v>
      </c>
      <c r="Y561">
        <v>1.22560863500997</v>
      </c>
      <c r="Z561">
        <v>279.44</v>
      </c>
      <c r="AA561">
        <v>1.22020036722701</v>
      </c>
      <c r="AB561">
        <v>279.44</v>
      </c>
      <c r="AC561">
        <v>1.22026483827946</v>
      </c>
      <c r="AE561">
        <v>279.44</v>
      </c>
      <c r="AF561">
        <v>-1923.197796236</v>
      </c>
      <c r="AG561">
        <v>-2028.21747712845</v>
      </c>
      <c r="AH561">
        <v>-2052.62822006641</v>
      </c>
      <c r="AI561">
        <v>-1968.70697604199</v>
      </c>
      <c r="AJ561">
        <v>-1844.71379406866</v>
      </c>
    </row>
    <row r="562" spans="20:36">
      <c r="T562">
        <v>279.939</v>
      </c>
      <c r="U562">
        <v>1.22141523436417</v>
      </c>
      <c r="V562">
        <v>279.939</v>
      </c>
      <c r="W562">
        <v>1.22747950458309</v>
      </c>
      <c r="X562">
        <v>279.939</v>
      </c>
      <c r="Y562">
        <v>1.23050851445011</v>
      </c>
      <c r="Z562">
        <v>279.939</v>
      </c>
      <c r="AA562">
        <v>1.22067422563261</v>
      </c>
      <c r="AB562">
        <v>279.939</v>
      </c>
      <c r="AC562">
        <v>1.21000824564004</v>
      </c>
      <c r="AE562">
        <v>279.939</v>
      </c>
      <c r="AF562">
        <v>-2036.04617297855</v>
      </c>
      <c r="AG562">
        <v>-2110.52346411309</v>
      </c>
      <c r="AH562">
        <v>-2023.67758673029</v>
      </c>
      <c r="AI562">
        <v>-1878.88898071512</v>
      </c>
      <c r="AJ562">
        <v>-1969.47931060929</v>
      </c>
    </row>
    <row r="563" spans="20:36">
      <c r="T563">
        <v>280.438</v>
      </c>
      <c r="U563">
        <v>1.22052234764856</v>
      </c>
      <c r="V563">
        <v>280.438</v>
      </c>
      <c r="W563">
        <v>1.21960840198918</v>
      </c>
      <c r="X563">
        <v>280.438</v>
      </c>
      <c r="Y563">
        <v>1.21299282838453</v>
      </c>
      <c r="Z563">
        <v>280.438</v>
      </c>
      <c r="AA563">
        <v>1.22650157252028</v>
      </c>
      <c r="AB563">
        <v>280.438</v>
      </c>
      <c r="AC563">
        <v>1.21844412412597</v>
      </c>
      <c r="AE563">
        <v>280.438</v>
      </c>
      <c r="AF563">
        <v>-2100.03262704907</v>
      </c>
      <c r="AG563">
        <v>-2021.87841760961</v>
      </c>
      <c r="AH563">
        <v>-1923.41263683916</v>
      </c>
      <c r="AI563">
        <v>-1940.80783143549</v>
      </c>
      <c r="AJ563">
        <v>-2010.10732961591</v>
      </c>
    </row>
    <row r="564" spans="20:36">
      <c r="T564">
        <v>280.937</v>
      </c>
      <c r="U564">
        <v>1.22536977272599</v>
      </c>
      <c r="V564">
        <v>280.937</v>
      </c>
      <c r="W564">
        <v>1.2125639356736</v>
      </c>
      <c r="X564">
        <v>280.937</v>
      </c>
      <c r="Y564">
        <v>1.22465165781064</v>
      </c>
      <c r="Z564">
        <v>280.937</v>
      </c>
      <c r="AA564">
        <v>1.23179911926301</v>
      </c>
      <c r="AB564">
        <v>280.937</v>
      </c>
      <c r="AC564">
        <v>1.22203477431079</v>
      </c>
      <c r="AE564">
        <v>280.937</v>
      </c>
      <c r="AF564">
        <v>-2002.47836617108</v>
      </c>
      <c r="AG564">
        <v>-1926.03034080604</v>
      </c>
      <c r="AH564">
        <v>-1908.27647604095</v>
      </c>
      <c r="AI564">
        <v>-2044.45246068199</v>
      </c>
      <c r="AJ564">
        <v>-2068.54377708804</v>
      </c>
    </row>
    <row r="565" spans="20:36">
      <c r="T565">
        <v>281.436</v>
      </c>
      <c r="U565">
        <v>1.21511591482861</v>
      </c>
      <c r="V565">
        <v>281.436</v>
      </c>
      <c r="W565">
        <v>1.22806815920918</v>
      </c>
      <c r="X565">
        <v>281.436</v>
      </c>
      <c r="Y565">
        <v>1.22044386251489</v>
      </c>
      <c r="Z565">
        <v>281.436</v>
      </c>
      <c r="AA565">
        <v>1.22862611871757</v>
      </c>
      <c r="AB565">
        <v>281.436</v>
      </c>
      <c r="AC565">
        <v>1.21775117716705</v>
      </c>
      <c r="AE565">
        <v>281.436</v>
      </c>
      <c r="AF565">
        <v>-1970.97950660374</v>
      </c>
      <c r="AG565">
        <v>-1984.01779917773</v>
      </c>
      <c r="AH565">
        <v>-1984.88616860496</v>
      </c>
      <c r="AI565">
        <v>-2023.52729120544</v>
      </c>
      <c r="AJ565">
        <v>-1904.79727776243</v>
      </c>
    </row>
    <row r="566" spans="20:36">
      <c r="T566">
        <v>281.935</v>
      </c>
      <c r="U566">
        <v>1.21906266089437</v>
      </c>
      <c r="V566">
        <v>281.935</v>
      </c>
      <c r="W566">
        <v>1.22172349504643</v>
      </c>
      <c r="X566">
        <v>281.935</v>
      </c>
      <c r="Y566">
        <v>1.22782025841763</v>
      </c>
      <c r="Z566">
        <v>281.935</v>
      </c>
      <c r="AA566">
        <v>1.21848054494224</v>
      </c>
      <c r="AB566">
        <v>281.935</v>
      </c>
      <c r="AC566">
        <v>1.22243364668989</v>
      </c>
      <c r="AE566">
        <v>281.935</v>
      </c>
      <c r="AF566">
        <v>-1988.57434068975</v>
      </c>
      <c r="AG566">
        <v>-2126.26162433116</v>
      </c>
      <c r="AH566">
        <v>-1990.87348749277</v>
      </c>
      <c r="AI566">
        <v>-1880.1518869602</v>
      </c>
      <c r="AJ566">
        <v>-1987.35065304814</v>
      </c>
    </row>
    <row r="567" spans="20:36">
      <c r="T567">
        <v>282.434</v>
      </c>
      <c r="U567">
        <v>1.22476429932818</v>
      </c>
      <c r="V567">
        <v>282.434</v>
      </c>
      <c r="W567">
        <v>1.21935858635428</v>
      </c>
      <c r="X567">
        <v>282.434</v>
      </c>
      <c r="Y567">
        <v>1.21875358077513</v>
      </c>
      <c r="Z567">
        <v>282.434</v>
      </c>
      <c r="AA567">
        <v>1.22687174740911</v>
      </c>
      <c r="AB567">
        <v>282.434</v>
      </c>
      <c r="AC567">
        <v>1.22579391861653</v>
      </c>
      <c r="AE567">
        <v>282.434</v>
      </c>
      <c r="AF567">
        <v>-2101.44483002805</v>
      </c>
      <c r="AG567">
        <v>-2041.53474852771</v>
      </c>
      <c r="AH567">
        <v>-1951.77223163937</v>
      </c>
      <c r="AI567">
        <v>-1947.17114805056</v>
      </c>
      <c r="AJ567">
        <v>-1975.6231209442</v>
      </c>
    </row>
    <row r="568" spans="20:36">
      <c r="T568">
        <v>282.933</v>
      </c>
      <c r="U568">
        <v>1.22376593859001</v>
      </c>
      <c r="V568">
        <v>282.933</v>
      </c>
      <c r="W568">
        <v>1.22405723343823</v>
      </c>
      <c r="X568">
        <v>282.933</v>
      </c>
      <c r="Y568">
        <v>1.22428964706892</v>
      </c>
      <c r="Z568">
        <v>282.933</v>
      </c>
      <c r="AA568">
        <v>1.2190786188635</v>
      </c>
      <c r="AB568">
        <v>282.933</v>
      </c>
      <c r="AC568">
        <v>1.22264284519302</v>
      </c>
      <c r="AE568">
        <v>282.933</v>
      </c>
      <c r="AF568">
        <v>-2027.65361066644</v>
      </c>
      <c r="AG568">
        <v>-2014.88479088068</v>
      </c>
      <c r="AH568">
        <v>-1992.95832619439</v>
      </c>
      <c r="AI568">
        <v>-2072.37273258301</v>
      </c>
      <c r="AJ568">
        <v>-1892.87783603951</v>
      </c>
    </row>
    <row r="569" spans="20:36">
      <c r="T569">
        <v>283.432</v>
      </c>
      <c r="U569">
        <v>1.22765283012842</v>
      </c>
      <c r="V569">
        <v>283.432</v>
      </c>
      <c r="W569">
        <v>1.22154475770468</v>
      </c>
      <c r="X569">
        <v>283.432</v>
      </c>
      <c r="Y569">
        <v>1.23103231547572</v>
      </c>
      <c r="Z569">
        <v>283.432</v>
      </c>
      <c r="AA569">
        <v>1.22691360032426</v>
      </c>
      <c r="AB569">
        <v>283.432</v>
      </c>
      <c r="AC569">
        <v>1.20930066138283</v>
      </c>
      <c r="AE569">
        <v>283.432</v>
      </c>
      <c r="AF569">
        <v>-1968.56789472212</v>
      </c>
      <c r="AG569">
        <v>-1939.92874041147</v>
      </c>
      <c r="AH569">
        <v>-1994.4135274304</v>
      </c>
      <c r="AI569">
        <v>-2026.87028461039</v>
      </c>
      <c r="AJ569">
        <v>-1936.11421661929</v>
      </c>
    </row>
    <row r="570" spans="20:36">
      <c r="T570">
        <v>283.931</v>
      </c>
      <c r="U570">
        <v>1.21720507725824</v>
      </c>
      <c r="V570">
        <v>283.931</v>
      </c>
      <c r="W570">
        <v>1.22189940225622</v>
      </c>
      <c r="X570">
        <v>283.931</v>
      </c>
      <c r="Y570">
        <v>1.219510191223</v>
      </c>
      <c r="Z570">
        <v>283.931</v>
      </c>
      <c r="AA570">
        <v>1.22920219691283</v>
      </c>
      <c r="AB570">
        <v>283.931</v>
      </c>
      <c r="AC570">
        <v>1.21914882194252</v>
      </c>
      <c r="AE570">
        <v>283.931</v>
      </c>
      <c r="AF570">
        <v>-2027.65002877695</v>
      </c>
      <c r="AG570">
        <v>-2126.25339905895</v>
      </c>
      <c r="AH570">
        <v>-1923.2027952431</v>
      </c>
      <c r="AI570">
        <v>-1938.05492240288</v>
      </c>
      <c r="AJ570">
        <v>-2050.16106214733</v>
      </c>
    </row>
    <row r="571" spans="20:36">
      <c r="T571">
        <v>284.43</v>
      </c>
      <c r="U571">
        <v>1.22389967044813</v>
      </c>
      <c r="V571">
        <v>284.43</v>
      </c>
      <c r="W571">
        <v>1.22129007580222</v>
      </c>
      <c r="X571">
        <v>284.43</v>
      </c>
      <c r="Y571">
        <v>1.21572574672148</v>
      </c>
      <c r="Z571">
        <v>284.43</v>
      </c>
      <c r="AA571">
        <v>1.227076011725</v>
      </c>
      <c r="AB571">
        <v>284.43</v>
      </c>
      <c r="AC571">
        <v>1.22375474052807</v>
      </c>
      <c r="AE571">
        <v>284.43</v>
      </c>
      <c r="AF571">
        <v>-2091.30099133203</v>
      </c>
      <c r="AG571">
        <v>-2118.22980065435</v>
      </c>
      <c r="AH571">
        <v>-2042.41629161461</v>
      </c>
      <c r="AI571">
        <v>-1973.18548324873</v>
      </c>
      <c r="AJ571">
        <v>-2007.45749229635</v>
      </c>
    </row>
    <row r="572" spans="20:36">
      <c r="T572">
        <v>284.929</v>
      </c>
      <c r="U572">
        <v>1.22016122367698</v>
      </c>
      <c r="V572">
        <v>284.929</v>
      </c>
      <c r="W572">
        <v>1.22111485532267</v>
      </c>
      <c r="X572">
        <v>284.929</v>
      </c>
      <c r="Y572">
        <v>1.23337121385128</v>
      </c>
      <c r="Z572">
        <v>284.929</v>
      </c>
      <c r="AA572">
        <v>1.22470875553407</v>
      </c>
      <c r="AB572">
        <v>284.929</v>
      </c>
      <c r="AC572">
        <v>1.2188118950874</v>
      </c>
      <c r="AE572">
        <v>284.929</v>
      </c>
      <c r="AF572">
        <v>-1948.82085140624</v>
      </c>
      <c r="AG572">
        <v>-2075.60442256019</v>
      </c>
      <c r="AH572">
        <v>-2022.23221662243</v>
      </c>
      <c r="AI572">
        <v>-1959.51740818738</v>
      </c>
      <c r="AJ572">
        <v>-1858.376682904</v>
      </c>
    </row>
    <row r="573" spans="20:36">
      <c r="T573">
        <v>285.428</v>
      </c>
      <c r="U573">
        <v>1.21698338649958</v>
      </c>
      <c r="V573">
        <v>285.428</v>
      </c>
      <c r="W573">
        <v>1.22185177433433</v>
      </c>
      <c r="X573">
        <v>285.428</v>
      </c>
      <c r="Y573">
        <v>1.23014756377586</v>
      </c>
      <c r="Z573">
        <v>285.428</v>
      </c>
      <c r="AA573">
        <v>1.2258393000282</v>
      </c>
      <c r="AB573">
        <v>285.428</v>
      </c>
      <c r="AC573">
        <v>1.22409704038778</v>
      </c>
      <c r="AE573">
        <v>285.428</v>
      </c>
      <c r="AF573">
        <v>-1832.65701610235</v>
      </c>
      <c r="AG573">
        <v>-1924.82313390572</v>
      </c>
      <c r="AH573">
        <v>-2014.74225083881</v>
      </c>
      <c r="AI573">
        <v>-2016.1265341336</v>
      </c>
      <c r="AJ573">
        <v>-1873.74547269742</v>
      </c>
    </row>
    <row r="574" spans="20:36">
      <c r="T574">
        <v>285.927</v>
      </c>
      <c r="U574">
        <v>1.2238753410904</v>
      </c>
      <c r="V574">
        <v>285.927</v>
      </c>
      <c r="W574">
        <v>1.22500673054514</v>
      </c>
      <c r="X574">
        <v>285.927</v>
      </c>
      <c r="Y574">
        <v>1.22752401378634</v>
      </c>
      <c r="Z574">
        <v>285.927</v>
      </c>
      <c r="AA574">
        <v>1.22683483685116</v>
      </c>
      <c r="AB574">
        <v>285.927</v>
      </c>
      <c r="AC574">
        <v>1.22048600349556</v>
      </c>
      <c r="AE574">
        <v>285.927</v>
      </c>
      <c r="AF574">
        <v>-2018.67091424493</v>
      </c>
      <c r="AG574">
        <v>-2017.0939784166</v>
      </c>
      <c r="AH574">
        <v>-2063.37333364804</v>
      </c>
      <c r="AI574">
        <v>-2076.01726906671</v>
      </c>
      <c r="AJ574">
        <v>-1986.59310198779</v>
      </c>
    </row>
    <row r="575" spans="20:36">
      <c r="T575">
        <v>286.426</v>
      </c>
      <c r="U575">
        <v>1.22328898694171</v>
      </c>
      <c r="V575">
        <v>286.426</v>
      </c>
      <c r="W575">
        <v>1.22399711897522</v>
      </c>
      <c r="X575">
        <v>286.426</v>
      </c>
      <c r="Y575">
        <v>1.22260784859305</v>
      </c>
      <c r="Z575">
        <v>286.426</v>
      </c>
      <c r="AA575">
        <v>1.22575398632615</v>
      </c>
      <c r="AB575">
        <v>286.426</v>
      </c>
      <c r="AC575">
        <v>1.22327754416049</v>
      </c>
      <c r="AE575">
        <v>286.426</v>
      </c>
      <c r="AF575">
        <v>-2030.87219836205</v>
      </c>
      <c r="AG575">
        <v>-2029.37008649666</v>
      </c>
      <c r="AH575">
        <v>-1970.15821965723</v>
      </c>
      <c r="AI575">
        <v>-2042.78431955477</v>
      </c>
      <c r="AJ575">
        <v>-2022.41461003726</v>
      </c>
    </row>
    <row r="576" spans="20:36">
      <c r="T576">
        <v>286.925</v>
      </c>
      <c r="U576">
        <v>1.22223556953316</v>
      </c>
      <c r="V576">
        <v>286.925</v>
      </c>
      <c r="W576">
        <v>1.22476314354607</v>
      </c>
      <c r="X576">
        <v>286.925</v>
      </c>
      <c r="Y576">
        <v>1.22632520634533</v>
      </c>
      <c r="Z576">
        <v>286.925</v>
      </c>
      <c r="AA576">
        <v>1.22595339747843</v>
      </c>
      <c r="AB576">
        <v>286.925</v>
      </c>
      <c r="AC576">
        <v>1.22192136362909</v>
      </c>
      <c r="AE576">
        <v>286.925</v>
      </c>
      <c r="AF576">
        <v>-1979.3609228114</v>
      </c>
      <c r="AG576">
        <v>-2042.94895024158</v>
      </c>
      <c r="AH576">
        <v>-1890.53221730105</v>
      </c>
      <c r="AI576">
        <v>-1951.23452986464</v>
      </c>
      <c r="AJ576">
        <v>-1969.67218208688</v>
      </c>
    </row>
    <row r="577" spans="20:36">
      <c r="T577">
        <v>287.424</v>
      </c>
      <c r="U577">
        <v>1.23074612260118</v>
      </c>
      <c r="V577">
        <v>287.424</v>
      </c>
      <c r="W577">
        <v>1.22535678084116</v>
      </c>
      <c r="X577">
        <v>287.424</v>
      </c>
      <c r="Y577">
        <v>1.22541039923729</v>
      </c>
      <c r="Z577">
        <v>287.424</v>
      </c>
      <c r="AA577">
        <v>1.22952264764915</v>
      </c>
      <c r="AB577">
        <v>287.424</v>
      </c>
      <c r="AC577">
        <v>1.21763327899432</v>
      </c>
      <c r="AE577">
        <v>287.424</v>
      </c>
      <c r="AF577">
        <v>-1956.41352780444</v>
      </c>
      <c r="AG577">
        <v>-2038.65271756583</v>
      </c>
      <c r="AH577">
        <v>-1933.8038623049</v>
      </c>
      <c r="AI577">
        <v>-1922.40106178986</v>
      </c>
      <c r="AJ577">
        <v>-1969.94075959636</v>
      </c>
    </row>
    <row r="578" spans="20:36">
      <c r="T578">
        <v>287.923</v>
      </c>
      <c r="U578">
        <v>1.22146651802968</v>
      </c>
      <c r="V578">
        <v>287.923</v>
      </c>
      <c r="W578">
        <v>1.22982578612386</v>
      </c>
      <c r="X578">
        <v>287.923</v>
      </c>
      <c r="Y578">
        <v>1.23151948556941</v>
      </c>
      <c r="Z578">
        <v>287.923</v>
      </c>
      <c r="AA578">
        <v>1.23487024440769</v>
      </c>
      <c r="AB578">
        <v>287.923</v>
      </c>
      <c r="AC578">
        <v>1.22688437447694</v>
      </c>
      <c r="AE578">
        <v>287.923</v>
      </c>
      <c r="AF578">
        <v>-1969.01241693118</v>
      </c>
      <c r="AG578">
        <v>-2095.72966924659</v>
      </c>
      <c r="AH578">
        <v>-2053.52284696108</v>
      </c>
      <c r="AI578">
        <v>-2006.91999855545</v>
      </c>
      <c r="AJ578">
        <v>-1961.99793169913</v>
      </c>
    </row>
    <row r="579" spans="20:36">
      <c r="T579">
        <v>288.422</v>
      </c>
      <c r="U579">
        <v>1.22358362813309</v>
      </c>
      <c r="V579">
        <v>288.422</v>
      </c>
      <c r="W579">
        <v>1.22880733925021</v>
      </c>
      <c r="X579">
        <v>288.422</v>
      </c>
      <c r="Y579">
        <v>1.22501962099018</v>
      </c>
      <c r="Z579">
        <v>288.422</v>
      </c>
      <c r="AA579">
        <v>1.22720730185691</v>
      </c>
      <c r="AB579">
        <v>288.422</v>
      </c>
      <c r="AC579">
        <v>1.21636563467145</v>
      </c>
      <c r="AE579">
        <v>288.422</v>
      </c>
      <c r="AF579">
        <v>-2041.12142833296</v>
      </c>
      <c r="AG579">
        <v>-2076.14492670788</v>
      </c>
      <c r="AH579">
        <v>-2116.4959797155</v>
      </c>
      <c r="AI579">
        <v>-2124.86795503466</v>
      </c>
      <c r="AJ579">
        <v>-1874.95804872999</v>
      </c>
    </row>
    <row r="580" spans="20:36">
      <c r="T580">
        <v>288.921</v>
      </c>
      <c r="U580">
        <v>1.22389732675671</v>
      </c>
      <c r="V580">
        <v>288.921</v>
      </c>
      <c r="W580">
        <v>1.22079849503323</v>
      </c>
      <c r="X580">
        <v>288.921</v>
      </c>
      <c r="Y580">
        <v>1.22988035609735</v>
      </c>
      <c r="Z580">
        <v>288.921</v>
      </c>
      <c r="AA580">
        <v>1.22567747645186</v>
      </c>
      <c r="AB580">
        <v>288.921</v>
      </c>
      <c r="AC580">
        <v>1.21513170364492</v>
      </c>
      <c r="AE580">
        <v>288.921</v>
      </c>
      <c r="AF580">
        <v>-2066.0709373939</v>
      </c>
      <c r="AG580">
        <v>-2033.19164606993</v>
      </c>
      <c r="AH580">
        <v>-2009.23688511536</v>
      </c>
      <c r="AI580">
        <v>-2033.81217920412</v>
      </c>
      <c r="AJ580">
        <v>-1888.59892987702</v>
      </c>
    </row>
    <row r="581" spans="20:36">
      <c r="T581">
        <v>289.42</v>
      </c>
      <c r="U581">
        <v>1.22536880830829</v>
      </c>
      <c r="V581">
        <v>289.42</v>
      </c>
      <c r="W581">
        <v>1.22895468479331</v>
      </c>
      <c r="X581">
        <v>289.42</v>
      </c>
      <c r="Y581">
        <v>1.22560301840939</v>
      </c>
      <c r="Z581">
        <v>289.42</v>
      </c>
      <c r="AA581">
        <v>1.22699157722432</v>
      </c>
      <c r="AB581">
        <v>289.42</v>
      </c>
      <c r="AC581">
        <v>1.21480767136804</v>
      </c>
      <c r="AE581">
        <v>289.42</v>
      </c>
      <c r="AF581">
        <v>-1965.3843277206</v>
      </c>
      <c r="AG581">
        <v>-2110.71194011397</v>
      </c>
      <c r="AH581">
        <v>-1878.69127835593</v>
      </c>
      <c r="AI581">
        <v>-1952.98839814218</v>
      </c>
      <c r="AJ581">
        <v>-2093.08014946561</v>
      </c>
    </row>
    <row r="582" spans="20:36">
      <c r="T582">
        <v>289.919</v>
      </c>
      <c r="U582">
        <v>1.22464709696079</v>
      </c>
      <c r="V582">
        <v>289.919</v>
      </c>
      <c r="W582">
        <v>1.22373905405071</v>
      </c>
      <c r="X582">
        <v>289.919</v>
      </c>
      <c r="Y582">
        <v>1.22521077455576</v>
      </c>
      <c r="Z582">
        <v>289.919</v>
      </c>
      <c r="AA582">
        <v>1.23283098627009</v>
      </c>
      <c r="AB582">
        <v>289.919</v>
      </c>
      <c r="AC582">
        <v>1.22390153032146</v>
      </c>
      <c r="AE582">
        <v>289.919</v>
      </c>
      <c r="AF582">
        <v>-1906.56430774091</v>
      </c>
      <c r="AG582">
        <v>-2094.28375303923</v>
      </c>
      <c r="AH582">
        <v>-1960.30984936383</v>
      </c>
      <c r="AI582">
        <v>-1913.86787127425</v>
      </c>
      <c r="AJ582">
        <v>-2110.20366371972</v>
      </c>
    </row>
    <row r="583" spans="20:36">
      <c r="T583">
        <v>290.418</v>
      </c>
      <c r="U583">
        <v>1.22799913371728</v>
      </c>
      <c r="V583">
        <v>290.418</v>
      </c>
      <c r="W583">
        <v>1.22544326344021</v>
      </c>
      <c r="X583">
        <v>290.418</v>
      </c>
      <c r="Y583">
        <v>1.22710114866954</v>
      </c>
      <c r="Z583">
        <v>290.418</v>
      </c>
      <c r="AA583">
        <v>1.22710275525508</v>
      </c>
      <c r="AB583">
        <v>290.418</v>
      </c>
      <c r="AC583">
        <v>1.22046960717276</v>
      </c>
      <c r="AE583">
        <v>290.418</v>
      </c>
      <c r="AF583">
        <v>-2055.95719745019</v>
      </c>
      <c r="AG583">
        <v>-1997.87164691014</v>
      </c>
      <c r="AH583">
        <v>-2074.02161591935</v>
      </c>
      <c r="AI583">
        <v>-1998.20765783233</v>
      </c>
      <c r="AJ583">
        <v>-1933.44638348984</v>
      </c>
    </row>
    <row r="584" spans="20:36">
      <c r="T584">
        <v>290.917</v>
      </c>
      <c r="U584">
        <v>1.22404601558165</v>
      </c>
      <c r="V584">
        <v>290.917</v>
      </c>
      <c r="W584">
        <v>1.22724708799653</v>
      </c>
      <c r="X584">
        <v>290.917</v>
      </c>
      <c r="Y584">
        <v>1.23390781727275</v>
      </c>
      <c r="Z584">
        <v>290.917</v>
      </c>
      <c r="AA584">
        <v>1.23513171479726</v>
      </c>
      <c r="AB584">
        <v>290.917</v>
      </c>
      <c r="AC584">
        <v>1.21558991392864</v>
      </c>
      <c r="AE584">
        <v>290.917</v>
      </c>
      <c r="AF584">
        <v>-2080.43410658594</v>
      </c>
      <c r="AG584">
        <v>-2054.56628905763</v>
      </c>
      <c r="AH584">
        <v>-1996.57835990976</v>
      </c>
      <c r="AI584">
        <v>-2108.15633717863</v>
      </c>
      <c r="AJ584">
        <v>-1930.94033065003</v>
      </c>
    </row>
    <row r="585" spans="20:36">
      <c r="T585">
        <v>291.416</v>
      </c>
      <c r="U585">
        <v>1.22301200350482</v>
      </c>
      <c r="V585">
        <v>291.416</v>
      </c>
      <c r="W585">
        <v>1.22225700602441</v>
      </c>
      <c r="X585">
        <v>291.416</v>
      </c>
      <c r="Y585">
        <v>1.23193795895155</v>
      </c>
      <c r="Z585">
        <v>291.416</v>
      </c>
      <c r="AA585">
        <v>1.23280885090462</v>
      </c>
      <c r="AB585">
        <v>291.416</v>
      </c>
      <c r="AC585">
        <v>1.21271233066876</v>
      </c>
      <c r="AE585">
        <v>291.416</v>
      </c>
      <c r="AF585">
        <v>-2009.664192505</v>
      </c>
      <c r="AG585">
        <v>-2105.70527613315</v>
      </c>
      <c r="AH585">
        <v>-1923.93060538074</v>
      </c>
      <c r="AI585">
        <v>-2101.55280063862</v>
      </c>
      <c r="AJ585">
        <v>-1975.33664138705</v>
      </c>
    </row>
    <row r="586" spans="20:36">
      <c r="T586">
        <v>291.915</v>
      </c>
      <c r="U586">
        <v>1.22596801779544</v>
      </c>
      <c r="V586">
        <v>291.915</v>
      </c>
      <c r="W586">
        <v>1.22857659243232</v>
      </c>
      <c r="X586">
        <v>291.915</v>
      </c>
      <c r="Y586">
        <v>1.22356935592343</v>
      </c>
      <c r="Z586">
        <v>291.915</v>
      </c>
      <c r="AA586">
        <v>1.22568744050368</v>
      </c>
      <c r="AB586">
        <v>291.915</v>
      </c>
      <c r="AC586">
        <v>1.20495636230252</v>
      </c>
      <c r="AE586">
        <v>291.915</v>
      </c>
      <c r="AF586">
        <v>-1964.56368042491</v>
      </c>
      <c r="AG586">
        <v>-2150.76415337023</v>
      </c>
      <c r="AH586">
        <v>-1914.05300504521</v>
      </c>
      <c r="AI586">
        <v>-1979.86688504135</v>
      </c>
      <c r="AJ586">
        <v>-1954.59721201162</v>
      </c>
    </row>
    <row r="587" spans="20:36">
      <c r="T587">
        <v>292.414</v>
      </c>
      <c r="U587">
        <v>1.22526418135475</v>
      </c>
      <c r="V587">
        <v>292.414</v>
      </c>
      <c r="W587">
        <v>1.21866164328385</v>
      </c>
      <c r="X587">
        <v>292.414</v>
      </c>
      <c r="Y587">
        <v>1.23072472402947</v>
      </c>
      <c r="Z587">
        <v>292.414</v>
      </c>
      <c r="AA587">
        <v>1.23046338436446</v>
      </c>
      <c r="AB587">
        <v>292.414</v>
      </c>
      <c r="AC587">
        <v>1.21551312892101</v>
      </c>
      <c r="AE587">
        <v>292.414</v>
      </c>
      <c r="AF587">
        <v>-1929.08392570021</v>
      </c>
      <c r="AG587">
        <v>-1996.71219528717</v>
      </c>
      <c r="AH587">
        <v>-2093.55437353337</v>
      </c>
      <c r="AI587">
        <v>-1873.29565616281</v>
      </c>
      <c r="AJ587">
        <v>-1936.79725451959</v>
      </c>
    </row>
    <row r="588" spans="20:36">
      <c r="T588">
        <v>292.913</v>
      </c>
      <c r="U588">
        <v>1.21665205878425</v>
      </c>
      <c r="V588">
        <v>292.913</v>
      </c>
      <c r="W588">
        <v>1.21903688551256</v>
      </c>
      <c r="X588">
        <v>292.913</v>
      </c>
      <c r="Y588">
        <v>1.22512482939381</v>
      </c>
      <c r="Z588">
        <v>292.913</v>
      </c>
      <c r="AA588">
        <v>1.23042738129717</v>
      </c>
      <c r="AB588">
        <v>292.913</v>
      </c>
      <c r="AC588">
        <v>1.22347608189791</v>
      </c>
      <c r="AE588">
        <v>292.913</v>
      </c>
      <c r="AF588">
        <v>-1989.70982080583</v>
      </c>
      <c r="AG588">
        <v>-1899.00951557444</v>
      </c>
      <c r="AH588">
        <v>-2082.12054862445</v>
      </c>
      <c r="AI588">
        <v>-1973.76736709795</v>
      </c>
      <c r="AJ588">
        <v>-1998.97849596636</v>
      </c>
    </row>
    <row r="589" spans="20:36">
      <c r="T589">
        <v>293.412</v>
      </c>
      <c r="U589">
        <v>1.22158948516654</v>
      </c>
      <c r="V589">
        <v>293.412</v>
      </c>
      <c r="W589">
        <v>1.22232486273107</v>
      </c>
      <c r="X589">
        <v>293.412</v>
      </c>
      <c r="Y589">
        <v>1.22847756873883</v>
      </c>
      <c r="Z589">
        <v>293.412</v>
      </c>
      <c r="AA589">
        <v>1.22134773649685</v>
      </c>
      <c r="AB589">
        <v>293.412</v>
      </c>
      <c r="AC589">
        <v>1.23408800803452</v>
      </c>
      <c r="AE589">
        <v>293.412</v>
      </c>
      <c r="AF589">
        <v>-2067.78885739765</v>
      </c>
      <c r="AG589">
        <v>-2016.20364451519</v>
      </c>
      <c r="AH589">
        <v>-1966.56397703425</v>
      </c>
      <c r="AI589">
        <v>-2040.11210878264</v>
      </c>
      <c r="AJ589">
        <v>-2029.35410136251</v>
      </c>
    </row>
    <row r="590" spans="20:36">
      <c r="T590">
        <v>293.911</v>
      </c>
      <c r="U590">
        <v>1.22886504101251</v>
      </c>
      <c r="V590">
        <v>293.911</v>
      </c>
      <c r="W590">
        <v>1.21777644748386</v>
      </c>
      <c r="X590">
        <v>293.911</v>
      </c>
      <c r="Y590">
        <v>1.22786310067495</v>
      </c>
      <c r="Z590">
        <v>293.911</v>
      </c>
      <c r="AA590">
        <v>1.22813655078596</v>
      </c>
      <c r="AB590">
        <v>293.911</v>
      </c>
      <c r="AC590">
        <v>1.22780362898286</v>
      </c>
      <c r="AE590">
        <v>293.911</v>
      </c>
      <c r="AF590">
        <v>-2007.69489033799</v>
      </c>
      <c r="AG590">
        <v>-2161.57026195198</v>
      </c>
      <c r="AH590">
        <v>-1946.67026897731</v>
      </c>
      <c r="AI590">
        <v>-2121.50205081704</v>
      </c>
      <c r="AJ590">
        <v>-1939.15520836179</v>
      </c>
    </row>
    <row r="591" spans="20:36">
      <c r="T591">
        <v>294.41</v>
      </c>
      <c r="U591">
        <v>1.22599651001741</v>
      </c>
      <c r="V591">
        <v>294.41</v>
      </c>
      <c r="W591">
        <v>1.22460301667858</v>
      </c>
      <c r="X591">
        <v>294.41</v>
      </c>
      <c r="Y591">
        <v>1.22948729413217</v>
      </c>
      <c r="Z591">
        <v>294.41</v>
      </c>
      <c r="AA591">
        <v>1.22896285770403</v>
      </c>
      <c r="AB591">
        <v>294.41</v>
      </c>
      <c r="AC591">
        <v>1.23019559416659</v>
      </c>
      <c r="AE591">
        <v>294.41</v>
      </c>
      <c r="AF591">
        <v>-1892.06248847015</v>
      </c>
      <c r="AG591">
        <v>-2143.26704376403</v>
      </c>
      <c r="AH591">
        <v>-1964.34769529135</v>
      </c>
      <c r="AI591">
        <v>-2004.65584655234</v>
      </c>
      <c r="AJ591">
        <v>-1903.89916173628</v>
      </c>
    </row>
    <row r="592" spans="20:36">
      <c r="T592">
        <v>294.909</v>
      </c>
      <c r="U592">
        <v>1.22304717932346</v>
      </c>
      <c r="V592">
        <v>294.909</v>
      </c>
      <c r="W592">
        <v>1.22509490049707</v>
      </c>
      <c r="X592">
        <v>294.909</v>
      </c>
      <c r="Y592">
        <v>1.22076422525278</v>
      </c>
      <c r="Z592">
        <v>294.909</v>
      </c>
      <c r="AA592">
        <v>1.2241469577788</v>
      </c>
      <c r="AB592">
        <v>294.909</v>
      </c>
      <c r="AC592">
        <v>1.2257924887191</v>
      </c>
      <c r="AE592">
        <v>294.909</v>
      </c>
      <c r="AF592">
        <v>-1992.63989523498</v>
      </c>
      <c r="AG592">
        <v>-2000.30019982763</v>
      </c>
      <c r="AH592">
        <v>-2002.63763863084</v>
      </c>
      <c r="AI592">
        <v>-1943.30866448191</v>
      </c>
      <c r="AJ592">
        <v>-1911.43020357145</v>
      </c>
    </row>
    <row r="593" spans="20:36">
      <c r="T593">
        <v>295.408</v>
      </c>
      <c r="U593">
        <v>1.23179751074029</v>
      </c>
      <c r="V593">
        <v>295.408</v>
      </c>
      <c r="W593">
        <v>1.2251161532973</v>
      </c>
      <c r="X593">
        <v>295.408</v>
      </c>
      <c r="Y593">
        <v>1.22736373846453</v>
      </c>
      <c r="Z593">
        <v>295.408</v>
      </c>
      <c r="AA593">
        <v>1.22304183506342</v>
      </c>
      <c r="AB593">
        <v>295.408</v>
      </c>
      <c r="AC593">
        <v>1.22862645304254</v>
      </c>
      <c r="AE593">
        <v>295.408</v>
      </c>
      <c r="AF593">
        <v>-2129.49975210659</v>
      </c>
      <c r="AG593">
        <v>-1940.89030029238</v>
      </c>
      <c r="AH593">
        <v>-2124.09761368649</v>
      </c>
      <c r="AI593">
        <v>-2018.7523751581</v>
      </c>
      <c r="AJ593">
        <v>-2032.46550686271</v>
      </c>
    </row>
    <row r="594" spans="20:36">
      <c r="T594">
        <v>295.907</v>
      </c>
      <c r="U594">
        <v>1.2253435194694</v>
      </c>
      <c r="V594">
        <v>295.907</v>
      </c>
      <c r="W594">
        <v>1.22683664281077</v>
      </c>
      <c r="X594">
        <v>295.907</v>
      </c>
      <c r="Y594">
        <v>1.22541878877557</v>
      </c>
      <c r="Z594">
        <v>295.907</v>
      </c>
      <c r="AA594">
        <v>1.23327313587858</v>
      </c>
      <c r="AB594">
        <v>295.907</v>
      </c>
      <c r="AC594">
        <v>1.22619115598651</v>
      </c>
      <c r="AE594">
        <v>295.907</v>
      </c>
      <c r="AF594">
        <v>-1986.10757548847</v>
      </c>
      <c r="AG594">
        <v>-2034.80688080895</v>
      </c>
      <c r="AH594">
        <v>-1990.51652093263</v>
      </c>
      <c r="AI594">
        <v>-2056.78960511832</v>
      </c>
      <c r="AJ594">
        <v>-2127.24581867878</v>
      </c>
    </row>
    <row r="595" spans="20:36">
      <c r="T595">
        <v>296.406</v>
      </c>
      <c r="U595">
        <v>1.2290285845467</v>
      </c>
      <c r="V595">
        <v>296.406</v>
      </c>
      <c r="W595">
        <v>1.22001053507654</v>
      </c>
      <c r="X595">
        <v>296.406</v>
      </c>
      <c r="Y595">
        <v>1.2295167766384</v>
      </c>
      <c r="Z595">
        <v>296.406</v>
      </c>
      <c r="AA595">
        <v>1.22649858897299</v>
      </c>
      <c r="AB595">
        <v>296.406</v>
      </c>
      <c r="AC595">
        <v>1.22391353979959</v>
      </c>
      <c r="AE595">
        <v>296.406</v>
      </c>
      <c r="AF595">
        <v>-1955.6473698247</v>
      </c>
      <c r="AG595">
        <v>-2116.29430430442</v>
      </c>
      <c r="AH595">
        <v>-1903.10109242937</v>
      </c>
      <c r="AI595">
        <v>-1944.90021186378</v>
      </c>
      <c r="AJ595">
        <v>-1948.3322546198</v>
      </c>
    </row>
    <row r="596" spans="20:36">
      <c r="T596">
        <v>296.905</v>
      </c>
      <c r="U596">
        <v>1.2253266494439</v>
      </c>
      <c r="V596">
        <v>296.905</v>
      </c>
      <c r="W596">
        <v>1.22205583380147</v>
      </c>
      <c r="X596">
        <v>296.905</v>
      </c>
      <c r="Y596">
        <v>1.22923562594992</v>
      </c>
      <c r="Z596">
        <v>296.905</v>
      </c>
      <c r="AA596">
        <v>1.22862998150629</v>
      </c>
      <c r="AB596">
        <v>296.905</v>
      </c>
      <c r="AC596">
        <v>1.22594794704123</v>
      </c>
      <c r="AE596">
        <v>296.905</v>
      </c>
      <c r="AF596">
        <v>-2003.25162387811</v>
      </c>
      <c r="AG596">
        <v>-2177.68666349873</v>
      </c>
      <c r="AH596">
        <v>-2020.40145307634</v>
      </c>
      <c r="AI596">
        <v>-1984.37050462765</v>
      </c>
      <c r="AJ596">
        <v>-1940.14562239882</v>
      </c>
    </row>
    <row r="597" spans="20:36">
      <c r="T597">
        <v>297.404</v>
      </c>
      <c r="U597">
        <v>1.22128636861639</v>
      </c>
      <c r="V597">
        <v>297.404</v>
      </c>
      <c r="W597">
        <v>1.22190889699501</v>
      </c>
      <c r="X597">
        <v>297.404</v>
      </c>
      <c r="Y597">
        <v>1.23071328318958</v>
      </c>
      <c r="Z597">
        <v>297.404</v>
      </c>
      <c r="AA597">
        <v>1.2277508279749</v>
      </c>
      <c r="AB597">
        <v>297.404</v>
      </c>
      <c r="AC597">
        <v>1.22493282416698</v>
      </c>
      <c r="AE597">
        <v>297.404</v>
      </c>
      <c r="AF597">
        <v>-2065.39920011061</v>
      </c>
      <c r="AG597">
        <v>-2088.23903539741</v>
      </c>
      <c r="AH597">
        <v>-1980.70879614776</v>
      </c>
      <c r="AI597">
        <v>-2111.99475904389</v>
      </c>
      <c r="AJ597">
        <v>-2002.80282786421</v>
      </c>
    </row>
    <row r="598" spans="20:36">
      <c r="T598">
        <v>297.903</v>
      </c>
      <c r="U598">
        <v>1.2236413359808</v>
      </c>
      <c r="V598">
        <v>297.903</v>
      </c>
      <c r="W598">
        <v>1.22485134950175</v>
      </c>
      <c r="X598">
        <v>297.903</v>
      </c>
      <c r="Y598">
        <v>1.22658139020726</v>
      </c>
      <c r="Z598">
        <v>297.903</v>
      </c>
      <c r="AA598">
        <v>1.22325203702057</v>
      </c>
      <c r="AB598">
        <v>297.903</v>
      </c>
      <c r="AC598">
        <v>1.22458312030098</v>
      </c>
      <c r="AE598">
        <v>297.903</v>
      </c>
      <c r="AF598">
        <v>-2039.51382477933</v>
      </c>
      <c r="AG598">
        <v>-1939.25502613533</v>
      </c>
      <c r="AH598">
        <v>-1919.53968643472</v>
      </c>
      <c r="AI598">
        <v>-2052.16721781539</v>
      </c>
      <c r="AJ598">
        <v>-2095.37260457208</v>
      </c>
    </row>
    <row r="599" spans="20:36">
      <c r="T599">
        <v>298.402</v>
      </c>
      <c r="U599">
        <v>1.22722403791672</v>
      </c>
      <c r="V599">
        <v>298.402</v>
      </c>
      <c r="W599">
        <v>1.22401860460934</v>
      </c>
      <c r="X599">
        <v>298.402</v>
      </c>
      <c r="Y599">
        <v>1.22170656820437</v>
      </c>
      <c r="Z599">
        <v>298.402</v>
      </c>
      <c r="AA599">
        <v>1.22163734952622</v>
      </c>
      <c r="AB599">
        <v>298.402</v>
      </c>
      <c r="AC599">
        <v>1.22201859088543</v>
      </c>
      <c r="AE599">
        <v>298.402</v>
      </c>
      <c r="AF599">
        <v>-2001.33759541343</v>
      </c>
      <c r="AG599">
        <v>-2056.70803482688</v>
      </c>
      <c r="AH599">
        <v>-2052.0419606607</v>
      </c>
      <c r="AI599">
        <v>-1943.3509874892</v>
      </c>
      <c r="AJ599">
        <v>-2058.12440028496</v>
      </c>
    </row>
    <row r="600" spans="20:36">
      <c r="T600">
        <v>298.901</v>
      </c>
      <c r="U600">
        <v>1.22332514035208</v>
      </c>
      <c r="V600">
        <v>298.901</v>
      </c>
      <c r="W600">
        <v>1.22102206486094</v>
      </c>
      <c r="X600">
        <v>298.901</v>
      </c>
      <c r="Y600">
        <v>1.22480527865534</v>
      </c>
      <c r="Z600">
        <v>298.901</v>
      </c>
      <c r="AA600">
        <v>1.22497649059982</v>
      </c>
      <c r="AB600">
        <v>298.901</v>
      </c>
      <c r="AC600">
        <v>1.22295377986193</v>
      </c>
      <c r="AE600">
        <v>298.901</v>
      </c>
      <c r="AF600">
        <v>-1951.37718567318</v>
      </c>
      <c r="AG600">
        <v>-2080.94040207512</v>
      </c>
      <c r="AH600">
        <v>-2006.00209347214</v>
      </c>
      <c r="AI600">
        <v>-1830.83530137571</v>
      </c>
      <c r="AJ600">
        <v>-1902.09585099963</v>
      </c>
    </row>
    <row r="601" spans="20:36">
      <c r="T601">
        <v>299.4</v>
      </c>
      <c r="U601">
        <v>1.22899899414023</v>
      </c>
      <c r="V601">
        <v>299.4</v>
      </c>
      <c r="W601">
        <v>1.22758212597286</v>
      </c>
      <c r="X601">
        <v>299.4</v>
      </c>
      <c r="Y601">
        <v>1.22544653574944</v>
      </c>
      <c r="Z601">
        <v>299.4</v>
      </c>
      <c r="AA601">
        <v>1.22680986906026</v>
      </c>
      <c r="AB601">
        <v>299.4</v>
      </c>
      <c r="AC601">
        <v>1.22675749415355</v>
      </c>
      <c r="AE601">
        <v>299.4</v>
      </c>
      <c r="AF601">
        <v>-2063.60084939975</v>
      </c>
      <c r="AG601">
        <v>-2103.13631592934</v>
      </c>
      <c r="AH601">
        <v>-1982.45149323033</v>
      </c>
      <c r="AI601">
        <v>-1922.37688448204</v>
      </c>
      <c r="AJ601">
        <v>-1940.02789349622</v>
      </c>
    </row>
    <row r="602" spans="20:36">
      <c r="T602">
        <v>299.899</v>
      </c>
      <c r="U602">
        <v>1.22842858182813</v>
      </c>
      <c r="V602">
        <v>299.899</v>
      </c>
      <c r="W602">
        <v>1.22428734246383</v>
      </c>
      <c r="X602">
        <v>299.899</v>
      </c>
      <c r="Y602">
        <v>1.22414278625262</v>
      </c>
      <c r="Z602">
        <v>299.899</v>
      </c>
      <c r="AA602">
        <v>1.22532455682868</v>
      </c>
      <c r="AB602">
        <v>299.899</v>
      </c>
      <c r="AC602">
        <v>1.22050404893638</v>
      </c>
      <c r="AE602">
        <v>299.899</v>
      </c>
      <c r="AF602">
        <v>-2087.5472491156</v>
      </c>
      <c r="AG602">
        <v>-2030.09118680961</v>
      </c>
      <c r="AH602">
        <v>-1953.84929589603</v>
      </c>
      <c r="AI602">
        <v>-2047.69833294842</v>
      </c>
      <c r="AJ602">
        <v>-1974.87371540866</v>
      </c>
    </row>
    <row r="603" spans="20:36">
      <c r="T603">
        <v>300.398</v>
      </c>
      <c r="U603">
        <v>1.22592218775975</v>
      </c>
      <c r="V603">
        <v>300.398</v>
      </c>
      <c r="W603">
        <v>1.22645721680361</v>
      </c>
      <c r="X603">
        <v>300.398</v>
      </c>
      <c r="Y603">
        <v>1.22595111550243</v>
      </c>
      <c r="Z603">
        <v>300.398</v>
      </c>
      <c r="AA603">
        <v>1.23119022260151</v>
      </c>
      <c r="AB603">
        <v>300.398</v>
      </c>
      <c r="AC603">
        <v>1.22687551272143</v>
      </c>
      <c r="AE603">
        <v>300.398</v>
      </c>
      <c r="AF603">
        <v>-1986.10659443666</v>
      </c>
      <c r="AG603">
        <v>-1976.26735455031</v>
      </c>
      <c r="AH603">
        <v>-1994.27941500963</v>
      </c>
      <c r="AI603">
        <v>-2128.66345564601</v>
      </c>
      <c r="AJ603">
        <v>-2046.72702726055</v>
      </c>
    </row>
    <row r="604" spans="20:36">
      <c r="T604">
        <v>300.897</v>
      </c>
      <c r="U604">
        <v>1.22187671886628</v>
      </c>
      <c r="V604">
        <v>300.897</v>
      </c>
      <c r="W604">
        <v>1.22763762059158</v>
      </c>
      <c r="X604">
        <v>300.897</v>
      </c>
      <c r="Y604">
        <v>1.22743356449321</v>
      </c>
      <c r="Z604">
        <v>300.897</v>
      </c>
      <c r="AA604">
        <v>1.2261045357047</v>
      </c>
      <c r="AB604">
        <v>300.897</v>
      </c>
      <c r="AC604">
        <v>1.22320325262585</v>
      </c>
      <c r="AE604">
        <v>300.897</v>
      </c>
      <c r="AF604">
        <v>-1897.01896270241</v>
      </c>
      <c r="AG604">
        <v>-2023.3645481872</v>
      </c>
      <c r="AH604">
        <v>-2049.03190070571</v>
      </c>
      <c r="AI604">
        <v>-2003.83612144712</v>
      </c>
      <c r="AJ604">
        <v>-1987.55991887202</v>
      </c>
    </row>
    <row r="605" spans="20:36">
      <c r="T605">
        <v>301.396</v>
      </c>
      <c r="U605">
        <v>1.22658721950651</v>
      </c>
      <c r="V605">
        <v>301.396</v>
      </c>
      <c r="W605">
        <v>1.22216996936673</v>
      </c>
      <c r="X605">
        <v>301.396</v>
      </c>
      <c r="Y605">
        <v>1.22399897241884</v>
      </c>
      <c r="Z605">
        <v>301.396</v>
      </c>
      <c r="AA605">
        <v>1.22988847512248</v>
      </c>
      <c r="AB605">
        <v>301.396</v>
      </c>
      <c r="AC605">
        <v>1.21987702868632</v>
      </c>
      <c r="AE605">
        <v>301.396</v>
      </c>
      <c r="AF605">
        <v>-1964.80223175722</v>
      </c>
      <c r="AG605">
        <v>-2060.24833039928</v>
      </c>
      <c r="AH605">
        <v>-2025.84987070012</v>
      </c>
      <c r="AI605">
        <v>-1869.34959424489</v>
      </c>
      <c r="AJ605">
        <v>-1905.61250180941</v>
      </c>
    </row>
    <row r="606" spans="20:36">
      <c r="T606">
        <v>301.895</v>
      </c>
      <c r="U606">
        <v>1.22808721699375</v>
      </c>
      <c r="V606">
        <v>301.895</v>
      </c>
      <c r="W606">
        <v>1.231385769424</v>
      </c>
      <c r="X606">
        <v>301.895</v>
      </c>
      <c r="Y606">
        <v>1.22284840424729</v>
      </c>
      <c r="Z606">
        <v>301.895</v>
      </c>
      <c r="AA606">
        <v>1.22729514237195</v>
      </c>
      <c r="AB606">
        <v>301.895</v>
      </c>
      <c r="AC606">
        <v>1.22511261068647</v>
      </c>
      <c r="AE606">
        <v>301.895</v>
      </c>
      <c r="AF606">
        <v>-2088.11119520116</v>
      </c>
      <c r="AG606">
        <v>-2152.22683688142</v>
      </c>
      <c r="AH606">
        <v>-1974.6917823891</v>
      </c>
      <c r="AI606">
        <v>-1987.06962378377</v>
      </c>
      <c r="AJ606">
        <v>-2042.33851233885</v>
      </c>
    </row>
    <row r="607" spans="20:36">
      <c r="T607">
        <v>302.394</v>
      </c>
      <c r="U607">
        <v>1.22053454319737</v>
      </c>
      <c r="V607">
        <v>302.394</v>
      </c>
      <c r="W607">
        <v>1.22378156777377</v>
      </c>
      <c r="X607">
        <v>302.394</v>
      </c>
      <c r="Y607">
        <v>1.22998344523555</v>
      </c>
      <c r="Z607">
        <v>302.394</v>
      </c>
      <c r="AA607">
        <v>1.22467241916921</v>
      </c>
      <c r="AB607">
        <v>302.394</v>
      </c>
      <c r="AC607">
        <v>1.2240594366937</v>
      </c>
      <c r="AE607">
        <v>302.394</v>
      </c>
      <c r="AF607">
        <v>-2074.19065257701</v>
      </c>
      <c r="AG607">
        <v>-2020.12556744653</v>
      </c>
      <c r="AH607">
        <v>-1965.297448841</v>
      </c>
      <c r="AI607">
        <v>-2090.07845584335</v>
      </c>
      <c r="AJ607">
        <v>-2164.70691482453</v>
      </c>
    </row>
    <row r="608" spans="20:36">
      <c r="T608">
        <v>302.893</v>
      </c>
      <c r="U608">
        <v>1.22435915780583</v>
      </c>
      <c r="V608">
        <v>302.893</v>
      </c>
      <c r="W608">
        <v>1.22418705655277</v>
      </c>
      <c r="X608">
        <v>302.893</v>
      </c>
      <c r="Y608">
        <v>1.22806609478076</v>
      </c>
      <c r="Z608">
        <v>302.893</v>
      </c>
      <c r="AA608">
        <v>1.22281197655772</v>
      </c>
      <c r="AB608">
        <v>302.893</v>
      </c>
      <c r="AC608">
        <v>1.22053942375368</v>
      </c>
      <c r="AE608">
        <v>302.893</v>
      </c>
      <c r="AF608">
        <v>-1988.03089078828</v>
      </c>
      <c r="AG608">
        <v>-2041.38904491382</v>
      </c>
      <c r="AH608">
        <v>-1934.44325595375</v>
      </c>
      <c r="AI608">
        <v>-1965.72196109332</v>
      </c>
      <c r="AJ608">
        <v>-2064.45469281987</v>
      </c>
    </row>
    <row r="609" spans="20:36">
      <c r="T609">
        <v>303.392</v>
      </c>
      <c r="U609">
        <v>1.22590824350432</v>
      </c>
      <c r="V609">
        <v>303.392</v>
      </c>
      <c r="W609">
        <v>1.2218073479796</v>
      </c>
      <c r="X609">
        <v>303.392</v>
      </c>
      <c r="Y609">
        <v>1.22671803503455</v>
      </c>
      <c r="Z609">
        <v>303.392</v>
      </c>
      <c r="AA609">
        <v>1.22985313022152</v>
      </c>
      <c r="AB609">
        <v>303.392</v>
      </c>
      <c r="AC609">
        <v>1.22411821316144</v>
      </c>
      <c r="AE609">
        <v>303.392</v>
      </c>
      <c r="AF609">
        <v>-1991.48870236021</v>
      </c>
      <c r="AG609">
        <v>-2010.31455387465</v>
      </c>
      <c r="AH609">
        <v>-2050.89862229456</v>
      </c>
      <c r="AI609">
        <v>-1878.16009364004</v>
      </c>
      <c r="AJ609">
        <v>-1994.24057430365</v>
      </c>
    </row>
    <row r="610" spans="20:36">
      <c r="T610">
        <v>303.891</v>
      </c>
      <c r="U610">
        <v>1.223860194184</v>
      </c>
      <c r="V610">
        <v>303.891</v>
      </c>
      <c r="W610">
        <v>1.21693827710739</v>
      </c>
      <c r="X610">
        <v>303.891</v>
      </c>
      <c r="Y610">
        <v>1.22552163324289</v>
      </c>
      <c r="Z610">
        <v>303.891</v>
      </c>
      <c r="AA610">
        <v>1.23271288277081</v>
      </c>
      <c r="AB610">
        <v>303.891</v>
      </c>
      <c r="AC610">
        <v>1.23087093156127</v>
      </c>
      <c r="AE610">
        <v>303.891</v>
      </c>
      <c r="AF610">
        <v>-1973.28865989953</v>
      </c>
      <c r="AG610">
        <v>-2027.43103413186</v>
      </c>
      <c r="AH610">
        <v>-1997.33050461178</v>
      </c>
      <c r="AI610">
        <v>-2001.89789559273</v>
      </c>
      <c r="AJ610">
        <v>-1976.86395639069</v>
      </c>
    </row>
    <row r="611" spans="20:36">
      <c r="T611">
        <v>304.39</v>
      </c>
      <c r="U611">
        <v>1.22149341736337</v>
      </c>
      <c r="V611">
        <v>304.39</v>
      </c>
      <c r="W611">
        <v>1.22483384221208</v>
      </c>
      <c r="X611">
        <v>304.39</v>
      </c>
      <c r="Y611">
        <v>1.22345214308234</v>
      </c>
      <c r="Z611">
        <v>304.39</v>
      </c>
      <c r="AA611">
        <v>1.23308257854461</v>
      </c>
      <c r="AB611">
        <v>304.39</v>
      </c>
      <c r="AC611">
        <v>1.22902720101607</v>
      </c>
      <c r="AE611">
        <v>304.39</v>
      </c>
      <c r="AF611">
        <v>-1978.9771573448</v>
      </c>
      <c r="AG611">
        <v>-2113.11916122369</v>
      </c>
      <c r="AH611">
        <v>-1955.06645867372</v>
      </c>
      <c r="AI611">
        <v>-2117.31331818883</v>
      </c>
      <c r="AJ611">
        <v>-1990.81145398082</v>
      </c>
    </row>
    <row r="612" spans="20:36">
      <c r="T612">
        <v>304.889</v>
      </c>
      <c r="U612">
        <v>1.22800553611298</v>
      </c>
      <c r="V612">
        <v>304.889</v>
      </c>
      <c r="W612">
        <v>1.22409467141377</v>
      </c>
      <c r="X612">
        <v>304.889</v>
      </c>
      <c r="Y612">
        <v>1.23200185300221</v>
      </c>
      <c r="Z612">
        <v>304.889</v>
      </c>
      <c r="AA612">
        <v>1.22626942802976</v>
      </c>
      <c r="AB612">
        <v>304.889</v>
      </c>
      <c r="AC612">
        <v>1.2230562750616</v>
      </c>
      <c r="AE612">
        <v>304.889</v>
      </c>
      <c r="AF612">
        <v>-1950.41178309316</v>
      </c>
      <c r="AG612">
        <v>-2134.84995173427</v>
      </c>
      <c r="AH612">
        <v>-1934.46639629929</v>
      </c>
      <c r="AI612">
        <v>-2098.86295943152</v>
      </c>
      <c r="AJ612">
        <v>-2017.16513709748</v>
      </c>
    </row>
    <row r="613" spans="20:36">
      <c r="T613">
        <v>305.388</v>
      </c>
      <c r="U613">
        <v>1.22606688722135</v>
      </c>
      <c r="V613">
        <v>305.388</v>
      </c>
      <c r="W613">
        <v>1.22735563160596</v>
      </c>
      <c r="X613">
        <v>305.388</v>
      </c>
      <c r="Y613">
        <v>1.23510208966233</v>
      </c>
      <c r="Z613">
        <v>305.388</v>
      </c>
      <c r="AA613">
        <v>1.23029158916329</v>
      </c>
      <c r="AB613">
        <v>305.388</v>
      </c>
      <c r="AC613">
        <v>1.22500089707861</v>
      </c>
      <c r="AE613">
        <v>305.388</v>
      </c>
      <c r="AF613">
        <v>-1954.32110663006</v>
      </c>
      <c r="AG613">
        <v>-2035.38628853808</v>
      </c>
      <c r="AH613">
        <v>-2016.94467934413</v>
      </c>
      <c r="AI613">
        <v>-1969.93378433898</v>
      </c>
      <c r="AJ613">
        <v>-2015.57034765597</v>
      </c>
    </row>
    <row r="614" spans="20:36">
      <c r="T614">
        <v>305.887</v>
      </c>
      <c r="U614">
        <v>1.22984741626893</v>
      </c>
      <c r="V614">
        <v>305.887</v>
      </c>
      <c r="W614">
        <v>1.2252933159015</v>
      </c>
      <c r="X614">
        <v>305.887</v>
      </c>
      <c r="Y614">
        <v>1.22669334406733</v>
      </c>
      <c r="Z614">
        <v>305.887</v>
      </c>
      <c r="AA614">
        <v>1.23343488047169</v>
      </c>
      <c r="AB614">
        <v>305.887</v>
      </c>
      <c r="AC614">
        <v>1.21980362775803</v>
      </c>
      <c r="AE614">
        <v>305.887</v>
      </c>
      <c r="AF614">
        <v>-1954.64596874397</v>
      </c>
      <c r="AG614">
        <v>-2015.48550667935</v>
      </c>
      <c r="AH614">
        <v>-2016.29196295309</v>
      </c>
      <c r="AI614">
        <v>-1941.77896580807</v>
      </c>
      <c r="AJ614">
        <v>-2032.15145641167</v>
      </c>
    </row>
    <row r="615" spans="20:36">
      <c r="T615">
        <v>306.386</v>
      </c>
      <c r="U615">
        <v>1.22679006320876</v>
      </c>
      <c r="V615">
        <v>306.386</v>
      </c>
      <c r="W615">
        <v>1.22552691371049</v>
      </c>
      <c r="X615">
        <v>306.386</v>
      </c>
      <c r="Y615">
        <v>1.2232319084886</v>
      </c>
      <c r="Z615">
        <v>306.386</v>
      </c>
      <c r="AA615">
        <v>1.23756047466232</v>
      </c>
      <c r="AB615">
        <v>306.386</v>
      </c>
      <c r="AC615">
        <v>1.22348417415209</v>
      </c>
      <c r="AE615">
        <v>306.386</v>
      </c>
      <c r="AF615">
        <v>-2062.20939049992</v>
      </c>
      <c r="AG615">
        <v>-2005.65536405982</v>
      </c>
      <c r="AH615">
        <v>-1965.67810706554</v>
      </c>
      <c r="AI615">
        <v>-2037.14490565982</v>
      </c>
      <c r="AJ615">
        <v>-2069.99097323124</v>
      </c>
    </row>
    <row r="616" spans="20:36">
      <c r="T616">
        <v>306.885</v>
      </c>
      <c r="U616">
        <v>1.22211935576232</v>
      </c>
      <c r="V616">
        <v>306.885</v>
      </c>
      <c r="W616">
        <v>1.2261449012473</v>
      </c>
      <c r="X616">
        <v>306.885</v>
      </c>
      <c r="Y616">
        <v>1.22397489028016</v>
      </c>
      <c r="Z616">
        <v>306.885</v>
      </c>
      <c r="AA616">
        <v>1.23405662310678</v>
      </c>
      <c r="AB616">
        <v>306.885</v>
      </c>
      <c r="AC616">
        <v>1.22917538751747</v>
      </c>
      <c r="AE616">
        <v>306.885</v>
      </c>
      <c r="AF616">
        <v>-1998.57057647857</v>
      </c>
      <c r="AG616">
        <v>-2087.92392976409</v>
      </c>
      <c r="AH616">
        <v>-1965.16017583308</v>
      </c>
      <c r="AI616">
        <v>-2083.61846667</v>
      </c>
      <c r="AJ616">
        <v>-1936.90630535416</v>
      </c>
    </row>
    <row r="617" spans="20:36">
      <c r="T617">
        <v>307.384</v>
      </c>
      <c r="U617">
        <v>1.21960924893094</v>
      </c>
      <c r="V617">
        <v>307.384</v>
      </c>
      <c r="W617">
        <v>1.22295642320487</v>
      </c>
      <c r="X617">
        <v>307.384</v>
      </c>
      <c r="Y617">
        <v>1.22392977856807</v>
      </c>
      <c r="Z617">
        <v>307.384</v>
      </c>
      <c r="AA617">
        <v>1.2264715812979</v>
      </c>
      <c r="AB617">
        <v>307.384</v>
      </c>
      <c r="AC617">
        <v>1.23226424980368</v>
      </c>
      <c r="AE617">
        <v>307.384</v>
      </c>
      <c r="AF617">
        <v>-1947.49524999143</v>
      </c>
      <c r="AG617">
        <v>-2169.33143017103</v>
      </c>
      <c r="AH617">
        <v>-1953.82518500961</v>
      </c>
      <c r="AI617">
        <v>-2017.46098737601</v>
      </c>
      <c r="AJ617">
        <v>-2006.52597183724</v>
      </c>
    </row>
    <row r="618" spans="20:36">
      <c r="T618">
        <v>307.883</v>
      </c>
      <c r="U618">
        <v>1.22051990500083</v>
      </c>
      <c r="V618">
        <v>307.883</v>
      </c>
      <c r="W618">
        <v>1.22650979070539</v>
      </c>
      <c r="X618">
        <v>307.883</v>
      </c>
      <c r="Y618">
        <v>1.22459930237318</v>
      </c>
      <c r="Z618">
        <v>307.883</v>
      </c>
      <c r="AA618">
        <v>1.23252856903993</v>
      </c>
      <c r="AB618">
        <v>307.883</v>
      </c>
      <c r="AC618">
        <v>1.23501390804826</v>
      </c>
      <c r="AE618">
        <v>307.883</v>
      </c>
      <c r="AF618">
        <v>-1955.43240919037</v>
      </c>
      <c r="AG618">
        <v>-2022.53618695931</v>
      </c>
      <c r="AH618">
        <v>-2002.34152275131</v>
      </c>
      <c r="AI618">
        <v>-2028.84131908952</v>
      </c>
      <c r="AJ618">
        <v>-2079.6840000703</v>
      </c>
    </row>
    <row r="619" spans="20:36">
      <c r="T619">
        <v>308.382</v>
      </c>
      <c r="U619">
        <v>1.22588022535069</v>
      </c>
      <c r="V619">
        <v>308.382</v>
      </c>
      <c r="W619">
        <v>1.2321297297915</v>
      </c>
      <c r="X619">
        <v>308.382</v>
      </c>
      <c r="Y619">
        <v>1.23121883679281</v>
      </c>
      <c r="Z619">
        <v>308.382</v>
      </c>
      <c r="AA619">
        <v>1.23547096701885</v>
      </c>
      <c r="AB619">
        <v>308.382</v>
      </c>
      <c r="AC619">
        <v>1.23056248719028</v>
      </c>
      <c r="AE619">
        <v>308.382</v>
      </c>
      <c r="AF619">
        <v>-1964.56669918156</v>
      </c>
      <c r="AG619">
        <v>-1984.89333801931</v>
      </c>
      <c r="AH619">
        <v>-2055.35581642093</v>
      </c>
      <c r="AI619">
        <v>-2103.57091897764</v>
      </c>
      <c r="AJ619">
        <v>-2043.15253470283</v>
      </c>
    </row>
    <row r="620" spans="20:36">
      <c r="T620">
        <v>308.881</v>
      </c>
      <c r="U620">
        <v>1.23046648376238</v>
      </c>
      <c r="V620">
        <v>308.881</v>
      </c>
      <c r="W620">
        <v>1.2297590990643</v>
      </c>
      <c r="X620">
        <v>308.881</v>
      </c>
      <c r="Y620">
        <v>1.2228073806493</v>
      </c>
      <c r="Z620">
        <v>308.881</v>
      </c>
      <c r="AA620">
        <v>1.22602730791633</v>
      </c>
      <c r="AB620">
        <v>308.881</v>
      </c>
      <c r="AC620">
        <v>1.22591138029803</v>
      </c>
      <c r="AE620">
        <v>308.881</v>
      </c>
      <c r="AF620">
        <v>-2032.50014160829</v>
      </c>
      <c r="AG620">
        <v>-2001.63354335371</v>
      </c>
      <c r="AH620">
        <v>-1944.4182510384</v>
      </c>
      <c r="AI620">
        <v>-2071.93246213912</v>
      </c>
      <c r="AJ620">
        <v>-1865.15693707554</v>
      </c>
    </row>
    <row r="621" spans="20:36">
      <c r="T621">
        <v>309.38</v>
      </c>
      <c r="U621">
        <v>1.2296151231839</v>
      </c>
      <c r="V621">
        <v>309.38</v>
      </c>
      <c r="W621">
        <v>1.22468489489481</v>
      </c>
      <c r="X621">
        <v>309.38</v>
      </c>
      <c r="Y621">
        <v>1.22690890559115</v>
      </c>
      <c r="Z621">
        <v>309.38</v>
      </c>
      <c r="AA621">
        <v>1.22986593159696</v>
      </c>
      <c r="AB621">
        <v>309.38</v>
      </c>
      <c r="AC621">
        <v>1.22950958380808</v>
      </c>
      <c r="AE621">
        <v>309.38</v>
      </c>
      <c r="AF621">
        <v>-2098.39486468362</v>
      </c>
      <c r="AG621">
        <v>-2151.33846226094</v>
      </c>
      <c r="AH621">
        <v>-2010.37844129391</v>
      </c>
      <c r="AI621">
        <v>-2024.39070082503</v>
      </c>
      <c r="AJ621">
        <v>-1912.9751801617</v>
      </c>
    </row>
    <row r="622" spans="20:36">
      <c r="T622">
        <v>309.879</v>
      </c>
      <c r="U622">
        <v>1.22317488208494</v>
      </c>
      <c r="V622">
        <v>309.879</v>
      </c>
      <c r="W622">
        <v>1.21297605979666</v>
      </c>
      <c r="X622">
        <v>309.879</v>
      </c>
      <c r="Y622">
        <v>1.22575276000864</v>
      </c>
      <c r="Z622">
        <v>309.879</v>
      </c>
      <c r="AA622">
        <v>1.23341508721733</v>
      </c>
      <c r="AB622">
        <v>309.879</v>
      </c>
      <c r="AC622">
        <v>1.23156949622261</v>
      </c>
      <c r="AE622">
        <v>309.879</v>
      </c>
      <c r="AF622">
        <v>-2043.08763747752</v>
      </c>
      <c r="AG622">
        <v>-2087.85225582899</v>
      </c>
      <c r="AH622">
        <v>-2007.66006239355</v>
      </c>
      <c r="AI622">
        <v>-1992.69210944239</v>
      </c>
      <c r="AJ622">
        <v>-2104.06954213909</v>
      </c>
    </row>
    <row r="623" spans="20:36">
      <c r="T623">
        <v>310.378</v>
      </c>
      <c r="U623">
        <v>1.22456392410392</v>
      </c>
      <c r="V623">
        <v>310.378</v>
      </c>
      <c r="W623">
        <v>1.21689750145518</v>
      </c>
      <c r="X623">
        <v>310.378</v>
      </c>
      <c r="Y623">
        <v>1.22772753608422</v>
      </c>
      <c r="Z623">
        <v>310.378</v>
      </c>
      <c r="AA623">
        <v>1.22624288447854</v>
      </c>
      <c r="AB623">
        <v>310.378</v>
      </c>
      <c r="AC623">
        <v>1.22869819360755</v>
      </c>
      <c r="AE623">
        <v>310.378</v>
      </c>
      <c r="AF623">
        <v>-2006.20376911548</v>
      </c>
      <c r="AG623">
        <v>-1999.47631689168</v>
      </c>
      <c r="AH623">
        <v>-2022.45595513598</v>
      </c>
      <c r="AI623">
        <v>-1924.2658253879</v>
      </c>
      <c r="AJ623">
        <v>-2076.2576889856</v>
      </c>
    </row>
    <row r="624" spans="20:36">
      <c r="T624">
        <v>310.877</v>
      </c>
      <c r="U624">
        <v>1.22303889607982</v>
      </c>
      <c r="V624">
        <v>310.877</v>
      </c>
      <c r="W624">
        <v>1.22539162069838</v>
      </c>
      <c r="X624">
        <v>310.877</v>
      </c>
      <c r="Y624">
        <v>1.23504527696253</v>
      </c>
      <c r="Z624">
        <v>310.877</v>
      </c>
      <c r="AA624">
        <v>1.22723088460807</v>
      </c>
      <c r="AB624">
        <v>310.877</v>
      </c>
      <c r="AC624">
        <v>1.22534753566975</v>
      </c>
      <c r="AE624">
        <v>310.877</v>
      </c>
      <c r="AF624">
        <v>-1941.23872841096</v>
      </c>
      <c r="AG624">
        <v>-1925.62722559651</v>
      </c>
      <c r="AH624">
        <v>-2057.50973427598</v>
      </c>
      <c r="AI624">
        <v>-1987.96314786062</v>
      </c>
      <c r="AJ624">
        <v>-1972.95417234554</v>
      </c>
    </row>
    <row r="625" spans="20:36">
      <c r="T625">
        <v>311.376</v>
      </c>
      <c r="U625">
        <v>1.21928804292089</v>
      </c>
      <c r="V625">
        <v>311.376</v>
      </c>
      <c r="W625">
        <v>1.22296106875565</v>
      </c>
      <c r="X625">
        <v>311.376</v>
      </c>
      <c r="Y625">
        <v>1.22582674553676</v>
      </c>
      <c r="Z625">
        <v>311.376</v>
      </c>
      <c r="AA625">
        <v>1.22749799970822</v>
      </c>
      <c r="AB625">
        <v>311.376</v>
      </c>
      <c r="AC625">
        <v>1.22849472145153</v>
      </c>
      <c r="AE625">
        <v>311.376</v>
      </c>
      <c r="AF625">
        <v>-1951.66700993395</v>
      </c>
      <c r="AG625">
        <v>-2129.95454684953</v>
      </c>
      <c r="AH625">
        <v>-2012.48646884524</v>
      </c>
      <c r="AI625">
        <v>-2122.85416938106</v>
      </c>
      <c r="AJ625">
        <v>-1959.79209675185</v>
      </c>
    </row>
    <row r="626" spans="20:36">
      <c r="T626">
        <v>311.875</v>
      </c>
      <c r="U626">
        <v>1.22216207263443</v>
      </c>
      <c r="V626">
        <v>311.875</v>
      </c>
      <c r="W626">
        <v>1.23021407696896</v>
      </c>
      <c r="X626">
        <v>311.875</v>
      </c>
      <c r="Y626">
        <v>1.21992269792224</v>
      </c>
      <c r="Z626">
        <v>311.875</v>
      </c>
      <c r="AA626">
        <v>1.22868272545608</v>
      </c>
      <c r="AB626">
        <v>311.875</v>
      </c>
      <c r="AC626">
        <v>1.22727945952133</v>
      </c>
      <c r="AE626">
        <v>311.875</v>
      </c>
      <c r="AF626">
        <v>-2037.83319368767</v>
      </c>
      <c r="AG626">
        <v>-2121.91928164119</v>
      </c>
      <c r="AH626">
        <v>-1887.00083348257</v>
      </c>
      <c r="AI626">
        <v>-1995.45262394396</v>
      </c>
      <c r="AJ626">
        <v>-2058.59056615911</v>
      </c>
    </row>
    <row r="627" spans="20:36">
      <c r="T627">
        <v>312.374</v>
      </c>
      <c r="U627">
        <v>1.22712711804776</v>
      </c>
      <c r="V627">
        <v>312.374</v>
      </c>
      <c r="W627">
        <v>1.21711571021549</v>
      </c>
      <c r="X627">
        <v>312.374</v>
      </c>
      <c r="Y627">
        <v>1.22488830794332</v>
      </c>
      <c r="Z627">
        <v>312.374</v>
      </c>
      <c r="AA627">
        <v>1.23064263024721</v>
      </c>
      <c r="AB627">
        <v>312.374</v>
      </c>
      <c r="AC627">
        <v>1.22763130687642</v>
      </c>
      <c r="AE627">
        <v>312.374</v>
      </c>
      <c r="AF627">
        <v>-2051.60760236964</v>
      </c>
      <c r="AG627">
        <v>-1972.37301345277</v>
      </c>
      <c r="AH627">
        <v>-1915.08422345298</v>
      </c>
      <c r="AI627">
        <v>-2017.84152714604</v>
      </c>
      <c r="AJ627">
        <v>-2027.82843545546</v>
      </c>
    </row>
    <row r="628" spans="20:36">
      <c r="T628">
        <v>312.873</v>
      </c>
      <c r="U628">
        <v>1.23111400731422</v>
      </c>
      <c r="V628">
        <v>312.873</v>
      </c>
      <c r="W628">
        <v>1.22366010775628</v>
      </c>
      <c r="X628">
        <v>312.873</v>
      </c>
      <c r="Y628">
        <v>1.23178488850581</v>
      </c>
      <c r="Z628">
        <v>312.873</v>
      </c>
      <c r="AA628">
        <v>1.22906299019491</v>
      </c>
      <c r="AB628">
        <v>312.873</v>
      </c>
      <c r="AC628">
        <v>1.22698257911865</v>
      </c>
      <c r="AE628">
        <v>312.873</v>
      </c>
      <c r="AF628">
        <v>-1996.77505802057</v>
      </c>
      <c r="AG628">
        <v>-2083.38277408234</v>
      </c>
      <c r="AH628">
        <v>-2040.26358605623</v>
      </c>
      <c r="AI628">
        <v>-2083.06497738681</v>
      </c>
      <c r="AJ628">
        <v>-1965.70493428871</v>
      </c>
    </row>
    <row r="629" spans="20:36">
      <c r="T629">
        <v>313.372</v>
      </c>
      <c r="U629">
        <v>1.23100560306195</v>
      </c>
      <c r="V629">
        <v>313.372</v>
      </c>
      <c r="W629">
        <v>1.219700271677</v>
      </c>
      <c r="X629">
        <v>313.372</v>
      </c>
      <c r="Y629">
        <v>1.22361372972165</v>
      </c>
      <c r="Z629">
        <v>313.372</v>
      </c>
      <c r="AA629">
        <v>1.23039472445313</v>
      </c>
      <c r="AB629">
        <v>313.372</v>
      </c>
      <c r="AC629">
        <v>1.22561920523207</v>
      </c>
      <c r="AE629">
        <v>313.372</v>
      </c>
      <c r="AF629">
        <v>-1974.83063189151</v>
      </c>
      <c r="AG629">
        <v>-2109.05712610953</v>
      </c>
      <c r="AH629">
        <v>-2048.68291815824</v>
      </c>
      <c r="AI629">
        <v>-2001.21099633052</v>
      </c>
      <c r="AJ629">
        <v>-1917.8293190787</v>
      </c>
    </row>
    <row r="630" spans="20:36">
      <c r="T630">
        <v>313.871</v>
      </c>
      <c r="U630">
        <v>1.2316673324008</v>
      </c>
      <c r="V630">
        <v>313.871</v>
      </c>
      <c r="W630">
        <v>1.23251815858856</v>
      </c>
      <c r="X630">
        <v>313.871</v>
      </c>
      <c r="Y630">
        <v>1.22853664882526</v>
      </c>
      <c r="Z630">
        <v>313.871</v>
      </c>
      <c r="AA630">
        <v>1.23094983075603</v>
      </c>
      <c r="AB630">
        <v>313.871</v>
      </c>
      <c r="AC630">
        <v>1.2268286465844</v>
      </c>
      <c r="AE630">
        <v>313.871</v>
      </c>
      <c r="AF630">
        <v>-2118.98616177585</v>
      </c>
      <c r="AG630">
        <v>-2077.93328116588</v>
      </c>
      <c r="AH630">
        <v>-2049.44444842481</v>
      </c>
      <c r="AI630">
        <v>-1967.85072876851</v>
      </c>
      <c r="AJ630">
        <v>-2044.72061143015</v>
      </c>
    </row>
    <row r="631" spans="20:36">
      <c r="T631">
        <v>314.37</v>
      </c>
      <c r="U631">
        <v>1.22537486696085</v>
      </c>
      <c r="V631">
        <v>314.37</v>
      </c>
      <c r="W631">
        <v>1.22751117514344</v>
      </c>
      <c r="X631">
        <v>314.37</v>
      </c>
      <c r="Y631">
        <v>1.22425014312147</v>
      </c>
      <c r="Z631">
        <v>314.37</v>
      </c>
      <c r="AA631">
        <v>1.23071875899188</v>
      </c>
      <c r="AB631">
        <v>314.37</v>
      </c>
      <c r="AC631">
        <v>1.21921568083094</v>
      </c>
      <c r="AE631">
        <v>314.37</v>
      </c>
      <c r="AF631">
        <v>-2045.47655766392</v>
      </c>
      <c r="AG631">
        <v>-2050.0746122036</v>
      </c>
      <c r="AH631">
        <v>-1926.34487223207</v>
      </c>
      <c r="AI631">
        <v>-2037.97588464485</v>
      </c>
      <c r="AJ631">
        <v>-2092.87695497515</v>
      </c>
    </row>
    <row r="632" spans="20:36">
      <c r="T632">
        <v>314.869</v>
      </c>
      <c r="U632">
        <v>1.22774189656609</v>
      </c>
      <c r="V632">
        <v>314.869</v>
      </c>
      <c r="W632">
        <v>1.22136557891104</v>
      </c>
      <c r="X632">
        <v>314.869</v>
      </c>
      <c r="Y632">
        <v>1.22824872828649</v>
      </c>
      <c r="Z632">
        <v>314.869</v>
      </c>
      <c r="AA632">
        <v>1.2309963699295</v>
      </c>
      <c r="AB632">
        <v>314.869</v>
      </c>
      <c r="AC632">
        <v>1.22414822797984</v>
      </c>
      <c r="AE632">
        <v>314.869</v>
      </c>
      <c r="AF632">
        <v>-1946.57975242952</v>
      </c>
      <c r="AG632">
        <v>-2036.12449655848</v>
      </c>
      <c r="AH632">
        <v>-1880.59961769599</v>
      </c>
      <c r="AI632">
        <v>-2045.42603970188</v>
      </c>
      <c r="AJ632">
        <v>-2056.61081468285</v>
      </c>
    </row>
    <row r="633" spans="20:36">
      <c r="T633">
        <v>315.368</v>
      </c>
      <c r="U633">
        <v>1.22865540827234</v>
      </c>
      <c r="V633">
        <v>315.368</v>
      </c>
      <c r="W633">
        <v>1.21879014916772</v>
      </c>
      <c r="X633">
        <v>315.368</v>
      </c>
      <c r="Y633">
        <v>1.23601517212784</v>
      </c>
      <c r="Z633">
        <v>315.368</v>
      </c>
      <c r="AA633">
        <v>1.22790334563435</v>
      </c>
      <c r="AB633">
        <v>315.368</v>
      </c>
      <c r="AC633">
        <v>1.22823171938293</v>
      </c>
      <c r="AE633">
        <v>315.368</v>
      </c>
      <c r="AF633">
        <v>-1912.16772897389</v>
      </c>
      <c r="AG633">
        <v>-2023.20124118839</v>
      </c>
      <c r="AH633">
        <v>-2054.06359762865</v>
      </c>
      <c r="AI633">
        <v>-2037.7315944542</v>
      </c>
      <c r="AJ633">
        <v>-1892.41854847463</v>
      </c>
    </row>
    <row r="634" spans="20:36">
      <c r="T634">
        <v>315.867</v>
      </c>
      <c r="U634">
        <v>1.23031110753759</v>
      </c>
      <c r="V634">
        <v>315.867</v>
      </c>
      <c r="W634">
        <v>1.23181837231862</v>
      </c>
      <c r="X634">
        <v>315.867</v>
      </c>
      <c r="Y634">
        <v>1.22975972243672</v>
      </c>
      <c r="Z634">
        <v>315.867</v>
      </c>
      <c r="AA634">
        <v>1.23501497993122</v>
      </c>
      <c r="AB634">
        <v>315.867</v>
      </c>
      <c r="AC634">
        <v>1.22902984336386</v>
      </c>
      <c r="AE634">
        <v>315.867</v>
      </c>
      <c r="AF634">
        <v>-2113.07863768783</v>
      </c>
      <c r="AG634">
        <v>-2045.41487140805</v>
      </c>
      <c r="AH634">
        <v>-2021.6118627852</v>
      </c>
      <c r="AI634">
        <v>-2104.26410206698</v>
      </c>
      <c r="AJ634">
        <v>-1876.2785932646</v>
      </c>
    </row>
    <row r="635" spans="20:36">
      <c r="T635">
        <v>316.366</v>
      </c>
      <c r="U635">
        <v>1.23409170374485</v>
      </c>
      <c r="V635">
        <v>316.366</v>
      </c>
      <c r="W635">
        <v>1.22668645138918</v>
      </c>
      <c r="X635">
        <v>316.366</v>
      </c>
      <c r="Y635">
        <v>1.23348335559645</v>
      </c>
      <c r="Z635">
        <v>316.366</v>
      </c>
      <c r="AA635">
        <v>1.23225068779384</v>
      </c>
      <c r="AB635">
        <v>316.366</v>
      </c>
      <c r="AC635">
        <v>1.22993203670792</v>
      </c>
      <c r="AE635">
        <v>316.366</v>
      </c>
      <c r="AF635">
        <v>-2151.48212255276</v>
      </c>
      <c r="AG635">
        <v>-2066.67794637583</v>
      </c>
      <c r="AH635">
        <v>-2005.9920371912</v>
      </c>
      <c r="AI635">
        <v>-2039.42221028961</v>
      </c>
      <c r="AJ635">
        <v>-2067.64741136673</v>
      </c>
    </row>
    <row r="636" spans="20:36">
      <c r="T636">
        <v>316.865</v>
      </c>
      <c r="U636">
        <v>1.22652266345102</v>
      </c>
      <c r="V636">
        <v>316.865</v>
      </c>
      <c r="W636">
        <v>1.2262470709035</v>
      </c>
      <c r="X636">
        <v>316.865</v>
      </c>
      <c r="Y636">
        <v>1.22578551140388</v>
      </c>
      <c r="Z636">
        <v>316.865</v>
      </c>
      <c r="AA636">
        <v>1.23513407246455</v>
      </c>
      <c r="AB636">
        <v>316.865</v>
      </c>
      <c r="AC636">
        <v>1.22151555330017</v>
      </c>
      <c r="AE636">
        <v>316.865</v>
      </c>
      <c r="AF636">
        <v>-2010.39531210577</v>
      </c>
      <c r="AG636">
        <v>-2099.67472243966</v>
      </c>
      <c r="AH636">
        <v>-2029.1977049443</v>
      </c>
      <c r="AI636">
        <v>-2022.56014488766</v>
      </c>
      <c r="AJ636">
        <v>-2058.538254381</v>
      </c>
    </row>
    <row r="637" spans="20:36">
      <c r="T637">
        <v>317.364</v>
      </c>
      <c r="U637">
        <v>1.22399573828705</v>
      </c>
      <c r="V637">
        <v>317.364</v>
      </c>
      <c r="W637">
        <v>1.23294345035064</v>
      </c>
      <c r="X637">
        <v>317.364</v>
      </c>
      <c r="Y637">
        <v>1.22729790489108</v>
      </c>
      <c r="Z637">
        <v>317.364</v>
      </c>
      <c r="AA637">
        <v>1.23682767928008</v>
      </c>
      <c r="AB637">
        <v>317.364</v>
      </c>
      <c r="AC637">
        <v>1.22585317068766</v>
      </c>
      <c r="AE637">
        <v>317.364</v>
      </c>
      <c r="AF637">
        <v>-1966.16161343415</v>
      </c>
      <c r="AG637">
        <v>-2224.91792762295</v>
      </c>
      <c r="AH637">
        <v>-1965.18207589615</v>
      </c>
      <c r="AI637">
        <v>-2026.40674235107</v>
      </c>
      <c r="AJ637">
        <v>-2046.53177094611</v>
      </c>
    </row>
    <row r="638" spans="20:36">
      <c r="T638">
        <v>317.863</v>
      </c>
      <c r="U638">
        <v>1.22828475066479</v>
      </c>
      <c r="V638">
        <v>317.863</v>
      </c>
      <c r="W638">
        <v>1.22251071402164</v>
      </c>
      <c r="X638">
        <v>317.863</v>
      </c>
      <c r="Y638">
        <v>1.23793297013197</v>
      </c>
      <c r="Z638">
        <v>317.863</v>
      </c>
      <c r="AA638">
        <v>1.23206221918915</v>
      </c>
      <c r="AB638">
        <v>317.863</v>
      </c>
      <c r="AC638">
        <v>1.22300835535497</v>
      </c>
      <c r="AE638">
        <v>317.863</v>
      </c>
      <c r="AF638">
        <v>-2031.83867828458</v>
      </c>
      <c r="AG638">
        <v>-2038.71081115375</v>
      </c>
      <c r="AH638">
        <v>-2011.81100242957</v>
      </c>
      <c r="AI638">
        <v>-2062.40448373243</v>
      </c>
      <c r="AJ638">
        <v>-1872.23314545047</v>
      </c>
    </row>
    <row r="639" spans="20:36">
      <c r="T639">
        <v>318.362</v>
      </c>
      <c r="U639">
        <v>1.23051416232473</v>
      </c>
      <c r="V639">
        <v>318.362</v>
      </c>
      <c r="W639">
        <v>1.2254075795173</v>
      </c>
      <c r="X639">
        <v>318.362</v>
      </c>
      <c r="Y639">
        <v>1.22744952243136</v>
      </c>
      <c r="Z639">
        <v>318.362</v>
      </c>
      <c r="AA639">
        <v>1.2404375654751</v>
      </c>
      <c r="AB639">
        <v>318.362</v>
      </c>
      <c r="AC639">
        <v>1.23132896439691</v>
      </c>
      <c r="AE639">
        <v>318.362</v>
      </c>
      <c r="AF639">
        <v>-2064.00870242092</v>
      </c>
      <c r="AG639">
        <v>-1910.39230967183</v>
      </c>
      <c r="AH639">
        <v>-2022.34956705207</v>
      </c>
      <c r="AI639">
        <v>-2078.76327512385</v>
      </c>
      <c r="AJ639">
        <v>-1899.54877243283</v>
      </c>
    </row>
    <row r="640" spans="20:36">
      <c r="T640">
        <v>318.861</v>
      </c>
      <c r="U640">
        <v>1.2262503439305</v>
      </c>
      <c r="V640">
        <v>318.861</v>
      </c>
      <c r="W640">
        <v>1.22946873424404</v>
      </c>
      <c r="X640">
        <v>318.861</v>
      </c>
      <c r="Y640">
        <v>1.22208325231567</v>
      </c>
      <c r="Z640">
        <v>318.861</v>
      </c>
      <c r="AA640">
        <v>1.23115375131739</v>
      </c>
      <c r="AB640">
        <v>318.861</v>
      </c>
      <c r="AC640">
        <v>1.22235408118885</v>
      </c>
      <c r="AE640">
        <v>318.861</v>
      </c>
      <c r="AF640">
        <v>-1952.00306943173</v>
      </c>
      <c r="AG640">
        <v>-1983.66006197412</v>
      </c>
      <c r="AH640">
        <v>-1993.30826683715</v>
      </c>
      <c r="AI640">
        <v>-2061.934797651</v>
      </c>
      <c r="AJ640">
        <v>-2024.39929519539</v>
      </c>
    </row>
    <row r="641" spans="20:36">
      <c r="T641">
        <v>319.36</v>
      </c>
      <c r="U641">
        <v>1.2257149336776</v>
      </c>
      <c r="V641">
        <v>319.36</v>
      </c>
      <c r="W641">
        <v>1.22944066601445</v>
      </c>
      <c r="X641">
        <v>319.36</v>
      </c>
      <c r="Y641">
        <v>1.23288384610147</v>
      </c>
      <c r="Z641">
        <v>319.36</v>
      </c>
      <c r="AA641">
        <v>1.22107747496754</v>
      </c>
      <c r="AB641">
        <v>319.36</v>
      </c>
      <c r="AC641">
        <v>1.22384974927954</v>
      </c>
      <c r="AE641">
        <v>319.36</v>
      </c>
      <c r="AF641">
        <v>-1966.13093321362</v>
      </c>
      <c r="AG641">
        <v>-2121.27498365834</v>
      </c>
      <c r="AH641">
        <v>-2022.13141329635</v>
      </c>
      <c r="AI641">
        <v>-2048.97587781177</v>
      </c>
      <c r="AJ641">
        <v>-2107.87042959316</v>
      </c>
    </row>
    <row r="642" spans="20:36">
      <c r="T642">
        <v>319.859</v>
      </c>
      <c r="U642">
        <v>1.21940197714509</v>
      </c>
      <c r="V642">
        <v>319.859</v>
      </c>
      <c r="W642">
        <v>1.22819361603352</v>
      </c>
      <c r="X642">
        <v>319.859</v>
      </c>
      <c r="Y642">
        <v>1.22859674968321</v>
      </c>
      <c r="Z642">
        <v>319.859</v>
      </c>
      <c r="AA642">
        <v>1.22921892072285</v>
      </c>
      <c r="AB642">
        <v>319.859</v>
      </c>
      <c r="AC642">
        <v>1.22415690697786</v>
      </c>
      <c r="AE642">
        <v>319.859</v>
      </c>
      <c r="AF642">
        <v>-2008.39361945417</v>
      </c>
      <c r="AG642">
        <v>-2190.33097287261</v>
      </c>
      <c r="AH642">
        <v>-2044.74725984477</v>
      </c>
      <c r="AI642">
        <v>-1984.08542052208</v>
      </c>
      <c r="AJ642">
        <v>-2036.57662337718</v>
      </c>
    </row>
    <row r="643" spans="20:36">
      <c r="T643">
        <v>320.358</v>
      </c>
      <c r="U643">
        <v>1.23014801394986</v>
      </c>
      <c r="V643">
        <v>320.358</v>
      </c>
      <c r="W643">
        <v>1.22827790156459</v>
      </c>
      <c r="X643">
        <v>320.358</v>
      </c>
      <c r="Y643">
        <v>1.23528815147313</v>
      </c>
      <c r="Z643">
        <v>320.358</v>
      </c>
      <c r="AA643">
        <v>1.23588656101081</v>
      </c>
      <c r="AB643">
        <v>320.358</v>
      </c>
      <c r="AC643">
        <v>1.22004908855717</v>
      </c>
      <c r="AE643">
        <v>320.358</v>
      </c>
      <c r="AF643">
        <v>-2069.75820871564</v>
      </c>
      <c r="AG643">
        <v>-2118.18094066656</v>
      </c>
      <c r="AH643">
        <v>-1996.6923335016</v>
      </c>
      <c r="AI643">
        <v>-2051.96507147196</v>
      </c>
      <c r="AJ643">
        <v>-1939.21301821803</v>
      </c>
    </row>
    <row r="644" spans="20:36">
      <c r="T644">
        <v>320.857</v>
      </c>
      <c r="U644">
        <v>1.22809929293515</v>
      </c>
      <c r="V644">
        <v>320.857</v>
      </c>
      <c r="W644">
        <v>1.23209526636588</v>
      </c>
      <c r="X644">
        <v>320.857</v>
      </c>
      <c r="Y644">
        <v>1.22751804605987</v>
      </c>
      <c r="Z644">
        <v>320.857</v>
      </c>
      <c r="AA644">
        <v>1.23530324708206</v>
      </c>
      <c r="AB644">
        <v>320.857</v>
      </c>
      <c r="AC644">
        <v>1.23071335233264</v>
      </c>
      <c r="AE644">
        <v>320.857</v>
      </c>
      <c r="AF644">
        <v>-2049.86111781291</v>
      </c>
      <c r="AG644">
        <v>-2031.90013333918</v>
      </c>
      <c r="AH644">
        <v>-1969.21085107505</v>
      </c>
      <c r="AI644">
        <v>-2059.5412420214</v>
      </c>
      <c r="AJ644">
        <v>-1972.48255512785</v>
      </c>
    </row>
    <row r="645" spans="20:36">
      <c r="T645">
        <v>321.356</v>
      </c>
      <c r="U645">
        <v>1.22477855512714</v>
      </c>
      <c r="V645">
        <v>321.356</v>
      </c>
      <c r="W645">
        <v>1.22884704478496</v>
      </c>
      <c r="X645">
        <v>321.356</v>
      </c>
      <c r="Y645">
        <v>1.22703712824001</v>
      </c>
      <c r="Z645">
        <v>321.356</v>
      </c>
      <c r="AA645">
        <v>1.22884245638813</v>
      </c>
      <c r="AB645">
        <v>321.356</v>
      </c>
      <c r="AC645">
        <v>1.23170943234626</v>
      </c>
      <c r="AE645">
        <v>321.356</v>
      </c>
      <c r="AF645">
        <v>-1988.19081421011</v>
      </c>
      <c r="AG645">
        <v>-2089.49679943039</v>
      </c>
      <c r="AH645">
        <v>-1975.0195445348</v>
      </c>
      <c r="AI645">
        <v>-2142.61785069852</v>
      </c>
      <c r="AJ645">
        <v>-1975.12953630051</v>
      </c>
    </row>
    <row r="646" spans="20:36">
      <c r="T646">
        <v>321.855</v>
      </c>
      <c r="U646">
        <v>1.22325607171656</v>
      </c>
      <c r="V646">
        <v>321.855</v>
      </c>
      <c r="W646">
        <v>1.23868886156807</v>
      </c>
      <c r="X646">
        <v>321.855</v>
      </c>
      <c r="Y646">
        <v>1.22823891056691</v>
      </c>
      <c r="Z646">
        <v>321.855</v>
      </c>
      <c r="AA646">
        <v>1.23286812156576</v>
      </c>
      <c r="AB646">
        <v>321.855</v>
      </c>
      <c r="AC646">
        <v>1.23141060384841</v>
      </c>
      <c r="AE646">
        <v>321.855</v>
      </c>
      <c r="AF646">
        <v>-1951.80199251163</v>
      </c>
      <c r="AG646">
        <v>-2137.57128428479</v>
      </c>
      <c r="AH646">
        <v>-2029.92155032966</v>
      </c>
      <c r="AI646">
        <v>-2052.48142775065</v>
      </c>
      <c r="AJ646">
        <v>-2018.85963650136</v>
      </c>
    </row>
    <row r="647" spans="20:36">
      <c r="T647">
        <v>322.354</v>
      </c>
      <c r="U647">
        <v>1.2238205507864</v>
      </c>
      <c r="V647">
        <v>322.354</v>
      </c>
      <c r="W647">
        <v>1.23351042956837</v>
      </c>
      <c r="X647">
        <v>322.354</v>
      </c>
      <c r="Y647">
        <v>1.22379035256757</v>
      </c>
      <c r="Z647">
        <v>322.354</v>
      </c>
      <c r="AA647">
        <v>1.233292044642</v>
      </c>
      <c r="AB647">
        <v>322.354</v>
      </c>
      <c r="AC647">
        <v>1.2340569142254</v>
      </c>
      <c r="AE647">
        <v>322.354</v>
      </c>
      <c r="AF647">
        <v>-1982.64752356833</v>
      </c>
      <c r="AG647">
        <v>-2073.4521249379</v>
      </c>
      <c r="AH647">
        <v>-2037.74347849517</v>
      </c>
      <c r="AI647">
        <v>-1973.49938625628</v>
      </c>
      <c r="AJ647">
        <v>-2083.211921112</v>
      </c>
    </row>
    <row r="648" spans="20:36">
      <c r="T648">
        <v>322.853</v>
      </c>
      <c r="U648">
        <v>1.23290173945543</v>
      </c>
      <c r="V648">
        <v>322.853</v>
      </c>
      <c r="W648">
        <v>1.22788016768312</v>
      </c>
      <c r="X648">
        <v>322.853</v>
      </c>
      <c r="Y648">
        <v>1.22106577071577</v>
      </c>
      <c r="Z648">
        <v>322.853</v>
      </c>
      <c r="AA648">
        <v>1.23797903606441</v>
      </c>
      <c r="AB648">
        <v>322.853</v>
      </c>
      <c r="AC648">
        <v>1.23018410423566</v>
      </c>
      <c r="AE648">
        <v>322.853</v>
      </c>
      <c r="AF648">
        <v>-2011.68874417564</v>
      </c>
      <c r="AG648">
        <v>-2023.68135107858</v>
      </c>
      <c r="AH648">
        <v>-1997.97052876605</v>
      </c>
      <c r="AI648">
        <v>-2001.32252078614</v>
      </c>
      <c r="AJ648">
        <v>-2034.59222650611</v>
      </c>
    </row>
    <row r="649" spans="20:36">
      <c r="T649">
        <v>323.352</v>
      </c>
      <c r="U649">
        <v>1.22749010130152</v>
      </c>
      <c r="V649">
        <v>323.352</v>
      </c>
      <c r="W649">
        <v>1.22523020565044</v>
      </c>
      <c r="X649">
        <v>323.352</v>
      </c>
      <c r="Y649">
        <v>1.22155751183656</v>
      </c>
      <c r="Z649">
        <v>323.352</v>
      </c>
      <c r="AA649">
        <v>1.23848619064155</v>
      </c>
      <c r="AB649">
        <v>323.352</v>
      </c>
      <c r="AC649">
        <v>1.23298602573656</v>
      </c>
      <c r="AE649">
        <v>323.352</v>
      </c>
      <c r="AF649">
        <v>-2069.83160741359</v>
      </c>
      <c r="AG649">
        <v>-2160.02050715607</v>
      </c>
      <c r="AH649">
        <v>-1963.40124000369</v>
      </c>
      <c r="AI649">
        <v>-2030.84734514797</v>
      </c>
      <c r="AJ649">
        <v>-1935.57906090357</v>
      </c>
    </row>
    <row r="650" spans="20:36">
      <c r="T650">
        <v>323.851</v>
      </c>
      <c r="U650">
        <v>1.22470242932263</v>
      </c>
      <c r="V650">
        <v>323.851</v>
      </c>
      <c r="W650">
        <v>1.22151432452792</v>
      </c>
      <c r="X650">
        <v>323.851</v>
      </c>
      <c r="Y650">
        <v>1.22554405956041</v>
      </c>
      <c r="Z650">
        <v>323.851</v>
      </c>
      <c r="AA650">
        <v>1.23098441929515</v>
      </c>
      <c r="AB650">
        <v>323.851</v>
      </c>
      <c r="AC650">
        <v>1.22447790729558</v>
      </c>
      <c r="AE650">
        <v>323.851</v>
      </c>
      <c r="AF650">
        <v>-2092.42551508521</v>
      </c>
      <c r="AG650">
        <v>-2194.37444932439</v>
      </c>
      <c r="AH650">
        <v>-2022.78973798366</v>
      </c>
      <c r="AI650">
        <v>-2020.73622521806</v>
      </c>
      <c r="AJ650">
        <v>-1982.40626612451</v>
      </c>
    </row>
    <row r="651" spans="20:36">
      <c r="T651">
        <v>324.35</v>
      </c>
      <c r="U651">
        <v>1.22897511085082</v>
      </c>
      <c r="V651">
        <v>324.35</v>
      </c>
      <c r="W651">
        <v>1.22395564371155</v>
      </c>
      <c r="X651">
        <v>324.35</v>
      </c>
      <c r="Y651">
        <v>1.23117986654018</v>
      </c>
      <c r="Z651">
        <v>324.35</v>
      </c>
      <c r="AA651">
        <v>1.23541951992857</v>
      </c>
      <c r="AB651">
        <v>324.35</v>
      </c>
      <c r="AC651">
        <v>1.22638968997457</v>
      </c>
      <c r="AE651">
        <v>324.35</v>
      </c>
      <c r="AF651">
        <v>-2095.2461687441</v>
      </c>
      <c r="AG651">
        <v>-2052.8793259829</v>
      </c>
      <c r="AH651">
        <v>-1981.36717491345</v>
      </c>
      <c r="AI651">
        <v>-2060.37503346885</v>
      </c>
      <c r="AJ651">
        <v>-1999.39104809183</v>
      </c>
    </row>
    <row r="652" spans="20:36">
      <c r="T652">
        <v>324.849</v>
      </c>
      <c r="U652">
        <v>1.22992685693074</v>
      </c>
      <c r="V652">
        <v>324.849</v>
      </c>
      <c r="W652">
        <v>1.21233262067522</v>
      </c>
      <c r="X652">
        <v>324.849</v>
      </c>
      <c r="Y652">
        <v>1.22915621650753</v>
      </c>
      <c r="Z652">
        <v>324.849</v>
      </c>
      <c r="AA652">
        <v>1.23472146916215</v>
      </c>
      <c r="AB652">
        <v>324.849</v>
      </c>
      <c r="AC652">
        <v>1.23402510715944</v>
      </c>
      <c r="AE652">
        <v>324.849</v>
      </c>
      <c r="AF652">
        <v>-2000.13203406143</v>
      </c>
      <c r="AG652">
        <v>-1979.4420607426</v>
      </c>
      <c r="AH652">
        <v>-1889.5781987464</v>
      </c>
      <c r="AI652">
        <v>-2087.51303281703</v>
      </c>
      <c r="AJ652">
        <v>-2120.29884617034</v>
      </c>
    </row>
    <row r="653" spans="20:36">
      <c r="T653">
        <v>325.348</v>
      </c>
      <c r="U653">
        <v>1.229860315412</v>
      </c>
      <c r="V653">
        <v>325.348</v>
      </c>
      <c r="W653">
        <v>1.23144654201418</v>
      </c>
      <c r="X653">
        <v>325.348</v>
      </c>
      <c r="Y653">
        <v>1.22481725379204</v>
      </c>
      <c r="Z653">
        <v>325.348</v>
      </c>
      <c r="AA653">
        <v>1.23974625373518</v>
      </c>
      <c r="AB653">
        <v>325.348</v>
      </c>
      <c r="AC653">
        <v>1.23131715592002</v>
      </c>
      <c r="AE653">
        <v>325.348</v>
      </c>
      <c r="AF653">
        <v>-1979.20282493035</v>
      </c>
      <c r="AG653">
        <v>-2051.16189379189</v>
      </c>
      <c r="AH653">
        <v>-1985.17814203726</v>
      </c>
      <c r="AI653">
        <v>-2106.02189973854</v>
      </c>
      <c r="AJ653">
        <v>-2134.14941348048</v>
      </c>
    </row>
    <row r="654" spans="20:36">
      <c r="T654">
        <v>325.847</v>
      </c>
      <c r="U654">
        <v>1.23495747881188</v>
      </c>
      <c r="V654">
        <v>325.847</v>
      </c>
      <c r="W654">
        <v>1.23270635379801</v>
      </c>
      <c r="X654">
        <v>325.847</v>
      </c>
      <c r="Y654">
        <v>1.22703147057697</v>
      </c>
      <c r="Z654">
        <v>325.847</v>
      </c>
      <c r="AA654">
        <v>1.23259804758839</v>
      </c>
      <c r="AB654">
        <v>325.847</v>
      </c>
      <c r="AC654">
        <v>1.22586411898404</v>
      </c>
      <c r="AE654">
        <v>325.847</v>
      </c>
      <c r="AF654">
        <v>-2026.16495923571</v>
      </c>
      <c r="AG654">
        <v>-2147.32138171155</v>
      </c>
      <c r="AH654">
        <v>-2148.34226409813</v>
      </c>
      <c r="AI654">
        <v>-1998.02778458533</v>
      </c>
      <c r="AJ654">
        <v>-1991.70303692263</v>
      </c>
    </row>
    <row r="655" spans="20:36">
      <c r="T655">
        <v>326.346</v>
      </c>
      <c r="U655">
        <v>1.22916183428576</v>
      </c>
      <c r="V655">
        <v>326.346</v>
      </c>
      <c r="W655">
        <v>1.22921180762743</v>
      </c>
      <c r="X655">
        <v>326.346</v>
      </c>
      <c r="Y655">
        <v>1.22690311876494</v>
      </c>
      <c r="Z655">
        <v>326.346</v>
      </c>
      <c r="AA655">
        <v>1.23224725353755</v>
      </c>
      <c r="AB655">
        <v>326.346</v>
      </c>
      <c r="AC655">
        <v>1.23598672972034</v>
      </c>
      <c r="AE655">
        <v>326.346</v>
      </c>
      <c r="AF655">
        <v>-2050.79060786821</v>
      </c>
      <c r="AG655">
        <v>-2043.65085259886</v>
      </c>
      <c r="AH655">
        <v>-2097.43883652101</v>
      </c>
      <c r="AI655">
        <v>-1991.63932620958</v>
      </c>
      <c r="AJ655">
        <v>-1884.9600700174</v>
      </c>
    </row>
    <row r="656" spans="20:36">
      <c r="T656">
        <v>326.845</v>
      </c>
      <c r="U656">
        <v>1.23207346699554</v>
      </c>
      <c r="V656">
        <v>326.845</v>
      </c>
      <c r="W656">
        <v>1.22457287521221</v>
      </c>
      <c r="X656">
        <v>326.845</v>
      </c>
      <c r="Y656">
        <v>1.22452291630401</v>
      </c>
      <c r="Z656">
        <v>326.845</v>
      </c>
      <c r="AA656">
        <v>1.23085765750174</v>
      </c>
      <c r="AB656">
        <v>326.845</v>
      </c>
      <c r="AC656">
        <v>1.22653923941973</v>
      </c>
      <c r="AE656">
        <v>326.845</v>
      </c>
      <c r="AF656">
        <v>-2072.11830289795</v>
      </c>
      <c r="AG656">
        <v>-2079.40203487124</v>
      </c>
      <c r="AH656">
        <v>-1911.78986105708</v>
      </c>
      <c r="AI656">
        <v>-2116.24065796638</v>
      </c>
      <c r="AJ656">
        <v>-1963.89322012966</v>
      </c>
    </row>
    <row r="657" spans="20:36">
      <c r="T657">
        <v>327.344</v>
      </c>
      <c r="U657">
        <v>1.22845973475015</v>
      </c>
      <c r="V657">
        <v>327.344</v>
      </c>
      <c r="W657">
        <v>1.23160376715755</v>
      </c>
      <c r="X657">
        <v>327.344</v>
      </c>
      <c r="Y657">
        <v>1.23025092845643</v>
      </c>
      <c r="Z657">
        <v>327.344</v>
      </c>
      <c r="AA657">
        <v>1.23218112213766</v>
      </c>
      <c r="AB657">
        <v>327.344</v>
      </c>
      <c r="AC657">
        <v>1.22339498144849</v>
      </c>
      <c r="AE657">
        <v>327.344</v>
      </c>
      <c r="AF657">
        <v>-2103.25642785335</v>
      </c>
      <c r="AG657">
        <v>-2162.69159845766</v>
      </c>
      <c r="AH657">
        <v>-2073.49929567813</v>
      </c>
      <c r="AI657">
        <v>-2062.1454967559</v>
      </c>
      <c r="AJ657">
        <v>-2060.42988628581</v>
      </c>
    </row>
    <row r="658" spans="20:36">
      <c r="T658">
        <v>327.843</v>
      </c>
      <c r="U658">
        <v>1.22970416060404</v>
      </c>
      <c r="V658">
        <v>327.843</v>
      </c>
      <c r="W658">
        <v>1.22269093848856</v>
      </c>
      <c r="X658">
        <v>327.843</v>
      </c>
      <c r="Y658">
        <v>1.22201224939116</v>
      </c>
      <c r="Z658">
        <v>327.843</v>
      </c>
      <c r="AA658">
        <v>1.23190737650383</v>
      </c>
      <c r="AB658">
        <v>327.843</v>
      </c>
      <c r="AC658">
        <v>1.22574091339648</v>
      </c>
      <c r="AE658">
        <v>327.843</v>
      </c>
      <c r="AF658">
        <v>-2086.13027511741</v>
      </c>
      <c r="AG658">
        <v>-2068.86692738735</v>
      </c>
      <c r="AH658">
        <v>-2062.28983834829</v>
      </c>
      <c r="AI658">
        <v>-1908.73068712212</v>
      </c>
      <c r="AJ658">
        <v>-2048.76790208953</v>
      </c>
    </row>
    <row r="659" spans="20:36">
      <c r="T659">
        <v>328.342</v>
      </c>
      <c r="U659">
        <v>1.222269740268</v>
      </c>
      <c r="V659">
        <v>328.342</v>
      </c>
      <c r="W659">
        <v>1.22368802461237</v>
      </c>
      <c r="X659">
        <v>328.342</v>
      </c>
      <c r="Y659">
        <v>1.22718833199055</v>
      </c>
      <c r="Z659">
        <v>328.342</v>
      </c>
      <c r="AA659">
        <v>1.23649080770657</v>
      </c>
      <c r="AB659">
        <v>328.342</v>
      </c>
      <c r="AC659">
        <v>1.22744641560754</v>
      </c>
      <c r="AE659">
        <v>328.342</v>
      </c>
      <c r="AF659">
        <v>-1984.86600273479</v>
      </c>
      <c r="AG659">
        <v>-2000.44532342241</v>
      </c>
      <c r="AH659">
        <v>-1988.83281068624</v>
      </c>
      <c r="AI659">
        <v>-1992.83873827528</v>
      </c>
      <c r="AJ659">
        <v>-2054.70700772551</v>
      </c>
    </row>
    <row r="660" spans="20:36">
      <c r="T660">
        <v>328.841</v>
      </c>
      <c r="U660">
        <v>1.23428283091952</v>
      </c>
      <c r="V660">
        <v>328.841</v>
      </c>
      <c r="W660">
        <v>1.2295416918499</v>
      </c>
      <c r="X660">
        <v>328.841</v>
      </c>
      <c r="Y660">
        <v>1.23046264326929</v>
      </c>
      <c r="Z660">
        <v>328.841</v>
      </c>
      <c r="AA660">
        <v>1.23803212754251</v>
      </c>
      <c r="AB660">
        <v>328.841</v>
      </c>
      <c r="AC660">
        <v>1.23031724982709</v>
      </c>
      <c r="AE660">
        <v>328.841</v>
      </c>
      <c r="AF660">
        <v>-1892.13794464266</v>
      </c>
      <c r="AG660">
        <v>-2125.46720658863</v>
      </c>
      <c r="AH660">
        <v>-1905.40989302969</v>
      </c>
      <c r="AI660">
        <v>-2138.45018691304</v>
      </c>
      <c r="AJ660">
        <v>-2037.89572862785</v>
      </c>
    </row>
    <row r="661" spans="20:36">
      <c r="T661">
        <v>329.34</v>
      </c>
      <c r="U661">
        <v>1.23741200286651</v>
      </c>
      <c r="V661">
        <v>329.34</v>
      </c>
      <c r="W661">
        <v>1.22511083950511</v>
      </c>
      <c r="X661">
        <v>329.34</v>
      </c>
      <c r="Y661">
        <v>1.2267994103625</v>
      </c>
      <c r="Z661">
        <v>329.34</v>
      </c>
      <c r="AA661">
        <v>1.23180286739363</v>
      </c>
      <c r="AB661">
        <v>329.34</v>
      </c>
      <c r="AC661">
        <v>1.23502310593997</v>
      </c>
      <c r="AE661">
        <v>329.34</v>
      </c>
      <c r="AF661">
        <v>-2055.06432503399</v>
      </c>
      <c r="AG661">
        <v>-2058.8153995163</v>
      </c>
      <c r="AH661">
        <v>-1949.52459719439</v>
      </c>
      <c r="AI661">
        <v>-2130.1720913835</v>
      </c>
      <c r="AJ661">
        <v>-2019.57434649059</v>
      </c>
    </row>
    <row r="662" spans="20:36">
      <c r="T662">
        <v>329.839</v>
      </c>
      <c r="U662">
        <v>1.22457975768547</v>
      </c>
      <c r="V662">
        <v>329.839</v>
      </c>
      <c r="W662">
        <v>1.2254035816342</v>
      </c>
      <c r="X662">
        <v>329.839</v>
      </c>
      <c r="Y662">
        <v>1.22376472965587</v>
      </c>
      <c r="Z662">
        <v>329.839</v>
      </c>
      <c r="AA662">
        <v>1.23184494742919</v>
      </c>
      <c r="AB662">
        <v>329.839</v>
      </c>
      <c r="AC662">
        <v>1.23577323876863</v>
      </c>
      <c r="AE662">
        <v>329.839</v>
      </c>
      <c r="AF662">
        <v>-2097.06953040452</v>
      </c>
      <c r="AG662">
        <v>-2074.13633559806</v>
      </c>
      <c r="AH662">
        <v>-2045.60214004665</v>
      </c>
      <c r="AI662">
        <v>-2017.65742959241</v>
      </c>
      <c r="AJ662">
        <v>-2001.08111307636</v>
      </c>
    </row>
    <row r="663" spans="20:36">
      <c r="T663">
        <v>330.338</v>
      </c>
      <c r="U663">
        <v>1.22850537634167</v>
      </c>
      <c r="V663">
        <v>330.338</v>
      </c>
      <c r="W663">
        <v>1.22648589306063</v>
      </c>
      <c r="X663">
        <v>330.338</v>
      </c>
      <c r="Y663">
        <v>1.22629560993725</v>
      </c>
      <c r="Z663">
        <v>330.338</v>
      </c>
      <c r="AA663">
        <v>1.23583215472197</v>
      </c>
      <c r="AB663">
        <v>330.338</v>
      </c>
      <c r="AC663">
        <v>1.24059376380116</v>
      </c>
      <c r="AE663">
        <v>330.338</v>
      </c>
      <c r="AF663">
        <v>-2059.87631767428</v>
      </c>
      <c r="AG663">
        <v>-2100.10632160875</v>
      </c>
      <c r="AH663">
        <v>-1991.57742060352</v>
      </c>
      <c r="AI663">
        <v>-1931.87527391999</v>
      </c>
      <c r="AJ663">
        <v>-2037.25349212444</v>
      </c>
    </row>
    <row r="664" spans="20:36">
      <c r="T664">
        <v>330.837</v>
      </c>
      <c r="U664">
        <v>1.23156066532147</v>
      </c>
      <c r="V664">
        <v>330.837</v>
      </c>
      <c r="W664">
        <v>1.22607467120526</v>
      </c>
      <c r="X664">
        <v>330.837</v>
      </c>
      <c r="Y664">
        <v>1.22948637059764</v>
      </c>
      <c r="Z664">
        <v>330.837</v>
      </c>
      <c r="AA664">
        <v>1.23093490619457</v>
      </c>
      <c r="AB664">
        <v>330.837</v>
      </c>
      <c r="AC664">
        <v>1.23318285445932</v>
      </c>
      <c r="AE664">
        <v>330.837</v>
      </c>
      <c r="AF664">
        <v>-1960.44054504388</v>
      </c>
      <c r="AG664">
        <v>-2055.69195027542</v>
      </c>
      <c r="AH664">
        <v>-1998.14092756495</v>
      </c>
      <c r="AI664">
        <v>-2013.36374834247</v>
      </c>
      <c r="AJ664">
        <v>-2063.34829477821</v>
      </c>
    </row>
    <row r="665" spans="20:36">
      <c r="T665">
        <v>331.336</v>
      </c>
      <c r="U665">
        <v>1.22026141064346</v>
      </c>
      <c r="V665">
        <v>331.336</v>
      </c>
      <c r="W665">
        <v>1.22712778295953</v>
      </c>
      <c r="X665">
        <v>331.336</v>
      </c>
      <c r="Y665">
        <v>1.22777648608929</v>
      </c>
      <c r="Z665">
        <v>331.336</v>
      </c>
      <c r="AA665">
        <v>1.22697563956829</v>
      </c>
      <c r="AB665">
        <v>331.336</v>
      </c>
      <c r="AC665">
        <v>1.23290257818896</v>
      </c>
      <c r="AE665">
        <v>331.336</v>
      </c>
      <c r="AF665">
        <v>-1986.37798221243</v>
      </c>
      <c r="AG665">
        <v>-2084.48121901076</v>
      </c>
      <c r="AH665">
        <v>-2065.47216064418</v>
      </c>
      <c r="AI665">
        <v>-2066.32690536795</v>
      </c>
      <c r="AJ665">
        <v>-2028.25800931764</v>
      </c>
    </row>
    <row r="666" spans="20:36">
      <c r="T666">
        <v>331.835</v>
      </c>
      <c r="U666">
        <v>1.22994757945269</v>
      </c>
      <c r="V666">
        <v>331.835</v>
      </c>
      <c r="W666">
        <v>1.2264143009738</v>
      </c>
      <c r="X666">
        <v>331.835</v>
      </c>
      <c r="Y666">
        <v>1.22467423477883</v>
      </c>
      <c r="Z666">
        <v>331.835</v>
      </c>
      <c r="AA666">
        <v>1.23687435117189</v>
      </c>
      <c r="AB666">
        <v>331.835</v>
      </c>
      <c r="AC666">
        <v>1.23687029245946</v>
      </c>
      <c r="AE666">
        <v>331.835</v>
      </c>
      <c r="AF666">
        <v>-2147.10212226063</v>
      </c>
      <c r="AG666">
        <v>-2173.61768348721</v>
      </c>
      <c r="AH666">
        <v>-1938.47183023254</v>
      </c>
      <c r="AI666">
        <v>-2136.87717461589</v>
      </c>
      <c r="AJ666">
        <v>-2013.11502688964</v>
      </c>
    </row>
    <row r="667" spans="20:36">
      <c r="T667">
        <v>332.334</v>
      </c>
      <c r="U667">
        <v>1.2283100951982</v>
      </c>
      <c r="V667">
        <v>332.334</v>
      </c>
      <c r="W667">
        <v>1.23453810702827</v>
      </c>
      <c r="X667">
        <v>332.334</v>
      </c>
      <c r="Y667">
        <v>1.2342669953577</v>
      </c>
      <c r="Z667">
        <v>332.334</v>
      </c>
      <c r="AA667">
        <v>1.23080893049264</v>
      </c>
      <c r="AB667">
        <v>332.334</v>
      </c>
      <c r="AC667">
        <v>1.22900380096434</v>
      </c>
      <c r="AE667">
        <v>332.334</v>
      </c>
      <c r="AF667">
        <v>-2066.7541919802</v>
      </c>
      <c r="AG667">
        <v>-2119.30395803072</v>
      </c>
      <c r="AH667">
        <v>-1982.70813464686</v>
      </c>
      <c r="AI667">
        <v>-2011.77147648669</v>
      </c>
      <c r="AJ667">
        <v>-2035.43395150465</v>
      </c>
    </row>
    <row r="668" spans="20:36">
      <c r="T668">
        <v>332.833</v>
      </c>
      <c r="U668">
        <v>1.22749446713271</v>
      </c>
      <c r="V668">
        <v>332.833</v>
      </c>
      <c r="W668">
        <v>1.22679483843125</v>
      </c>
      <c r="X668">
        <v>332.833</v>
      </c>
      <c r="Y668">
        <v>1.22423177725848</v>
      </c>
      <c r="Z668">
        <v>332.833</v>
      </c>
      <c r="AA668">
        <v>1.232894467677</v>
      </c>
      <c r="AB668">
        <v>332.833</v>
      </c>
      <c r="AC668">
        <v>1.23128412312953</v>
      </c>
      <c r="AE668">
        <v>332.833</v>
      </c>
      <c r="AF668">
        <v>-1990.01883671326</v>
      </c>
      <c r="AG668">
        <v>-1955.75145430754</v>
      </c>
      <c r="AH668">
        <v>-2070.93922858946</v>
      </c>
      <c r="AI668">
        <v>-1962.65681844</v>
      </c>
      <c r="AJ668">
        <v>-2098.26090680622</v>
      </c>
    </row>
    <row r="669" spans="20:36">
      <c r="T669">
        <v>333.332</v>
      </c>
      <c r="U669">
        <v>1.23118510715802</v>
      </c>
      <c r="V669">
        <v>333.332</v>
      </c>
      <c r="W669">
        <v>1.22244954086984</v>
      </c>
      <c r="X669">
        <v>333.332</v>
      </c>
      <c r="Y669">
        <v>1.22567069753708</v>
      </c>
      <c r="Z669">
        <v>333.332</v>
      </c>
      <c r="AA669">
        <v>1.23292506742557</v>
      </c>
      <c r="AB669">
        <v>333.332</v>
      </c>
      <c r="AC669">
        <v>1.22576121355483</v>
      </c>
      <c r="AE669">
        <v>333.332</v>
      </c>
      <c r="AF669">
        <v>-1964.72186698102</v>
      </c>
      <c r="AG669">
        <v>-1908.80982006678</v>
      </c>
      <c r="AH669">
        <v>-2012.37821654976</v>
      </c>
      <c r="AI669">
        <v>-2001.2950142559</v>
      </c>
      <c r="AJ669">
        <v>-2028.9499185958</v>
      </c>
    </row>
    <row r="670" spans="20:36">
      <c r="T670">
        <v>333.831</v>
      </c>
      <c r="U670">
        <v>1.22778087096871</v>
      </c>
      <c r="V670">
        <v>333.831</v>
      </c>
      <c r="W670">
        <v>1.22621409731473</v>
      </c>
      <c r="X670">
        <v>333.831</v>
      </c>
      <c r="Y670">
        <v>1.22644058187544</v>
      </c>
      <c r="Z670">
        <v>333.831</v>
      </c>
      <c r="AA670">
        <v>1.23049410664676</v>
      </c>
      <c r="AB670">
        <v>333.831</v>
      </c>
      <c r="AC670">
        <v>1.22451614426631</v>
      </c>
      <c r="AE670">
        <v>333.831</v>
      </c>
      <c r="AF670">
        <v>-2004.23030095393</v>
      </c>
      <c r="AG670">
        <v>-2106.61442227722</v>
      </c>
      <c r="AH670">
        <v>-1963.94031013305</v>
      </c>
      <c r="AI670">
        <v>-2102.4315415795</v>
      </c>
      <c r="AJ670">
        <v>-1876.75065252065</v>
      </c>
    </row>
    <row r="671" spans="20:36">
      <c r="T671">
        <v>334.33</v>
      </c>
      <c r="U671">
        <v>1.22651178910201</v>
      </c>
      <c r="V671">
        <v>334.33</v>
      </c>
      <c r="W671">
        <v>1.22473474065161</v>
      </c>
      <c r="X671">
        <v>334.33</v>
      </c>
      <c r="Y671">
        <v>1.23221672949406</v>
      </c>
      <c r="Z671">
        <v>334.33</v>
      </c>
      <c r="AA671">
        <v>1.23135482216992</v>
      </c>
      <c r="AB671">
        <v>334.33</v>
      </c>
      <c r="AC671">
        <v>1.23230030109369</v>
      </c>
      <c r="AE671">
        <v>334.33</v>
      </c>
      <c r="AF671">
        <v>-2080.18734911776</v>
      </c>
      <c r="AG671">
        <v>-2143.38240638426</v>
      </c>
      <c r="AH671">
        <v>-2054.48912375538</v>
      </c>
      <c r="AI671">
        <v>-2090.21209153934</v>
      </c>
      <c r="AJ671">
        <v>-2030.66196707974</v>
      </c>
    </row>
    <row r="672" spans="20:36">
      <c r="T672">
        <v>334.829</v>
      </c>
      <c r="U672">
        <v>1.22794836855258</v>
      </c>
      <c r="V672">
        <v>334.829</v>
      </c>
      <c r="W672">
        <v>1.22760627825185</v>
      </c>
      <c r="X672">
        <v>334.829</v>
      </c>
      <c r="Y672">
        <v>1.22865316451954</v>
      </c>
      <c r="Z672">
        <v>334.829</v>
      </c>
      <c r="AA672">
        <v>1.23116400365414</v>
      </c>
      <c r="AB672">
        <v>334.829</v>
      </c>
      <c r="AC672">
        <v>1.23533178616809</v>
      </c>
      <c r="AE672">
        <v>334.829</v>
      </c>
      <c r="AF672">
        <v>-2001.82020190542</v>
      </c>
      <c r="AG672">
        <v>-2136.39548375581</v>
      </c>
      <c r="AH672">
        <v>-2065.51364265655</v>
      </c>
      <c r="AI672">
        <v>-2020.9987503732</v>
      </c>
      <c r="AJ672">
        <v>-2250.36880446858</v>
      </c>
    </row>
    <row r="673" spans="20:36">
      <c r="T673">
        <v>335.328</v>
      </c>
      <c r="U673">
        <v>1.21891555406312</v>
      </c>
      <c r="V673">
        <v>335.328</v>
      </c>
      <c r="W673">
        <v>1.22549614278868</v>
      </c>
      <c r="X673">
        <v>335.328</v>
      </c>
      <c r="Y673">
        <v>1.22835561629619</v>
      </c>
      <c r="Z673">
        <v>335.328</v>
      </c>
      <c r="AA673">
        <v>1.22421728440072</v>
      </c>
      <c r="AB673">
        <v>335.328</v>
      </c>
      <c r="AC673">
        <v>1.23194681326367</v>
      </c>
      <c r="AE673">
        <v>335.328</v>
      </c>
      <c r="AF673">
        <v>-1956.71906282396</v>
      </c>
      <c r="AG673">
        <v>-2028.39488633822</v>
      </c>
      <c r="AH673">
        <v>-2007.40315776559</v>
      </c>
      <c r="AI673">
        <v>-1920.0448265619</v>
      </c>
      <c r="AJ673">
        <v>-2046.10122088875</v>
      </c>
    </row>
    <row r="674" spans="20:36">
      <c r="T674">
        <v>335.827</v>
      </c>
      <c r="U674">
        <v>1.22703147635409</v>
      </c>
      <c r="V674">
        <v>335.827</v>
      </c>
      <c r="W674">
        <v>1.23686030914412</v>
      </c>
      <c r="X674">
        <v>335.827</v>
      </c>
      <c r="Y674">
        <v>1.22852331782995</v>
      </c>
      <c r="Z674">
        <v>335.827</v>
      </c>
      <c r="AA674">
        <v>1.22870570172262</v>
      </c>
      <c r="AB674">
        <v>335.827</v>
      </c>
      <c r="AC674">
        <v>1.23021057907506</v>
      </c>
      <c r="AE674">
        <v>335.827</v>
      </c>
      <c r="AF674">
        <v>-2068.91881740103</v>
      </c>
      <c r="AG674">
        <v>-2059.39787081329</v>
      </c>
      <c r="AH674">
        <v>-1885.42999768836</v>
      </c>
      <c r="AI674">
        <v>-1951.81850470906</v>
      </c>
      <c r="AJ674">
        <v>-1843.59669525355</v>
      </c>
    </row>
    <row r="675" spans="20:36">
      <c r="T675">
        <v>336.326</v>
      </c>
      <c r="U675">
        <v>1.22877008504691</v>
      </c>
      <c r="V675">
        <v>336.326</v>
      </c>
      <c r="W675">
        <v>1.23151596361099</v>
      </c>
      <c r="X675">
        <v>336.326</v>
      </c>
      <c r="Y675">
        <v>1.23669897665496</v>
      </c>
      <c r="Z675">
        <v>336.326</v>
      </c>
      <c r="AA675">
        <v>1.23082778250813</v>
      </c>
      <c r="AB675">
        <v>336.326</v>
      </c>
      <c r="AC675">
        <v>1.23155917183773</v>
      </c>
      <c r="AE675">
        <v>336.326</v>
      </c>
      <c r="AF675">
        <v>-2095.2602623184</v>
      </c>
      <c r="AG675">
        <v>-2136.9871260565</v>
      </c>
      <c r="AH675">
        <v>-1971.8276233188</v>
      </c>
      <c r="AI675">
        <v>-2080.69205990308</v>
      </c>
      <c r="AJ675">
        <v>-1849.52345086522</v>
      </c>
    </row>
    <row r="676" spans="20:36">
      <c r="T676">
        <v>336.825</v>
      </c>
      <c r="U676">
        <v>1.22764893995877</v>
      </c>
      <c r="V676">
        <v>336.825</v>
      </c>
      <c r="W676">
        <v>1.22916906659958</v>
      </c>
      <c r="X676">
        <v>336.825</v>
      </c>
      <c r="Y676">
        <v>1.23319671995087</v>
      </c>
      <c r="Z676">
        <v>336.825</v>
      </c>
      <c r="AA676">
        <v>1.22814166163656</v>
      </c>
      <c r="AB676">
        <v>336.825</v>
      </c>
      <c r="AC676">
        <v>1.22500779465159</v>
      </c>
      <c r="AE676">
        <v>336.825</v>
      </c>
      <c r="AF676">
        <v>-2058.62152305275</v>
      </c>
      <c r="AG676">
        <v>-2168.19170755398</v>
      </c>
      <c r="AH676">
        <v>-2108.0958307252</v>
      </c>
      <c r="AI676">
        <v>-2117.12382277684</v>
      </c>
      <c r="AJ676">
        <v>-2069.73424133133</v>
      </c>
    </row>
    <row r="677" spans="20:36">
      <c r="T677">
        <v>337.324</v>
      </c>
      <c r="U677">
        <v>1.22813209593884</v>
      </c>
      <c r="V677">
        <v>337.324</v>
      </c>
      <c r="W677">
        <v>1.23496475004948</v>
      </c>
      <c r="X677">
        <v>337.324</v>
      </c>
      <c r="Y677">
        <v>1.23083163381219</v>
      </c>
      <c r="Z677">
        <v>337.324</v>
      </c>
      <c r="AA677">
        <v>1.23463014723622</v>
      </c>
      <c r="AB677">
        <v>337.324</v>
      </c>
      <c r="AC677">
        <v>1.23214702835914</v>
      </c>
      <c r="AE677">
        <v>337.324</v>
      </c>
      <c r="AF677">
        <v>-2023.481994428</v>
      </c>
      <c r="AG677">
        <v>-2098.76175222293</v>
      </c>
      <c r="AH677">
        <v>-2066.77352921084</v>
      </c>
      <c r="AI677">
        <v>-2076.07220341692</v>
      </c>
      <c r="AJ677">
        <v>-2182.62584133137</v>
      </c>
    </row>
    <row r="678" spans="20:36">
      <c r="T678">
        <v>337.823</v>
      </c>
      <c r="U678">
        <v>1.22864874561591</v>
      </c>
      <c r="V678">
        <v>337.823</v>
      </c>
      <c r="W678">
        <v>1.23890829467001</v>
      </c>
      <c r="X678">
        <v>337.823</v>
      </c>
      <c r="Y678">
        <v>1.22971662587628</v>
      </c>
      <c r="Z678">
        <v>337.823</v>
      </c>
      <c r="AA678">
        <v>1.22834858304605</v>
      </c>
      <c r="AB678">
        <v>337.823</v>
      </c>
      <c r="AC678">
        <v>1.23380147882982</v>
      </c>
      <c r="AE678">
        <v>337.823</v>
      </c>
      <c r="AF678">
        <v>-2064.07199449997</v>
      </c>
      <c r="AG678">
        <v>-2039.72209581838</v>
      </c>
      <c r="AH678">
        <v>-1937.42707849708</v>
      </c>
      <c r="AI678">
        <v>-1974.23750002509</v>
      </c>
      <c r="AJ678">
        <v>-2016.79448443582</v>
      </c>
    </row>
    <row r="679" spans="20:36">
      <c r="T679">
        <v>338.322</v>
      </c>
      <c r="U679">
        <v>1.21849601242414</v>
      </c>
      <c r="V679">
        <v>338.322</v>
      </c>
      <c r="W679">
        <v>1.23159278401419</v>
      </c>
      <c r="X679">
        <v>338.322</v>
      </c>
      <c r="Y679">
        <v>1.23193187300746</v>
      </c>
      <c r="Z679">
        <v>338.322</v>
      </c>
      <c r="AA679">
        <v>1.22831290063658</v>
      </c>
      <c r="AB679">
        <v>338.322</v>
      </c>
      <c r="AC679">
        <v>1.23102384172176</v>
      </c>
      <c r="AE679">
        <v>338.322</v>
      </c>
      <c r="AF679">
        <v>-2031.83566641134</v>
      </c>
      <c r="AG679">
        <v>-2028.73708926905</v>
      </c>
      <c r="AH679">
        <v>-2016.98827724287</v>
      </c>
      <c r="AI679">
        <v>-1968.87697659755</v>
      </c>
      <c r="AJ679">
        <v>-1874.42199631361</v>
      </c>
    </row>
    <row r="680" spans="20:36">
      <c r="T680">
        <v>338.821</v>
      </c>
      <c r="U680">
        <v>1.22406868936993</v>
      </c>
      <c r="V680">
        <v>338.821</v>
      </c>
      <c r="W680">
        <v>1.23401203279448</v>
      </c>
      <c r="X680">
        <v>338.821</v>
      </c>
      <c r="Y680">
        <v>1.23047315738231</v>
      </c>
      <c r="Z680">
        <v>338.821</v>
      </c>
      <c r="AA680">
        <v>1.23017165026555</v>
      </c>
      <c r="AB680">
        <v>338.821</v>
      </c>
      <c r="AC680">
        <v>1.23425766762926</v>
      </c>
      <c r="AE680">
        <v>338.821</v>
      </c>
      <c r="AF680">
        <v>-1972.08867154925</v>
      </c>
      <c r="AG680">
        <v>-2110.44066268495</v>
      </c>
      <c r="AH680">
        <v>-2108.24869752278</v>
      </c>
      <c r="AI680">
        <v>-2097.39388612458</v>
      </c>
      <c r="AJ680">
        <v>-1966.22271187555</v>
      </c>
    </row>
    <row r="681" spans="20:36">
      <c r="T681">
        <v>339.32</v>
      </c>
      <c r="U681">
        <v>1.22768711138414</v>
      </c>
      <c r="V681">
        <v>339.32</v>
      </c>
      <c r="W681">
        <v>1.22407243128057</v>
      </c>
      <c r="X681">
        <v>339.32</v>
      </c>
      <c r="Y681">
        <v>1.22874383322139</v>
      </c>
      <c r="Z681">
        <v>339.32</v>
      </c>
      <c r="AA681">
        <v>1.23077551068271</v>
      </c>
      <c r="AB681">
        <v>339.32</v>
      </c>
      <c r="AC681">
        <v>1.22939513319045</v>
      </c>
      <c r="AE681">
        <v>339.32</v>
      </c>
      <c r="AF681">
        <v>-1973.77975690637</v>
      </c>
      <c r="AG681">
        <v>-2126.42184069208</v>
      </c>
      <c r="AH681">
        <v>-1998.98066587512</v>
      </c>
      <c r="AI681">
        <v>-2082.13925170587</v>
      </c>
      <c r="AJ681">
        <v>-2089.19572939688</v>
      </c>
    </row>
    <row r="682" spans="20:36">
      <c r="T682">
        <v>339.819</v>
      </c>
      <c r="U682">
        <v>1.22553242696668</v>
      </c>
      <c r="V682">
        <v>339.819</v>
      </c>
      <c r="W682">
        <v>1.23340899196463</v>
      </c>
      <c r="X682">
        <v>339.819</v>
      </c>
      <c r="Y682">
        <v>1.23049955097081</v>
      </c>
      <c r="Z682">
        <v>339.819</v>
      </c>
      <c r="AA682">
        <v>1.23326941142649</v>
      </c>
      <c r="AB682">
        <v>339.819</v>
      </c>
      <c r="AC682">
        <v>1.23453834682763</v>
      </c>
      <c r="AE682">
        <v>339.819</v>
      </c>
      <c r="AF682">
        <v>-1988.58372516079</v>
      </c>
      <c r="AG682">
        <v>-2069.2283915886</v>
      </c>
      <c r="AH682">
        <v>-2007.1491631428</v>
      </c>
      <c r="AI682">
        <v>-2003.38524960914</v>
      </c>
      <c r="AJ682">
        <v>-2160.22551141295</v>
      </c>
    </row>
    <row r="683" spans="20:36">
      <c r="T683">
        <v>340.318</v>
      </c>
      <c r="U683">
        <v>1.22895199199878</v>
      </c>
      <c r="V683">
        <v>340.318</v>
      </c>
      <c r="W683">
        <v>1.23372939081136</v>
      </c>
      <c r="X683">
        <v>340.318</v>
      </c>
      <c r="Y683">
        <v>1.23324257220675</v>
      </c>
      <c r="Z683">
        <v>340.318</v>
      </c>
      <c r="AA683">
        <v>1.22663748625572</v>
      </c>
      <c r="AB683">
        <v>340.318</v>
      </c>
      <c r="AC683">
        <v>1.23323034213233</v>
      </c>
      <c r="AE683">
        <v>340.318</v>
      </c>
      <c r="AF683">
        <v>-2092.99819886626</v>
      </c>
      <c r="AG683">
        <v>-2082.02002672515</v>
      </c>
      <c r="AH683">
        <v>-2110.08336566001</v>
      </c>
      <c r="AI683">
        <v>-1980.73187609442</v>
      </c>
      <c r="AJ683">
        <v>-2039.24355577685</v>
      </c>
    </row>
    <row r="684" spans="20:36">
      <c r="T684">
        <v>340.817</v>
      </c>
      <c r="U684">
        <v>1.22735583102575</v>
      </c>
      <c r="V684">
        <v>340.817</v>
      </c>
      <c r="W684">
        <v>1.23244146339274</v>
      </c>
      <c r="X684">
        <v>340.817</v>
      </c>
      <c r="Y684">
        <v>1.22975222518889</v>
      </c>
      <c r="Z684">
        <v>340.817</v>
      </c>
      <c r="AA684">
        <v>1.23728481300827</v>
      </c>
      <c r="AB684">
        <v>340.817</v>
      </c>
      <c r="AC684">
        <v>1.23885984038161</v>
      </c>
      <c r="AE684">
        <v>340.817</v>
      </c>
      <c r="AF684">
        <v>-2056.80325610337</v>
      </c>
      <c r="AG684">
        <v>-2079.23895681879</v>
      </c>
      <c r="AH684">
        <v>-1980.33798064597</v>
      </c>
      <c r="AI684">
        <v>-2066.80087867974</v>
      </c>
      <c r="AJ684">
        <v>-1986.62999430856</v>
      </c>
    </row>
    <row r="685" spans="20:36">
      <c r="T685">
        <v>341.316</v>
      </c>
      <c r="U685">
        <v>1.23201934827824</v>
      </c>
      <c r="V685">
        <v>341.316</v>
      </c>
      <c r="W685">
        <v>1.23265671286657</v>
      </c>
      <c r="X685">
        <v>341.316</v>
      </c>
      <c r="Y685">
        <v>1.22201147364391</v>
      </c>
      <c r="Z685">
        <v>341.316</v>
      </c>
      <c r="AA685">
        <v>1.22818095342864</v>
      </c>
      <c r="AB685">
        <v>341.316</v>
      </c>
      <c r="AC685">
        <v>1.23535767896405</v>
      </c>
      <c r="AE685">
        <v>341.316</v>
      </c>
      <c r="AF685">
        <v>-1988.16315932878</v>
      </c>
      <c r="AG685">
        <v>-2120.1272792653</v>
      </c>
      <c r="AH685">
        <v>-1891.04320939784</v>
      </c>
      <c r="AI685">
        <v>-2095.77067536609</v>
      </c>
      <c r="AJ685">
        <v>-1976.5244881024</v>
      </c>
    </row>
    <row r="686" spans="20:36">
      <c r="T686">
        <v>341.815</v>
      </c>
      <c r="U686">
        <v>1.22977858066591</v>
      </c>
      <c r="V686">
        <v>341.815</v>
      </c>
      <c r="W686">
        <v>1.23408540499947</v>
      </c>
      <c r="X686">
        <v>341.815</v>
      </c>
      <c r="Y686">
        <v>1.23168845670798</v>
      </c>
      <c r="Z686">
        <v>341.815</v>
      </c>
      <c r="AA686">
        <v>1.22635264858545</v>
      </c>
      <c r="AB686">
        <v>341.815</v>
      </c>
      <c r="AC686">
        <v>1.22911933089563</v>
      </c>
      <c r="AE686">
        <v>341.815</v>
      </c>
      <c r="AF686">
        <v>-1962.20698356065</v>
      </c>
      <c r="AG686">
        <v>-2197.8823040015</v>
      </c>
      <c r="AH686">
        <v>-1945.30983020794</v>
      </c>
      <c r="AI686">
        <v>-1986.17516680725</v>
      </c>
      <c r="AJ686">
        <v>-1974.44784168903</v>
      </c>
    </row>
    <row r="687" spans="20:36">
      <c r="T687">
        <v>342.314</v>
      </c>
      <c r="U687">
        <v>1.22793238153956</v>
      </c>
      <c r="V687">
        <v>342.314</v>
      </c>
      <c r="W687">
        <v>1.23613670655484</v>
      </c>
      <c r="X687">
        <v>342.314</v>
      </c>
      <c r="Y687">
        <v>1.22471999741046</v>
      </c>
      <c r="Z687">
        <v>342.314</v>
      </c>
      <c r="AA687">
        <v>1.22899387210918</v>
      </c>
      <c r="AB687">
        <v>342.314</v>
      </c>
      <c r="AC687">
        <v>1.23226486043283</v>
      </c>
      <c r="AE687">
        <v>342.314</v>
      </c>
      <c r="AF687">
        <v>-2050.7025746659</v>
      </c>
      <c r="AG687">
        <v>-2039.66688877737</v>
      </c>
      <c r="AH687">
        <v>-2054.95810769676</v>
      </c>
      <c r="AI687">
        <v>-1947.4960388873</v>
      </c>
      <c r="AJ687">
        <v>-2048.03022526836</v>
      </c>
    </row>
    <row r="688" spans="20:36">
      <c r="T688">
        <v>342.813</v>
      </c>
      <c r="U688">
        <v>1.21977855606019</v>
      </c>
      <c r="V688">
        <v>342.813</v>
      </c>
      <c r="W688">
        <v>1.22839852676139</v>
      </c>
      <c r="X688">
        <v>342.813</v>
      </c>
      <c r="Y688">
        <v>1.22973470457982</v>
      </c>
      <c r="Z688">
        <v>342.813</v>
      </c>
      <c r="AA688">
        <v>1.22982819225612</v>
      </c>
      <c r="AB688">
        <v>342.813</v>
      </c>
      <c r="AC688">
        <v>1.2240418164759</v>
      </c>
      <c r="AE688">
        <v>342.813</v>
      </c>
      <c r="AF688">
        <v>-2044.28444161003</v>
      </c>
      <c r="AG688">
        <v>-2009.34731994542</v>
      </c>
      <c r="AH688">
        <v>-2008.29741853922</v>
      </c>
      <c r="AI688">
        <v>-1991.67576626477</v>
      </c>
      <c r="AJ688">
        <v>-2038.81518358429</v>
      </c>
    </row>
    <row r="689" spans="20:36">
      <c r="T689">
        <v>343.312</v>
      </c>
      <c r="U689">
        <v>1.22835606875735</v>
      </c>
      <c r="V689">
        <v>343.312</v>
      </c>
      <c r="W689">
        <v>1.22319086264889</v>
      </c>
      <c r="X689">
        <v>343.312</v>
      </c>
      <c r="Y689">
        <v>1.23275515034109</v>
      </c>
      <c r="Z689">
        <v>343.312</v>
      </c>
      <c r="AA689">
        <v>1.22879681069528</v>
      </c>
      <c r="AB689">
        <v>343.312</v>
      </c>
      <c r="AC689">
        <v>1.23768846202115</v>
      </c>
      <c r="AE689">
        <v>343.312</v>
      </c>
      <c r="AF689">
        <v>-1996.99215500592</v>
      </c>
      <c r="AG689">
        <v>-2117.50308936194</v>
      </c>
      <c r="AH689">
        <v>-1978.81378318531</v>
      </c>
      <c r="AI689">
        <v>-2064.10031647531</v>
      </c>
      <c r="AJ689">
        <v>-2036.24230360886</v>
      </c>
    </row>
    <row r="690" spans="20:36">
      <c r="T690">
        <v>343.811</v>
      </c>
      <c r="U690">
        <v>1.22502410964469</v>
      </c>
      <c r="V690">
        <v>343.811</v>
      </c>
      <c r="W690">
        <v>1.22146870892917</v>
      </c>
      <c r="X690">
        <v>343.811</v>
      </c>
      <c r="Y690">
        <v>1.23010622725243</v>
      </c>
      <c r="Z690">
        <v>343.811</v>
      </c>
      <c r="AA690">
        <v>1.23049341470117</v>
      </c>
      <c r="AB690">
        <v>343.811</v>
      </c>
      <c r="AC690">
        <v>1.23778617659873</v>
      </c>
      <c r="AE690">
        <v>343.811</v>
      </c>
      <c r="AF690">
        <v>-1947.47858457498</v>
      </c>
      <c r="AG690">
        <v>-2180.04412960804</v>
      </c>
      <c r="AH690">
        <v>-2012.53364447133</v>
      </c>
      <c r="AI690">
        <v>-2057.15455187191</v>
      </c>
      <c r="AJ690">
        <v>-2064.15663278796</v>
      </c>
    </row>
    <row r="691" spans="20:36">
      <c r="T691">
        <v>344.31</v>
      </c>
      <c r="U691">
        <v>1.23166765386814</v>
      </c>
      <c r="V691">
        <v>344.31</v>
      </c>
      <c r="W691">
        <v>1.2186465752406</v>
      </c>
      <c r="X691">
        <v>344.31</v>
      </c>
      <c r="Y691">
        <v>1.22347813447544</v>
      </c>
      <c r="Z691">
        <v>344.31</v>
      </c>
      <c r="AA691">
        <v>1.22782399846017</v>
      </c>
      <c r="AB691">
        <v>344.31</v>
      </c>
      <c r="AC691">
        <v>1.22849179649392</v>
      </c>
      <c r="AE691">
        <v>344.31</v>
      </c>
      <c r="AF691">
        <v>-1958.90558171802</v>
      </c>
      <c r="AG691">
        <v>-2070.26133733577</v>
      </c>
      <c r="AH691">
        <v>-1974.22906857183</v>
      </c>
      <c r="AI691">
        <v>-2073.40368649848</v>
      </c>
      <c r="AJ691">
        <v>-2038.72847138483</v>
      </c>
    </row>
    <row r="692" spans="20:36">
      <c r="T692">
        <v>344.809</v>
      </c>
      <c r="U692">
        <v>1.22905849238624</v>
      </c>
      <c r="V692">
        <v>344.809</v>
      </c>
      <c r="W692">
        <v>1.22087689424455</v>
      </c>
      <c r="X692">
        <v>344.809</v>
      </c>
      <c r="Y692">
        <v>1.22836573610036</v>
      </c>
      <c r="Z692">
        <v>344.809</v>
      </c>
      <c r="AA692">
        <v>1.23106467612757</v>
      </c>
      <c r="AB692">
        <v>344.809</v>
      </c>
      <c r="AC692">
        <v>1.23318521083217</v>
      </c>
      <c r="AE692">
        <v>344.809</v>
      </c>
      <c r="AF692">
        <v>-2023.35053217808</v>
      </c>
      <c r="AG692">
        <v>-2064.99542738244</v>
      </c>
      <c r="AH692">
        <v>-1988.38142800262</v>
      </c>
      <c r="AI692">
        <v>-2057.68960257188</v>
      </c>
      <c r="AJ692">
        <v>-1986.78432399965</v>
      </c>
    </row>
    <row r="693" spans="20:36">
      <c r="T693">
        <v>345.308</v>
      </c>
      <c r="U693">
        <v>1.22592978401804</v>
      </c>
      <c r="V693">
        <v>345.308</v>
      </c>
      <c r="W693">
        <v>1.2246834268131</v>
      </c>
      <c r="X693">
        <v>345.308</v>
      </c>
      <c r="Y693">
        <v>1.22722273968545</v>
      </c>
      <c r="Z693">
        <v>345.308</v>
      </c>
      <c r="AA693">
        <v>1.23401937349754</v>
      </c>
      <c r="AB693">
        <v>345.308</v>
      </c>
      <c r="AC693">
        <v>1.23423702326532</v>
      </c>
      <c r="AE693">
        <v>345.308</v>
      </c>
      <c r="AF693">
        <v>-2088.23353358258</v>
      </c>
      <c r="AG693">
        <v>-2021.39776674351</v>
      </c>
      <c r="AH693">
        <v>-2007.7648058829</v>
      </c>
      <c r="AI693">
        <v>-2047.75980780789</v>
      </c>
      <c r="AJ693">
        <v>-2036.51526010592</v>
      </c>
    </row>
    <row r="694" spans="20:36">
      <c r="T694">
        <v>345.807</v>
      </c>
      <c r="U694">
        <v>1.2296433373856</v>
      </c>
      <c r="V694">
        <v>345.807</v>
      </c>
      <c r="W694">
        <v>1.22581941457379</v>
      </c>
      <c r="X694">
        <v>345.807</v>
      </c>
      <c r="Y694">
        <v>1.22917016104207</v>
      </c>
      <c r="Z694">
        <v>345.807</v>
      </c>
      <c r="AA694">
        <v>1.22381909524804</v>
      </c>
      <c r="AB694">
        <v>345.807</v>
      </c>
      <c r="AC694">
        <v>1.23364492269536</v>
      </c>
      <c r="AE694">
        <v>345.807</v>
      </c>
      <c r="AF694">
        <v>-2040.71354054951</v>
      </c>
      <c r="AG694">
        <v>-2095.46750321412</v>
      </c>
      <c r="AH694">
        <v>-2035.92515568419</v>
      </c>
      <c r="AI694">
        <v>-2018.49689389695</v>
      </c>
      <c r="AJ694">
        <v>-2046.42960464616</v>
      </c>
    </row>
    <row r="695" spans="20:36">
      <c r="T695">
        <v>346.306</v>
      </c>
      <c r="U695">
        <v>1.22847998905573</v>
      </c>
      <c r="V695">
        <v>346.306</v>
      </c>
      <c r="W695">
        <v>1.22193863189237</v>
      </c>
      <c r="X695">
        <v>346.306</v>
      </c>
      <c r="Y695">
        <v>1.22930181691205</v>
      </c>
      <c r="Z695">
        <v>346.306</v>
      </c>
      <c r="AA695">
        <v>1.22858176564076</v>
      </c>
      <c r="AB695">
        <v>346.306</v>
      </c>
      <c r="AC695">
        <v>1.23416735213315</v>
      </c>
      <c r="AE695">
        <v>346.306</v>
      </c>
      <c r="AF695">
        <v>-1925.04834041944</v>
      </c>
      <c r="AG695">
        <v>-2055.40067762848</v>
      </c>
      <c r="AH695">
        <v>-2040.22244198605</v>
      </c>
      <c r="AI695">
        <v>-2021.83547515293</v>
      </c>
      <c r="AJ695">
        <v>-1937.16819187963</v>
      </c>
    </row>
    <row r="696" spans="20:36">
      <c r="T696">
        <v>346.805</v>
      </c>
      <c r="U696">
        <v>1.22927043352755</v>
      </c>
      <c r="V696">
        <v>346.805</v>
      </c>
      <c r="W696">
        <v>1.22374451291613</v>
      </c>
      <c r="X696">
        <v>346.805</v>
      </c>
      <c r="Y696">
        <v>1.22621080001784</v>
      </c>
      <c r="Z696">
        <v>346.805</v>
      </c>
      <c r="AA696">
        <v>1.22804738946402</v>
      </c>
      <c r="AB696">
        <v>346.805</v>
      </c>
      <c r="AC696">
        <v>1.23844792204337</v>
      </c>
      <c r="AE696">
        <v>346.805</v>
      </c>
      <c r="AF696">
        <v>-2024.39429746107</v>
      </c>
      <c r="AG696">
        <v>-2049.09244995767</v>
      </c>
      <c r="AH696">
        <v>-1980.61918998392</v>
      </c>
      <c r="AI696">
        <v>-2031.96860380285</v>
      </c>
      <c r="AJ696">
        <v>-2029.358292088</v>
      </c>
    </row>
    <row r="697" spans="20:36">
      <c r="T697">
        <v>347.304</v>
      </c>
      <c r="U697">
        <v>1.23643174765121</v>
      </c>
      <c r="V697">
        <v>347.304</v>
      </c>
      <c r="W697">
        <v>1.22330848524275</v>
      </c>
      <c r="X697">
        <v>347.304</v>
      </c>
      <c r="Y697">
        <v>1.22654516537115</v>
      </c>
      <c r="Z697">
        <v>347.304</v>
      </c>
      <c r="AA697">
        <v>1.22822535997978</v>
      </c>
      <c r="AB697">
        <v>347.304</v>
      </c>
      <c r="AC697">
        <v>1.23670531409053</v>
      </c>
      <c r="AE697">
        <v>347.304</v>
      </c>
      <c r="AF697">
        <v>-2123.12346918872</v>
      </c>
      <c r="AG697">
        <v>-2099.06131313194</v>
      </c>
      <c r="AH697">
        <v>-1969.85185222728</v>
      </c>
      <c r="AI697">
        <v>-2091.63546373477</v>
      </c>
      <c r="AJ697">
        <v>-2086.57412448945</v>
      </c>
    </row>
    <row r="698" spans="20:36">
      <c r="T698">
        <v>347.803</v>
      </c>
      <c r="U698">
        <v>1.23486719553713</v>
      </c>
      <c r="V698">
        <v>347.803</v>
      </c>
      <c r="W698">
        <v>1.22265527659826</v>
      </c>
      <c r="X698">
        <v>347.803</v>
      </c>
      <c r="Y698">
        <v>1.22552663828043</v>
      </c>
      <c r="Z698">
        <v>347.803</v>
      </c>
      <c r="AA698">
        <v>1.22715546771111</v>
      </c>
      <c r="AB698">
        <v>347.803</v>
      </c>
      <c r="AC698">
        <v>1.23439080635192</v>
      </c>
      <c r="AE698">
        <v>347.803</v>
      </c>
      <c r="AF698">
        <v>-2028.20549867817</v>
      </c>
      <c r="AG698">
        <v>-2072.25918160669</v>
      </c>
      <c r="AH698">
        <v>-1968.08171773851</v>
      </c>
      <c r="AI698">
        <v>-2021.6618861776</v>
      </c>
      <c r="AJ698">
        <v>-2048.50581134882</v>
      </c>
    </row>
    <row r="699" spans="20:36">
      <c r="T699">
        <v>348.302</v>
      </c>
      <c r="U699">
        <v>1.23693505807319</v>
      </c>
      <c r="V699">
        <v>348.302</v>
      </c>
      <c r="W699">
        <v>1.21813395324394</v>
      </c>
      <c r="X699">
        <v>348.302</v>
      </c>
      <c r="Y699">
        <v>1.22660407787162</v>
      </c>
      <c r="Z699">
        <v>348.302</v>
      </c>
      <c r="AA699">
        <v>1.22770068719849</v>
      </c>
      <c r="AB699">
        <v>348.302</v>
      </c>
      <c r="AC699">
        <v>1.22272214357269</v>
      </c>
      <c r="AE699">
        <v>348.302</v>
      </c>
      <c r="AF699">
        <v>-2014.18076116417</v>
      </c>
      <c r="AG699">
        <v>-2001.50734047919</v>
      </c>
      <c r="AH699">
        <v>-1997.45699658313</v>
      </c>
      <c r="AI699">
        <v>-1987.90461884643</v>
      </c>
      <c r="AJ699">
        <v>-1964.30851335346</v>
      </c>
    </row>
    <row r="700" spans="20:36">
      <c r="T700">
        <v>348.801</v>
      </c>
      <c r="U700">
        <v>1.22424317785262</v>
      </c>
      <c r="V700">
        <v>348.801</v>
      </c>
      <c r="W700">
        <v>1.22034070636433</v>
      </c>
      <c r="X700">
        <v>348.801</v>
      </c>
      <c r="Y700">
        <v>1.22794743058838</v>
      </c>
      <c r="Z700">
        <v>348.801</v>
      </c>
      <c r="AA700">
        <v>1.23161037974098</v>
      </c>
      <c r="AB700">
        <v>348.801</v>
      </c>
      <c r="AC700">
        <v>1.23533897027364</v>
      </c>
      <c r="AE700">
        <v>348.801</v>
      </c>
      <c r="AF700">
        <v>-1979.56627965805</v>
      </c>
      <c r="AG700">
        <v>-2040.7186913752</v>
      </c>
      <c r="AH700">
        <v>-1991.19914560773</v>
      </c>
      <c r="AI700">
        <v>-2035.25400281841</v>
      </c>
      <c r="AJ700">
        <v>-1922.20298252021</v>
      </c>
    </row>
    <row r="701" spans="20:36">
      <c r="T701">
        <v>349.3</v>
      </c>
      <c r="U701">
        <v>1.23352291037783</v>
      </c>
      <c r="V701">
        <v>349.3</v>
      </c>
      <c r="W701">
        <v>1.21838464914878</v>
      </c>
      <c r="X701">
        <v>349.3</v>
      </c>
      <c r="Y701">
        <v>1.22563807868422</v>
      </c>
      <c r="Z701">
        <v>349.3</v>
      </c>
      <c r="AA701">
        <v>1.2315784614977</v>
      </c>
      <c r="AB701">
        <v>349.3</v>
      </c>
      <c r="AC701">
        <v>1.23382605756574</v>
      </c>
      <c r="AE701">
        <v>349.3</v>
      </c>
      <c r="AF701">
        <v>-1987.18430494607</v>
      </c>
      <c r="AG701">
        <v>-1996.77061809893</v>
      </c>
      <c r="AH701">
        <v>-1924.63258319626</v>
      </c>
      <c r="AI701">
        <v>-2073.11408210817</v>
      </c>
      <c r="AJ701">
        <v>-2053.50919550311</v>
      </c>
    </row>
    <row r="702" spans="20:36">
      <c r="T702">
        <v>349.799</v>
      </c>
      <c r="U702">
        <v>1.2274573509138</v>
      </c>
      <c r="V702">
        <v>349.799</v>
      </c>
      <c r="W702">
        <v>1.22910327670505</v>
      </c>
      <c r="X702">
        <v>349.799</v>
      </c>
      <c r="Y702">
        <v>1.22634015552133</v>
      </c>
      <c r="Z702">
        <v>349.799</v>
      </c>
      <c r="AA702">
        <v>1.22789710504542</v>
      </c>
      <c r="AB702">
        <v>349.799</v>
      </c>
      <c r="AC702">
        <v>1.23274871194896</v>
      </c>
      <c r="AE702">
        <v>349.799</v>
      </c>
      <c r="AF702">
        <v>-2028.48671000434</v>
      </c>
      <c r="AG702">
        <v>-2076.96930756382</v>
      </c>
      <c r="AH702">
        <v>-2012.86129087938</v>
      </c>
      <c r="AI702">
        <v>-2017.2848085709</v>
      </c>
      <c r="AJ702">
        <v>-2096.79059383363</v>
      </c>
    </row>
    <row r="703" spans="20:36">
      <c r="T703">
        <v>350.298</v>
      </c>
      <c r="U703">
        <v>1.22975182747801</v>
      </c>
      <c r="V703">
        <v>350.298</v>
      </c>
      <c r="W703">
        <v>1.21901573251296</v>
      </c>
      <c r="X703">
        <v>350.298</v>
      </c>
      <c r="Y703">
        <v>1.22509329962408</v>
      </c>
      <c r="Z703">
        <v>350.298</v>
      </c>
      <c r="AA703">
        <v>1.23094819520059</v>
      </c>
      <c r="AB703">
        <v>350.298</v>
      </c>
      <c r="AC703">
        <v>1.23299980852241</v>
      </c>
      <c r="AE703">
        <v>350.298</v>
      </c>
      <c r="AF703">
        <v>-2190.86038385093</v>
      </c>
      <c r="AG703">
        <v>-2164.81598782505</v>
      </c>
      <c r="AH703">
        <v>-2008.34355580374</v>
      </c>
      <c r="AI703">
        <v>-2068.9288921311</v>
      </c>
      <c r="AJ703">
        <v>-2029.1724061288</v>
      </c>
    </row>
    <row r="704" spans="20:36">
      <c r="T704">
        <v>350.797</v>
      </c>
      <c r="U704">
        <v>1.23752366964678</v>
      </c>
      <c r="V704">
        <v>350.797</v>
      </c>
      <c r="W704">
        <v>1.21648248055789</v>
      </c>
      <c r="X704">
        <v>350.797</v>
      </c>
      <c r="Y704">
        <v>1.22370354909599</v>
      </c>
      <c r="Z704">
        <v>350.797</v>
      </c>
      <c r="AA704">
        <v>1.2255642832061</v>
      </c>
      <c r="AB704">
        <v>350.797</v>
      </c>
      <c r="AC704">
        <v>1.23325748746483</v>
      </c>
      <c r="AE704">
        <v>350.797</v>
      </c>
      <c r="AF704">
        <v>-2071.42854435649</v>
      </c>
      <c r="AG704">
        <v>-2112.43702296909</v>
      </c>
      <c r="AH704">
        <v>-1980.76023010193</v>
      </c>
      <c r="AI704">
        <v>-2036.80006696365</v>
      </c>
      <c r="AJ704">
        <v>-1953.06502011655</v>
      </c>
    </row>
    <row r="705" spans="20:36">
      <c r="T705">
        <v>351.296</v>
      </c>
      <c r="U705">
        <v>1.23446846749627</v>
      </c>
      <c r="V705">
        <v>351.296</v>
      </c>
      <c r="W705">
        <v>1.22382588383587</v>
      </c>
      <c r="X705">
        <v>351.296</v>
      </c>
      <c r="Y705">
        <v>1.22978433212403</v>
      </c>
      <c r="Z705">
        <v>351.296</v>
      </c>
      <c r="AA705">
        <v>1.23332579423641</v>
      </c>
      <c r="AB705">
        <v>351.296</v>
      </c>
      <c r="AC705">
        <v>1.23756212709655</v>
      </c>
      <c r="AE705">
        <v>351.296</v>
      </c>
      <c r="AF705">
        <v>-1877.57780135984</v>
      </c>
      <c r="AG705">
        <v>-1983.896203458</v>
      </c>
      <c r="AH705">
        <v>-2034.92742449756</v>
      </c>
      <c r="AI705">
        <v>-1988.36854195069</v>
      </c>
      <c r="AJ705">
        <v>-2006.52489787615</v>
      </c>
    </row>
    <row r="706" spans="20:36">
      <c r="T706">
        <v>351.795</v>
      </c>
      <c r="U706">
        <v>1.23763526445957</v>
      </c>
      <c r="V706">
        <v>351.795</v>
      </c>
      <c r="W706">
        <v>1.22174957190232</v>
      </c>
      <c r="X706">
        <v>351.795</v>
      </c>
      <c r="Y706">
        <v>1.22328945251888</v>
      </c>
      <c r="Z706">
        <v>351.795</v>
      </c>
      <c r="AA706">
        <v>1.23226448493146</v>
      </c>
      <c r="AB706">
        <v>351.795</v>
      </c>
      <c r="AC706">
        <v>1.2341488733222</v>
      </c>
      <c r="AE706">
        <v>351.795</v>
      </c>
      <c r="AF706">
        <v>-1990.84464797297</v>
      </c>
      <c r="AG706">
        <v>-1977.21958135558</v>
      </c>
      <c r="AH706">
        <v>-1975.26622091166</v>
      </c>
      <c r="AI706">
        <v>-2107.73434105308</v>
      </c>
      <c r="AJ706">
        <v>-2006.80885459672</v>
      </c>
    </row>
    <row r="707" spans="20:36">
      <c r="T707">
        <v>352.294</v>
      </c>
      <c r="U707">
        <v>1.23783921962871</v>
      </c>
      <c r="V707">
        <v>352.294</v>
      </c>
      <c r="W707">
        <v>1.22674196230787</v>
      </c>
      <c r="X707">
        <v>352.294</v>
      </c>
      <c r="Y707">
        <v>1.22331693784557</v>
      </c>
      <c r="Z707">
        <v>352.294</v>
      </c>
      <c r="AA707">
        <v>1.22724862398586</v>
      </c>
      <c r="AB707">
        <v>352.294</v>
      </c>
      <c r="AC707">
        <v>1.23590925106287</v>
      </c>
      <c r="AE707">
        <v>352.294</v>
      </c>
      <c r="AF707">
        <v>-2167.71207425424</v>
      </c>
      <c r="AG707">
        <v>-2251.68462229694</v>
      </c>
      <c r="AH707">
        <v>-1989.80366171988</v>
      </c>
      <c r="AI707">
        <v>-2135.56648998796</v>
      </c>
      <c r="AJ707">
        <v>-2047.08637239345</v>
      </c>
    </row>
    <row r="708" spans="20:36">
      <c r="T708">
        <v>352.793</v>
      </c>
      <c r="U708">
        <v>1.23239666312132</v>
      </c>
      <c r="V708">
        <v>352.793</v>
      </c>
      <c r="W708">
        <v>1.22526542608129</v>
      </c>
      <c r="X708">
        <v>352.793</v>
      </c>
      <c r="Y708">
        <v>1.23025754906156</v>
      </c>
      <c r="Z708">
        <v>352.793</v>
      </c>
      <c r="AA708">
        <v>1.22145008217364</v>
      </c>
      <c r="AB708">
        <v>352.793</v>
      </c>
      <c r="AC708">
        <v>1.23496691371481</v>
      </c>
      <c r="AE708">
        <v>352.793</v>
      </c>
      <c r="AF708">
        <v>-2166.79612969459</v>
      </c>
      <c r="AG708">
        <v>-2233.22277287825</v>
      </c>
      <c r="AH708">
        <v>-1988.48917794074</v>
      </c>
      <c r="AI708">
        <v>-2000.94824367953</v>
      </c>
      <c r="AJ708">
        <v>-2001.33240365887</v>
      </c>
    </row>
    <row r="709" spans="20:36">
      <c r="T709">
        <v>353.292</v>
      </c>
      <c r="U709">
        <v>1.23348644190337</v>
      </c>
      <c r="V709">
        <v>353.292</v>
      </c>
      <c r="W709">
        <v>1.22095587770366</v>
      </c>
      <c r="X709">
        <v>353.292</v>
      </c>
      <c r="Y709">
        <v>1.23386795455948</v>
      </c>
      <c r="Z709">
        <v>353.292</v>
      </c>
      <c r="AA709">
        <v>1.22379209943406</v>
      </c>
      <c r="AB709">
        <v>353.292</v>
      </c>
      <c r="AC709">
        <v>1.23458874593896</v>
      </c>
      <c r="AE709">
        <v>353.292</v>
      </c>
      <c r="AF709">
        <v>-1942.37893015191</v>
      </c>
      <c r="AG709">
        <v>-1945.2595692784</v>
      </c>
      <c r="AH709">
        <v>-2051.95402445099</v>
      </c>
      <c r="AI709">
        <v>-1888.13896061756</v>
      </c>
      <c r="AJ709">
        <v>-1997.71827037003</v>
      </c>
    </row>
    <row r="710" spans="20:36">
      <c r="T710">
        <v>353.791</v>
      </c>
      <c r="U710">
        <v>1.23492656095316</v>
      </c>
      <c r="V710">
        <v>353.791</v>
      </c>
      <c r="W710">
        <v>1.21957305903298</v>
      </c>
      <c r="X710">
        <v>353.791</v>
      </c>
      <c r="Y710">
        <v>1.2318783630113</v>
      </c>
      <c r="Z710">
        <v>353.791</v>
      </c>
      <c r="AA710">
        <v>1.22464917472139</v>
      </c>
      <c r="AB710">
        <v>353.791</v>
      </c>
      <c r="AC710">
        <v>1.23443080754971</v>
      </c>
      <c r="AE710">
        <v>353.791</v>
      </c>
      <c r="AF710">
        <v>-1853.29938315724</v>
      </c>
      <c r="AG710">
        <v>-1910.50504359672</v>
      </c>
      <c r="AH710">
        <v>-1974.99112176111</v>
      </c>
      <c r="AI710">
        <v>-1967.48077905884</v>
      </c>
      <c r="AJ710">
        <v>-2047.39579870864</v>
      </c>
    </row>
    <row r="711" spans="20:36">
      <c r="T711">
        <v>354.29</v>
      </c>
      <c r="U711">
        <v>1.23808081608147</v>
      </c>
      <c r="V711">
        <v>354.29</v>
      </c>
      <c r="W711">
        <v>1.22151175589812</v>
      </c>
      <c r="X711">
        <v>354.29</v>
      </c>
      <c r="Y711">
        <v>1.22972186608238</v>
      </c>
      <c r="Z711">
        <v>354.29</v>
      </c>
      <c r="AA711">
        <v>1.22565226742163</v>
      </c>
      <c r="AB711">
        <v>354.29</v>
      </c>
      <c r="AC711">
        <v>1.23661016805704</v>
      </c>
      <c r="AE711">
        <v>354.29</v>
      </c>
      <c r="AF711">
        <v>-1992.07540157597</v>
      </c>
      <c r="AG711">
        <v>-2090.26294805028</v>
      </c>
      <c r="AH711">
        <v>-1946.04544902743</v>
      </c>
      <c r="AI711">
        <v>-2091.86192137924</v>
      </c>
      <c r="AJ711">
        <v>-2083.78904047353</v>
      </c>
    </row>
    <row r="712" spans="20:36">
      <c r="T712">
        <v>354.789</v>
      </c>
      <c r="U712">
        <v>1.23539008156316</v>
      </c>
      <c r="V712">
        <v>354.789</v>
      </c>
      <c r="W712">
        <v>1.21814403264358</v>
      </c>
      <c r="X712">
        <v>354.789</v>
      </c>
      <c r="Y712">
        <v>1.23434765528894</v>
      </c>
      <c r="Z712">
        <v>354.789</v>
      </c>
      <c r="AA712">
        <v>1.22778856185402</v>
      </c>
      <c r="AB712">
        <v>354.789</v>
      </c>
      <c r="AC712">
        <v>1.23752478051113</v>
      </c>
      <c r="AE712">
        <v>354.789</v>
      </c>
      <c r="AF712">
        <v>-2145.25200028382</v>
      </c>
      <c r="AG712">
        <v>-2129.45203168102</v>
      </c>
      <c r="AH712">
        <v>-2015.70151389858</v>
      </c>
      <c r="AI712">
        <v>-2072.00111336468</v>
      </c>
      <c r="AJ712">
        <v>-2019.71739047539</v>
      </c>
    </row>
    <row r="713" spans="20:36">
      <c r="T713">
        <v>355.288</v>
      </c>
      <c r="U713">
        <v>1.23404178856737</v>
      </c>
      <c r="V713">
        <v>355.288</v>
      </c>
      <c r="W713">
        <v>1.22192528803075</v>
      </c>
      <c r="X713">
        <v>355.288</v>
      </c>
      <c r="Y713">
        <v>1.23253858789595</v>
      </c>
      <c r="Z713">
        <v>355.288</v>
      </c>
      <c r="AA713">
        <v>1.22867092607601</v>
      </c>
      <c r="AB713">
        <v>355.288</v>
      </c>
      <c r="AC713">
        <v>1.23844089723593</v>
      </c>
      <c r="AE713">
        <v>355.288</v>
      </c>
      <c r="AF713">
        <v>-2193.51347646218</v>
      </c>
      <c r="AG713">
        <v>-2074.04436162644</v>
      </c>
      <c r="AH713">
        <v>-2048.67906977316</v>
      </c>
      <c r="AI713">
        <v>-2037.77559254334</v>
      </c>
      <c r="AJ713">
        <v>-2006.39663018009</v>
      </c>
    </row>
    <row r="714" spans="20:36">
      <c r="T714">
        <v>355.787</v>
      </c>
      <c r="U714">
        <v>1.23118495066512</v>
      </c>
      <c r="V714">
        <v>355.787</v>
      </c>
      <c r="W714">
        <v>1.227378857624</v>
      </c>
      <c r="X714">
        <v>355.787</v>
      </c>
      <c r="Y714">
        <v>1.22982373855388</v>
      </c>
      <c r="Z714">
        <v>355.787</v>
      </c>
      <c r="AA714">
        <v>1.2241915837766</v>
      </c>
      <c r="AB714">
        <v>355.787</v>
      </c>
      <c r="AC714">
        <v>1.23267146346043</v>
      </c>
      <c r="AE714">
        <v>355.787</v>
      </c>
      <c r="AF714">
        <v>-2011.25213065966</v>
      </c>
      <c r="AG714">
        <v>-2029.77811539522</v>
      </c>
      <c r="AH714">
        <v>-1989.71916179724</v>
      </c>
      <c r="AI714">
        <v>-2043.74332865351</v>
      </c>
      <c r="AJ714">
        <v>-2003.05717240628</v>
      </c>
    </row>
    <row r="715" spans="20:36">
      <c r="T715">
        <v>356.286</v>
      </c>
      <c r="U715">
        <v>1.2281438164006</v>
      </c>
      <c r="V715">
        <v>356.286</v>
      </c>
      <c r="W715">
        <v>1.21982571582372</v>
      </c>
      <c r="X715">
        <v>356.286</v>
      </c>
      <c r="Y715">
        <v>1.23070363155894</v>
      </c>
      <c r="Z715">
        <v>356.286</v>
      </c>
      <c r="AA715">
        <v>1.23146128263067</v>
      </c>
      <c r="AB715">
        <v>356.286</v>
      </c>
      <c r="AC715">
        <v>1.23223605074577</v>
      </c>
      <c r="AE715">
        <v>356.286</v>
      </c>
      <c r="AF715">
        <v>-1887.79209761052</v>
      </c>
      <c r="AG715">
        <v>-2059.29585833205</v>
      </c>
      <c r="AH715">
        <v>-1978.78601215788</v>
      </c>
      <c r="AI715">
        <v>-2040.93324936425</v>
      </c>
      <c r="AJ715">
        <v>-2003.83476006596</v>
      </c>
    </row>
    <row r="716" spans="20:36">
      <c r="T716">
        <v>356.785</v>
      </c>
      <c r="U716">
        <v>1.23382827287668</v>
      </c>
      <c r="V716">
        <v>356.785</v>
      </c>
      <c r="W716">
        <v>1.22255828131439</v>
      </c>
      <c r="X716">
        <v>356.785</v>
      </c>
      <c r="Y716">
        <v>1.23482988259796</v>
      </c>
      <c r="Z716">
        <v>356.785</v>
      </c>
      <c r="AA716">
        <v>1.23182473152072</v>
      </c>
      <c r="AB716">
        <v>356.785</v>
      </c>
      <c r="AC716">
        <v>1.23268388262813</v>
      </c>
      <c r="AE716">
        <v>356.785</v>
      </c>
      <c r="AF716">
        <v>-2112.37256947042</v>
      </c>
      <c r="AG716">
        <v>-2036.16689620314</v>
      </c>
      <c r="AH716">
        <v>-2078.45339759475</v>
      </c>
      <c r="AI716">
        <v>-2025.61662866619</v>
      </c>
      <c r="AJ716">
        <v>-2062.72800452455</v>
      </c>
    </row>
    <row r="717" spans="20:36">
      <c r="T717">
        <v>357.284</v>
      </c>
      <c r="U717">
        <v>1.23177061576557</v>
      </c>
      <c r="V717">
        <v>357.284</v>
      </c>
      <c r="W717">
        <v>1.225072134167</v>
      </c>
      <c r="X717">
        <v>357.284</v>
      </c>
      <c r="Y717">
        <v>1.22404655573017</v>
      </c>
      <c r="Z717">
        <v>357.284</v>
      </c>
      <c r="AA717">
        <v>1.22722836998538</v>
      </c>
      <c r="AB717">
        <v>357.284</v>
      </c>
      <c r="AC717">
        <v>1.23762126505526</v>
      </c>
      <c r="AE717">
        <v>357.284</v>
      </c>
      <c r="AF717">
        <v>-2208.19299451444</v>
      </c>
      <c r="AG717">
        <v>-2021.33429896339</v>
      </c>
      <c r="AH717">
        <v>-2035.64341056149</v>
      </c>
      <c r="AI717">
        <v>-2002.41634699828</v>
      </c>
      <c r="AJ717">
        <v>-2079.47483297429</v>
      </c>
    </row>
    <row r="718" spans="20:36">
      <c r="T718">
        <v>357.783</v>
      </c>
      <c r="U718">
        <v>1.22686797561371</v>
      </c>
      <c r="V718">
        <v>357.783</v>
      </c>
      <c r="W718">
        <v>1.21833487413605</v>
      </c>
      <c r="X718">
        <v>357.783</v>
      </c>
      <c r="Y718">
        <v>1.22375651866349</v>
      </c>
      <c r="Z718">
        <v>357.783</v>
      </c>
      <c r="AA718">
        <v>1.22980747717013</v>
      </c>
      <c r="AB718">
        <v>357.783</v>
      </c>
      <c r="AC718">
        <v>1.23476585690077</v>
      </c>
      <c r="AE718">
        <v>357.783</v>
      </c>
      <c r="AF718">
        <v>-2099.09766373682</v>
      </c>
      <c r="AG718">
        <v>-2091.88709517199</v>
      </c>
      <c r="AH718">
        <v>-1969.42453083935</v>
      </c>
      <c r="AI718">
        <v>-2121.75064508584</v>
      </c>
      <c r="AJ718">
        <v>-2047.52577172668</v>
      </c>
    </row>
    <row r="719" spans="20:36">
      <c r="T719">
        <v>358.282</v>
      </c>
      <c r="U719">
        <v>1.22922084680915</v>
      </c>
      <c r="V719">
        <v>358.282</v>
      </c>
      <c r="W719">
        <v>1.21726534963077</v>
      </c>
      <c r="X719">
        <v>358.282</v>
      </c>
      <c r="Y719">
        <v>1.22770999794047</v>
      </c>
      <c r="Z719">
        <v>358.282</v>
      </c>
      <c r="AA719">
        <v>1.22747284309798</v>
      </c>
      <c r="AB719">
        <v>358.282</v>
      </c>
      <c r="AC719">
        <v>1.2281809618943</v>
      </c>
      <c r="AE719">
        <v>358.282</v>
      </c>
      <c r="AF719">
        <v>-1850.72967973237</v>
      </c>
      <c r="AG719">
        <v>-1993.57449709585</v>
      </c>
      <c r="AH719">
        <v>-1985.96757234636</v>
      </c>
      <c r="AI719">
        <v>-2055.5776323892</v>
      </c>
      <c r="AJ719">
        <v>-1986.48598278453</v>
      </c>
    </row>
    <row r="720" spans="20:36">
      <c r="T720">
        <v>358.781</v>
      </c>
      <c r="U720">
        <v>1.22943258269167</v>
      </c>
      <c r="V720">
        <v>358.781</v>
      </c>
      <c r="W720">
        <v>1.22518215788555</v>
      </c>
      <c r="X720">
        <v>358.781</v>
      </c>
      <c r="Y720">
        <v>1.22952263086262</v>
      </c>
      <c r="Z720">
        <v>358.781</v>
      </c>
      <c r="AA720">
        <v>1.23248689047846</v>
      </c>
      <c r="AB720">
        <v>358.781</v>
      </c>
      <c r="AC720">
        <v>1.23063017910198</v>
      </c>
      <c r="AE720">
        <v>358.781</v>
      </c>
      <c r="AF720">
        <v>-1868.62639100073</v>
      </c>
      <c r="AG720">
        <v>-2081.88465550691</v>
      </c>
      <c r="AH720">
        <v>-2044.59417302603</v>
      </c>
      <c r="AI720">
        <v>-1968.96522798326</v>
      </c>
      <c r="AJ720">
        <v>-2007.6717177264</v>
      </c>
    </row>
    <row r="721" spans="20:36">
      <c r="T721">
        <v>359.28</v>
      </c>
      <c r="U721">
        <v>1.23444760205993</v>
      </c>
      <c r="V721">
        <v>359.28</v>
      </c>
      <c r="W721">
        <v>1.22433945545306</v>
      </c>
      <c r="X721">
        <v>359.28</v>
      </c>
      <c r="Y721">
        <v>1.23334173817351</v>
      </c>
      <c r="Z721">
        <v>359.28</v>
      </c>
      <c r="AA721">
        <v>1.22877553956331</v>
      </c>
      <c r="AB721">
        <v>359.28</v>
      </c>
      <c r="AC721">
        <v>1.23510384593345</v>
      </c>
      <c r="AE721">
        <v>359.28</v>
      </c>
      <c r="AF721">
        <v>-2093.668040416</v>
      </c>
      <c r="AG721">
        <v>-2070.98706676386</v>
      </c>
      <c r="AH721">
        <v>-2092.9865073743</v>
      </c>
      <c r="AI721">
        <v>-2045.5929547524</v>
      </c>
      <c r="AJ721">
        <v>-2007.13256936695</v>
      </c>
    </row>
    <row r="722" spans="20:36">
      <c r="T722">
        <v>359.779</v>
      </c>
      <c r="U722">
        <v>1.229667845555</v>
      </c>
      <c r="V722">
        <v>359.779</v>
      </c>
      <c r="W722">
        <v>1.22646113997999</v>
      </c>
      <c r="X722">
        <v>359.779</v>
      </c>
      <c r="Y722">
        <v>1.2257103606065</v>
      </c>
      <c r="Z722">
        <v>359.779</v>
      </c>
      <c r="AA722">
        <v>1.23484218739416</v>
      </c>
      <c r="AB722">
        <v>359.779</v>
      </c>
      <c r="AC722">
        <v>1.23416210824432</v>
      </c>
      <c r="AE722">
        <v>359.779</v>
      </c>
      <c r="AF722">
        <v>-2147.37630231445</v>
      </c>
      <c r="AG722">
        <v>-1980.22670689727</v>
      </c>
      <c r="AH722">
        <v>-1967.62013478763</v>
      </c>
      <c r="AI722">
        <v>-2172.87100256839</v>
      </c>
      <c r="AJ722">
        <v>-1943.52852792943</v>
      </c>
    </row>
    <row r="723" spans="20:36">
      <c r="T723">
        <v>360.278</v>
      </c>
      <c r="U723">
        <v>1.23680241459138</v>
      </c>
      <c r="V723">
        <v>360.278</v>
      </c>
      <c r="W723">
        <v>1.22351566974602</v>
      </c>
      <c r="X723">
        <v>360.278</v>
      </c>
      <c r="Y723">
        <v>1.23044999216698</v>
      </c>
      <c r="Z723">
        <v>360.278</v>
      </c>
      <c r="AA723">
        <v>1.22348582715727</v>
      </c>
      <c r="AB723">
        <v>360.278</v>
      </c>
      <c r="AC723">
        <v>1.23984221393832</v>
      </c>
      <c r="AE723">
        <v>360.278</v>
      </c>
      <c r="AF723">
        <v>-2002.59881757847</v>
      </c>
      <c r="AG723">
        <v>-2017.14661240483</v>
      </c>
      <c r="AH723">
        <v>-1922.63520035855</v>
      </c>
      <c r="AI723">
        <v>-2049.42381949162</v>
      </c>
      <c r="AJ723">
        <v>-2012.79871171786</v>
      </c>
    </row>
    <row r="724" spans="20:36">
      <c r="T724">
        <v>360.777</v>
      </c>
      <c r="U724">
        <v>1.22829978880981</v>
      </c>
      <c r="V724">
        <v>360.777</v>
      </c>
      <c r="W724">
        <v>1.22582017990744</v>
      </c>
      <c r="X724">
        <v>360.777</v>
      </c>
      <c r="Y724">
        <v>1.22927408106456</v>
      </c>
      <c r="Z724">
        <v>360.777</v>
      </c>
      <c r="AA724">
        <v>1.22891679740901</v>
      </c>
      <c r="AB724">
        <v>360.777</v>
      </c>
      <c r="AC724">
        <v>1.23598400142852</v>
      </c>
      <c r="AE724">
        <v>360.777</v>
      </c>
      <c r="AF724">
        <v>-1835.2343734888</v>
      </c>
      <c r="AG724">
        <v>-2063.58253699439</v>
      </c>
      <c r="AH724">
        <v>-1993.3140710076</v>
      </c>
      <c r="AI724">
        <v>-1964.36533526791</v>
      </c>
      <c r="AJ724">
        <v>-2154.4793550606</v>
      </c>
    </row>
    <row r="725" spans="20:36">
      <c r="T725">
        <v>361.276</v>
      </c>
      <c r="U725">
        <v>1.22997399452461</v>
      </c>
      <c r="V725">
        <v>361.276</v>
      </c>
      <c r="W725">
        <v>1.22299637449571</v>
      </c>
      <c r="X725">
        <v>361.276</v>
      </c>
      <c r="Y725">
        <v>1.23234406124905</v>
      </c>
      <c r="Z725">
        <v>361.276</v>
      </c>
      <c r="AA725">
        <v>1.22411413245432</v>
      </c>
      <c r="AB725">
        <v>361.276</v>
      </c>
      <c r="AC725">
        <v>1.23258602392547</v>
      </c>
      <c r="AE725">
        <v>361.276</v>
      </c>
      <c r="AF725">
        <v>-1963.11133435252</v>
      </c>
      <c r="AG725">
        <v>-2031.79212044394</v>
      </c>
      <c r="AH725">
        <v>-2081.94841954294</v>
      </c>
      <c r="AI725">
        <v>-2020.92781644748</v>
      </c>
      <c r="AJ725">
        <v>-2096.38768593197</v>
      </c>
    </row>
    <row r="726" spans="20:36">
      <c r="T726">
        <v>361.775</v>
      </c>
      <c r="U726">
        <v>1.23127556698913</v>
      </c>
      <c r="V726">
        <v>361.775</v>
      </c>
      <c r="W726">
        <v>1.22515550392384</v>
      </c>
      <c r="X726">
        <v>361.775</v>
      </c>
      <c r="Y726">
        <v>1.23828531418807</v>
      </c>
      <c r="Z726">
        <v>361.775</v>
      </c>
      <c r="AA726">
        <v>1.22905341260827</v>
      </c>
      <c r="AB726">
        <v>361.775</v>
      </c>
      <c r="AC726">
        <v>1.23588505768336</v>
      </c>
      <c r="AE726">
        <v>361.775</v>
      </c>
      <c r="AF726">
        <v>-2019.91456993132</v>
      </c>
      <c r="AG726">
        <v>-2064.59767375581</v>
      </c>
      <c r="AH726">
        <v>-2033.3884410366</v>
      </c>
      <c r="AI726">
        <v>-2001.37078869694</v>
      </c>
      <c r="AJ726">
        <v>-1994.09943316831</v>
      </c>
    </row>
    <row r="727" spans="20:36">
      <c r="T727">
        <v>362.274</v>
      </c>
      <c r="U727">
        <v>1.22932982906553</v>
      </c>
      <c r="V727">
        <v>362.274</v>
      </c>
      <c r="W727">
        <v>1.23218506758559</v>
      </c>
      <c r="X727">
        <v>362.274</v>
      </c>
      <c r="Y727">
        <v>1.2313089267552</v>
      </c>
      <c r="Z727">
        <v>362.274</v>
      </c>
      <c r="AA727">
        <v>1.22811623424413</v>
      </c>
      <c r="AB727">
        <v>362.274</v>
      </c>
      <c r="AC727">
        <v>1.22940675305358</v>
      </c>
      <c r="AE727">
        <v>362.274</v>
      </c>
      <c r="AF727">
        <v>-2028.33038811289</v>
      </c>
      <c r="AG727">
        <v>-2110.59098133015</v>
      </c>
      <c r="AH727">
        <v>-1965.55282212306</v>
      </c>
      <c r="AI727">
        <v>-1977.04011166759</v>
      </c>
      <c r="AJ727">
        <v>-1963.89382509508</v>
      </c>
    </row>
    <row r="728" spans="20:36">
      <c r="T728">
        <v>362.773</v>
      </c>
      <c r="U728">
        <v>1.23267699214146</v>
      </c>
      <c r="V728">
        <v>362.773</v>
      </c>
      <c r="W728">
        <v>1.22786223212251</v>
      </c>
      <c r="X728">
        <v>362.773</v>
      </c>
      <c r="Y728">
        <v>1.22920823808322</v>
      </c>
      <c r="Z728">
        <v>362.773</v>
      </c>
      <c r="AA728">
        <v>1.23165306823377</v>
      </c>
      <c r="AB728">
        <v>362.773</v>
      </c>
      <c r="AC728">
        <v>1.23750012744646</v>
      </c>
      <c r="AE728">
        <v>362.773</v>
      </c>
      <c r="AF728">
        <v>-2012.22693387767</v>
      </c>
      <c r="AG728">
        <v>-2071.27236226512</v>
      </c>
      <c r="AH728">
        <v>-2000.49518492946</v>
      </c>
      <c r="AI728">
        <v>-2070.92773037552</v>
      </c>
      <c r="AJ728">
        <v>-2057.15580167994</v>
      </c>
    </row>
    <row r="729" spans="20:36">
      <c r="T729">
        <v>363.272</v>
      </c>
      <c r="U729">
        <v>1.23330477428197</v>
      </c>
      <c r="V729">
        <v>363.272</v>
      </c>
      <c r="W729">
        <v>1.22074461520047</v>
      </c>
      <c r="X729">
        <v>363.272</v>
      </c>
      <c r="Y729">
        <v>1.23093489459135</v>
      </c>
      <c r="Z729">
        <v>363.272</v>
      </c>
      <c r="AA729">
        <v>1.22536407695638</v>
      </c>
      <c r="AB729">
        <v>363.272</v>
      </c>
      <c r="AC729">
        <v>1.24384623298323</v>
      </c>
      <c r="AE729">
        <v>363.272</v>
      </c>
      <c r="AF729">
        <v>-1949.16030265459</v>
      </c>
      <c r="AG729">
        <v>-2083.49785408936</v>
      </c>
      <c r="AH729">
        <v>-2008.68314288398</v>
      </c>
      <c r="AI729">
        <v>-2092.29027996597</v>
      </c>
      <c r="AJ729">
        <v>-2089.67909015346</v>
      </c>
    </row>
    <row r="730" spans="20:36">
      <c r="T730">
        <v>363.771</v>
      </c>
      <c r="U730">
        <v>1.23157772588167</v>
      </c>
      <c r="V730">
        <v>363.771</v>
      </c>
      <c r="W730">
        <v>1.2216681315035</v>
      </c>
      <c r="X730">
        <v>363.771</v>
      </c>
      <c r="Y730">
        <v>1.22535363349138</v>
      </c>
      <c r="Z730">
        <v>363.771</v>
      </c>
      <c r="AA730">
        <v>1.22906961588497</v>
      </c>
      <c r="AB730">
        <v>363.771</v>
      </c>
      <c r="AC730">
        <v>1.23321013956399</v>
      </c>
      <c r="AE730">
        <v>363.771</v>
      </c>
      <c r="AF730">
        <v>-1887.80395293634</v>
      </c>
      <c r="AG730">
        <v>-2082.04473206743</v>
      </c>
      <c r="AH730">
        <v>-2015.17568092113</v>
      </c>
      <c r="AI730">
        <v>-1997.27576348174</v>
      </c>
      <c r="AJ730">
        <v>-2009.89766575735</v>
      </c>
    </row>
    <row r="731" spans="20:36">
      <c r="T731">
        <v>364.27</v>
      </c>
      <c r="U731">
        <v>1.23124602330075</v>
      </c>
      <c r="V731">
        <v>364.27</v>
      </c>
      <c r="W731">
        <v>1.23071505894622</v>
      </c>
      <c r="X731">
        <v>364.27</v>
      </c>
      <c r="Y731">
        <v>1.23287416134041</v>
      </c>
      <c r="Z731">
        <v>364.27</v>
      </c>
      <c r="AA731">
        <v>1.22380473430033</v>
      </c>
      <c r="AB731">
        <v>364.27</v>
      </c>
      <c r="AC731">
        <v>1.23941344941576</v>
      </c>
      <c r="AE731">
        <v>364.27</v>
      </c>
      <c r="AF731">
        <v>-2039.68436113197</v>
      </c>
      <c r="AG731">
        <v>-2095.64945318255</v>
      </c>
      <c r="AH731">
        <v>-2059.31168735202</v>
      </c>
      <c r="AI731">
        <v>-1925.4197041409</v>
      </c>
      <c r="AJ731">
        <v>-1974.59775115257</v>
      </c>
    </row>
    <row r="732" spans="20:36">
      <c r="T732">
        <v>364.769</v>
      </c>
      <c r="U732">
        <v>1.22885974289475</v>
      </c>
      <c r="V732">
        <v>364.769</v>
      </c>
      <c r="W732">
        <v>1.22307434449559</v>
      </c>
      <c r="X732">
        <v>364.769</v>
      </c>
      <c r="Y732">
        <v>1.22679692632132</v>
      </c>
      <c r="Z732">
        <v>364.769</v>
      </c>
      <c r="AA732">
        <v>1.22865775278523</v>
      </c>
      <c r="AB732">
        <v>364.769</v>
      </c>
      <c r="AC732">
        <v>1.23233638302737</v>
      </c>
      <c r="AE732">
        <v>364.769</v>
      </c>
      <c r="AF732">
        <v>-2168.4763979604</v>
      </c>
      <c r="AG732">
        <v>-2128.81256546847</v>
      </c>
      <c r="AH732">
        <v>-1961.25563072032</v>
      </c>
      <c r="AI732">
        <v>-2035.51621775869</v>
      </c>
      <c r="AJ732">
        <v>-2060.95871222306</v>
      </c>
    </row>
    <row r="733" spans="20:36">
      <c r="T733">
        <v>365.268</v>
      </c>
      <c r="U733">
        <v>1.22805774590851</v>
      </c>
      <c r="V733">
        <v>365.268</v>
      </c>
      <c r="W733">
        <v>1.22583779369312</v>
      </c>
      <c r="X733">
        <v>365.268</v>
      </c>
      <c r="Y733">
        <v>1.23071720963854</v>
      </c>
      <c r="Z733">
        <v>365.268</v>
      </c>
      <c r="AA733">
        <v>1.22767322018339</v>
      </c>
      <c r="AB733">
        <v>365.268</v>
      </c>
      <c r="AC733">
        <v>1.23785548023977</v>
      </c>
      <c r="AE733">
        <v>365.268</v>
      </c>
      <c r="AF733">
        <v>-2108.59655956691</v>
      </c>
      <c r="AG733">
        <v>-2119.51279196013</v>
      </c>
      <c r="AH733">
        <v>-1992.76771580012</v>
      </c>
      <c r="AI733">
        <v>-2149.69243082936</v>
      </c>
      <c r="AJ733">
        <v>-2052.36251429487</v>
      </c>
    </row>
    <row r="734" spans="20:36">
      <c r="T734">
        <v>365.767</v>
      </c>
      <c r="U734">
        <v>1.23103837948571</v>
      </c>
      <c r="V734">
        <v>365.767</v>
      </c>
      <c r="W734">
        <v>1.2214468073182</v>
      </c>
      <c r="X734">
        <v>365.767</v>
      </c>
      <c r="Y734">
        <v>1.23206272631394</v>
      </c>
      <c r="Z734">
        <v>365.767</v>
      </c>
      <c r="AA734">
        <v>1.22812196049972</v>
      </c>
      <c r="AB734">
        <v>365.767</v>
      </c>
      <c r="AC734">
        <v>1.23279347487378</v>
      </c>
      <c r="AE734">
        <v>365.767</v>
      </c>
      <c r="AF734">
        <v>-1866.20276456217</v>
      </c>
      <c r="AG734">
        <v>-2020.43502847769</v>
      </c>
      <c r="AH734">
        <v>-1966.03052788798</v>
      </c>
      <c r="AI734">
        <v>-2111.03811107441</v>
      </c>
      <c r="AJ734">
        <v>-1994.64811741275</v>
      </c>
    </row>
    <row r="735" spans="20:36">
      <c r="T735">
        <v>366.266</v>
      </c>
      <c r="U735">
        <v>1.22760416202514</v>
      </c>
      <c r="V735">
        <v>366.266</v>
      </c>
      <c r="W735">
        <v>1.22504069405921</v>
      </c>
      <c r="X735">
        <v>366.266</v>
      </c>
      <c r="Y735">
        <v>1.22380310175007</v>
      </c>
      <c r="Z735">
        <v>366.266</v>
      </c>
      <c r="AA735">
        <v>1.22957223409039</v>
      </c>
      <c r="AB735">
        <v>366.266</v>
      </c>
      <c r="AC735">
        <v>1.23390880240762</v>
      </c>
      <c r="AE735">
        <v>366.266</v>
      </c>
      <c r="AF735">
        <v>-1979.72072300772</v>
      </c>
      <c r="AG735">
        <v>-2033.87918354172</v>
      </c>
      <c r="AH735">
        <v>-1997.01570006413</v>
      </c>
      <c r="AI735">
        <v>-1921.2002959677</v>
      </c>
      <c r="AJ735">
        <v>-2073.33275263037</v>
      </c>
    </row>
    <row r="736" spans="20:36">
      <c r="T736">
        <v>366.765</v>
      </c>
      <c r="U736">
        <v>1.22693683610445</v>
      </c>
      <c r="V736">
        <v>366.765</v>
      </c>
      <c r="W736">
        <v>1.23072708781359</v>
      </c>
      <c r="X736">
        <v>366.765</v>
      </c>
      <c r="Y736">
        <v>1.22642494286461</v>
      </c>
      <c r="Z736">
        <v>366.765</v>
      </c>
      <c r="AA736">
        <v>1.22900458285926</v>
      </c>
      <c r="AB736">
        <v>366.765</v>
      </c>
      <c r="AC736">
        <v>1.24137594268569</v>
      </c>
      <c r="AE736">
        <v>366.765</v>
      </c>
      <c r="AF736">
        <v>-2132.65177119767</v>
      </c>
      <c r="AG736">
        <v>-2130.80462478004</v>
      </c>
      <c r="AH736">
        <v>-2079.64042535628</v>
      </c>
      <c r="AI736">
        <v>-1906.05656076552</v>
      </c>
      <c r="AJ736">
        <v>-2070.69884276928</v>
      </c>
    </row>
    <row r="737" spans="20:36">
      <c r="T737">
        <v>367.264</v>
      </c>
      <c r="U737">
        <v>1.23003342433677</v>
      </c>
      <c r="V737">
        <v>367.264</v>
      </c>
      <c r="W737">
        <v>1.22138219192651</v>
      </c>
      <c r="X737">
        <v>367.264</v>
      </c>
      <c r="Y737">
        <v>1.22372294099396</v>
      </c>
      <c r="Z737">
        <v>367.264</v>
      </c>
      <c r="AA737">
        <v>1.22994641301244</v>
      </c>
      <c r="AB737">
        <v>367.264</v>
      </c>
      <c r="AC737">
        <v>1.23556946443643</v>
      </c>
      <c r="AE737">
        <v>367.264</v>
      </c>
      <c r="AF737">
        <v>-2114.26906500071</v>
      </c>
      <c r="AG737">
        <v>-2084.33407234987</v>
      </c>
      <c r="AH737">
        <v>-2045.90961730698</v>
      </c>
      <c r="AI737">
        <v>-2121.25262614971</v>
      </c>
      <c r="AJ737">
        <v>-1951.97258657208</v>
      </c>
    </row>
    <row r="738" spans="20:36">
      <c r="T738">
        <v>367.763</v>
      </c>
      <c r="U738">
        <v>1.21902186683702</v>
      </c>
      <c r="V738">
        <v>367.763</v>
      </c>
      <c r="W738">
        <v>1.22203423496461</v>
      </c>
      <c r="X738">
        <v>367.763</v>
      </c>
      <c r="Y738">
        <v>1.22012266315294</v>
      </c>
      <c r="Z738">
        <v>367.763</v>
      </c>
      <c r="AA738">
        <v>1.23392096028995</v>
      </c>
      <c r="AB738">
        <v>367.763</v>
      </c>
      <c r="AC738">
        <v>1.23071679052415</v>
      </c>
      <c r="AE738">
        <v>367.763</v>
      </c>
      <c r="AF738">
        <v>-1952.69242000429</v>
      </c>
      <c r="AG738">
        <v>-1962.49795039192</v>
      </c>
      <c r="AH738">
        <v>-1965.53677989696</v>
      </c>
      <c r="AI738">
        <v>-2180.94186910041</v>
      </c>
      <c r="AJ738">
        <v>-1922.78092744231</v>
      </c>
    </row>
    <row r="739" spans="20:36">
      <c r="T739">
        <v>368.262</v>
      </c>
      <c r="U739">
        <v>1.23080236803961</v>
      </c>
      <c r="V739">
        <v>368.262</v>
      </c>
      <c r="W739">
        <v>1.22186848170571</v>
      </c>
      <c r="X739">
        <v>368.262</v>
      </c>
      <c r="Y739">
        <v>1.22652014264742</v>
      </c>
      <c r="Z739">
        <v>368.262</v>
      </c>
      <c r="AA739">
        <v>1.23003634164515</v>
      </c>
      <c r="AB739">
        <v>368.262</v>
      </c>
      <c r="AC739">
        <v>1.23381686341464</v>
      </c>
      <c r="AE739">
        <v>368.262</v>
      </c>
      <c r="AF739">
        <v>-1888.39048214129</v>
      </c>
      <c r="AG739">
        <v>-2030.87195872607</v>
      </c>
      <c r="AH739">
        <v>-1932.68122188794</v>
      </c>
      <c r="AI739">
        <v>-2010.75439576485</v>
      </c>
      <c r="AJ739">
        <v>-2069.23604050429</v>
      </c>
    </row>
    <row r="740" spans="20:36">
      <c r="T740">
        <v>368.761</v>
      </c>
      <c r="U740">
        <v>1.23002694726956</v>
      </c>
      <c r="V740">
        <v>368.761</v>
      </c>
      <c r="W740">
        <v>1.22565069756106</v>
      </c>
      <c r="X740">
        <v>368.761</v>
      </c>
      <c r="Y740">
        <v>1.22376895138735</v>
      </c>
      <c r="Z740">
        <v>368.761</v>
      </c>
      <c r="AA740">
        <v>1.23443951004657</v>
      </c>
      <c r="AB740">
        <v>368.761</v>
      </c>
      <c r="AC740">
        <v>1.23241422895476</v>
      </c>
      <c r="AE740">
        <v>368.761</v>
      </c>
      <c r="AF740">
        <v>-2037.14294292633</v>
      </c>
      <c r="AG740">
        <v>-2121.06854083201</v>
      </c>
      <c r="AH740">
        <v>-2102.86259104594</v>
      </c>
      <c r="AI740">
        <v>-1970.93788270101</v>
      </c>
      <c r="AJ740">
        <v>-2159.61829614291</v>
      </c>
    </row>
    <row r="741" spans="20:36">
      <c r="T741">
        <v>369.26</v>
      </c>
      <c r="U741">
        <v>1.23344364789399</v>
      </c>
      <c r="V741">
        <v>369.26</v>
      </c>
      <c r="W741">
        <v>1.23095078964107</v>
      </c>
      <c r="X741">
        <v>369.26</v>
      </c>
      <c r="Y741">
        <v>1.22173300074546</v>
      </c>
      <c r="Z741">
        <v>369.26</v>
      </c>
      <c r="AA741">
        <v>1.23067488603136</v>
      </c>
      <c r="AB741">
        <v>369.26</v>
      </c>
      <c r="AC741">
        <v>1.22416378567775</v>
      </c>
      <c r="AE741">
        <v>369.26</v>
      </c>
      <c r="AF741">
        <v>-2175.86848812714</v>
      </c>
      <c r="AG741">
        <v>-2125.44244534246</v>
      </c>
      <c r="AH741">
        <v>-2102.50282629719</v>
      </c>
      <c r="AI741">
        <v>-1990.87246677652</v>
      </c>
      <c r="AJ741">
        <v>-1991.51397175379</v>
      </c>
    </row>
    <row r="742" spans="20:36">
      <c r="T742">
        <v>369.759</v>
      </c>
      <c r="U742">
        <v>1.22765043528515</v>
      </c>
      <c r="V742">
        <v>369.759</v>
      </c>
      <c r="W742">
        <v>1.23255826623838</v>
      </c>
      <c r="X742">
        <v>369.759</v>
      </c>
      <c r="Y742">
        <v>1.22461968347677</v>
      </c>
      <c r="Z742">
        <v>369.759</v>
      </c>
      <c r="AA742">
        <v>1.22536151098292</v>
      </c>
      <c r="AB742">
        <v>369.759</v>
      </c>
      <c r="AC742">
        <v>1.23336353095848</v>
      </c>
      <c r="AE742">
        <v>369.759</v>
      </c>
      <c r="AF742">
        <v>-2101.94255286581</v>
      </c>
      <c r="AG742">
        <v>-2105.15787419856</v>
      </c>
      <c r="AH742">
        <v>-1991.3144058346</v>
      </c>
      <c r="AI742">
        <v>-2054.40280674039</v>
      </c>
      <c r="AJ742">
        <v>-1914.11612256908</v>
      </c>
    </row>
    <row r="743" spans="20:36">
      <c r="T743">
        <v>370.258</v>
      </c>
      <c r="U743">
        <v>1.22534142625822</v>
      </c>
      <c r="V743">
        <v>370.258</v>
      </c>
      <c r="W743">
        <v>1.22763508597188</v>
      </c>
      <c r="X743">
        <v>370.258</v>
      </c>
      <c r="Y743">
        <v>1.22518853027154</v>
      </c>
      <c r="Z743">
        <v>370.258</v>
      </c>
      <c r="AA743">
        <v>1.22766924572408</v>
      </c>
      <c r="AB743">
        <v>370.258</v>
      </c>
      <c r="AC743">
        <v>1.22989782849871</v>
      </c>
      <c r="AE743">
        <v>370.258</v>
      </c>
      <c r="AF743">
        <v>-1957.04944221024</v>
      </c>
      <c r="AG743">
        <v>-2055.08006184787</v>
      </c>
      <c r="AH743">
        <v>-1964.93238639697</v>
      </c>
      <c r="AI743">
        <v>-2103.71249732416</v>
      </c>
      <c r="AJ743">
        <v>-1982.5647111236</v>
      </c>
    </row>
    <row r="744" spans="20:36">
      <c r="T744">
        <v>370.757</v>
      </c>
      <c r="U744">
        <v>1.22918728046396</v>
      </c>
      <c r="V744">
        <v>370.757</v>
      </c>
      <c r="W744">
        <v>1.22054684464391</v>
      </c>
      <c r="X744">
        <v>370.757</v>
      </c>
      <c r="Y744">
        <v>1.22948636993344</v>
      </c>
      <c r="Z744">
        <v>370.757</v>
      </c>
      <c r="AA744">
        <v>1.23489150717163</v>
      </c>
      <c r="AB744">
        <v>370.757</v>
      </c>
      <c r="AC744">
        <v>1.23051018711257</v>
      </c>
      <c r="AE744">
        <v>370.757</v>
      </c>
      <c r="AF744">
        <v>-1921.66559174884</v>
      </c>
      <c r="AG744">
        <v>-1952.8285366752</v>
      </c>
      <c r="AH744">
        <v>-1976.13408739089</v>
      </c>
      <c r="AI744">
        <v>-2020.91380851981</v>
      </c>
      <c r="AJ744">
        <v>-2080.54858305527</v>
      </c>
    </row>
    <row r="745" spans="20:36">
      <c r="T745">
        <v>371.256</v>
      </c>
      <c r="U745">
        <v>1.23202146563515</v>
      </c>
      <c r="V745">
        <v>371.256</v>
      </c>
      <c r="W745">
        <v>1.22740821722335</v>
      </c>
      <c r="X745">
        <v>371.256</v>
      </c>
      <c r="Y745">
        <v>1.22766232986589</v>
      </c>
      <c r="Z745">
        <v>371.256</v>
      </c>
      <c r="AA745">
        <v>1.22594226474913</v>
      </c>
      <c r="AB745">
        <v>371.256</v>
      </c>
      <c r="AC745">
        <v>1.21916822332242</v>
      </c>
      <c r="AE745">
        <v>371.256</v>
      </c>
      <c r="AF745">
        <v>-2024.26376319908</v>
      </c>
      <c r="AG745">
        <v>-2102.86556452816</v>
      </c>
      <c r="AH745">
        <v>-2021.09962449207</v>
      </c>
      <c r="AI745">
        <v>-2050.42079882184</v>
      </c>
      <c r="AJ745">
        <v>-1943.79464072564</v>
      </c>
    </row>
    <row r="746" spans="20:36">
      <c r="T746">
        <v>371.755</v>
      </c>
      <c r="U746">
        <v>1.22867851402479</v>
      </c>
      <c r="V746">
        <v>371.755</v>
      </c>
      <c r="W746">
        <v>1.22764838045838</v>
      </c>
      <c r="X746">
        <v>371.755</v>
      </c>
      <c r="Y746">
        <v>1.23125445650048</v>
      </c>
      <c r="Z746">
        <v>371.755</v>
      </c>
      <c r="AA746">
        <v>1.23209108436981</v>
      </c>
      <c r="AB746">
        <v>371.755</v>
      </c>
      <c r="AC746">
        <v>1.22601363187863</v>
      </c>
      <c r="AE746">
        <v>371.755</v>
      </c>
      <c r="AF746">
        <v>-2070.13178628701</v>
      </c>
      <c r="AG746">
        <v>-2162.77116774108</v>
      </c>
      <c r="AH746">
        <v>-2020.71483996951</v>
      </c>
      <c r="AI746">
        <v>-2044.39379085371</v>
      </c>
      <c r="AJ746">
        <v>-1920.46592766535</v>
      </c>
    </row>
    <row r="747" spans="20:36">
      <c r="T747">
        <v>372.254</v>
      </c>
      <c r="U747">
        <v>1.22810788831102</v>
      </c>
      <c r="V747">
        <v>372.254</v>
      </c>
      <c r="W747">
        <v>1.22842142943055</v>
      </c>
      <c r="X747">
        <v>372.254</v>
      </c>
      <c r="Y747">
        <v>1.23050340734522</v>
      </c>
      <c r="Z747">
        <v>372.254</v>
      </c>
      <c r="AA747">
        <v>1.23311607961414</v>
      </c>
      <c r="AB747">
        <v>372.254</v>
      </c>
      <c r="AC747">
        <v>1.23309280182448</v>
      </c>
      <c r="AE747">
        <v>372.254</v>
      </c>
      <c r="AF747">
        <v>-2032.65662194334</v>
      </c>
      <c r="AG747">
        <v>-2122.52508555858</v>
      </c>
      <c r="AH747">
        <v>-2008.2293777649</v>
      </c>
      <c r="AI747">
        <v>-1927.90451798058</v>
      </c>
      <c r="AJ747">
        <v>-1944.41545132453</v>
      </c>
    </row>
    <row r="748" spans="20:36">
      <c r="T748">
        <v>372.753</v>
      </c>
      <c r="U748">
        <v>1.23016501687544</v>
      </c>
      <c r="V748">
        <v>372.753</v>
      </c>
      <c r="W748">
        <v>1.2336728543315</v>
      </c>
      <c r="X748">
        <v>372.753</v>
      </c>
      <c r="Y748">
        <v>1.23210922385332</v>
      </c>
      <c r="Z748">
        <v>372.753</v>
      </c>
      <c r="AA748">
        <v>1.23193624992902</v>
      </c>
      <c r="AB748">
        <v>372.753</v>
      </c>
      <c r="AC748">
        <v>1.23316043453388</v>
      </c>
      <c r="AE748">
        <v>372.753</v>
      </c>
      <c r="AF748">
        <v>-1941.29691373123</v>
      </c>
      <c r="AG748">
        <v>-2046.16709385832</v>
      </c>
      <c r="AH748">
        <v>-1981.33864707857</v>
      </c>
      <c r="AI748">
        <v>-1957.74204068434</v>
      </c>
      <c r="AJ748">
        <v>-2002.9324445395</v>
      </c>
    </row>
    <row r="749" spans="20:36">
      <c r="T749">
        <v>373.252</v>
      </c>
      <c r="U749">
        <v>1.22399625016982</v>
      </c>
      <c r="V749">
        <v>373.252</v>
      </c>
      <c r="W749">
        <v>1.23580786894547</v>
      </c>
      <c r="X749">
        <v>373.252</v>
      </c>
      <c r="Y749">
        <v>1.23652617748306</v>
      </c>
      <c r="Z749">
        <v>373.252</v>
      </c>
      <c r="AA749">
        <v>1.23323374773016</v>
      </c>
      <c r="AB749">
        <v>373.252</v>
      </c>
      <c r="AC749">
        <v>1.2353532870622</v>
      </c>
      <c r="AE749">
        <v>373.252</v>
      </c>
      <c r="AF749">
        <v>-1951.18692064234</v>
      </c>
      <c r="AG749">
        <v>-2047.81607747018</v>
      </c>
      <c r="AH749">
        <v>-2008.25363092859</v>
      </c>
      <c r="AI749">
        <v>-2099.64583969935</v>
      </c>
      <c r="AJ749">
        <v>-2038.74663098799</v>
      </c>
    </row>
    <row r="750" spans="20:36">
      <c r="T750">
        <v>373.751</v>
      </c>
      <c r="U750">
        <v>1.22514599124079</v>
      </c>
      <c r="V750">
        <v>373.751</v>
      </c>
      <c r="W750">
        <v>1.23026897642554</v>
      </c>
      <c r="X750">
        <v>373.751</v>
      </c>
      <c r="Y750">
        <v>1.2323118045568</v>
      </c>
      <c r="Z750">
        <v>373.751</v>
      </c>
      <c r="AA750">
        <v>1.23476473032421</v>
      </c>
      <c r="AB750">
        <v>373.751</v>
      </c>
      <c r="AC750">
        <v>1.23114959106112</v>
      </c>
      <c r="AE750">
        <v>373.751</v>
      </c>
      <c r="AF750">
        <v>-1952.52497481876</v>
      </c>
      <c r="AG750">
        <v>-2156.11353162177</v>
      </c>
      <c r="AH750">
        <v>-1998.19903277708</v>
      </c>
      <c r="AI750">
        <v>-2183.31825564537</v>
      </c>
      <c r="AJ750">
        <v>-2027.59130447644</v>
      </c>
    </row>
    <row r="751" spans="20:36">
      <c r="T751">
        <v>374.25</v>
      </c>
      <c r="U751">
        <v>1.23474452006007</v>
      </c>
      <c r="V751">
        <v>374.25</v>
      </c>
      <c r="W751">
        <v>1.22913556171966</v>
      </c>
      <c r="X751">
        <v>374.25</v>
      </c>
      <c r="Y751">
        <v>1.22902081033271</v>
      </c>
      <c r="Z751">
        <v>374.25</v>
      </c>
      <c r="AA751">
        <v>1.23273492284056</v>
      </c>
      <c r="AB751">
        <v>374.25</v>
      </c>
      <c r="AC751">
        <v>1.23478612102639</v>
      </c>
      <c r="AE751">
        <v>374.25</v>
      </c>
      <c r="AF751">
        <v>-2025.55174040474</v>
      </c>
      <c r="AG751">
        <v>-2200.0472190671</v>
      </c>
      <c r="AH751">
        <v>-2007.06302227016</v>
      </c>
      <c r="AI751">
        <v>-2012.51272465198</v>
      </c>
      <c r="AJ751">
        <v>-2115.49935093479</v>
      </c>
    </row>
    <row r="752" spans="20:36">
      <c r="T752">
        <v>374.749</v>
      </c>
      <c r="U752">
        <v>1.22375770370961</v>
      </c>
      <c r="V752">
        <v>374.749</v>
      </c>
      <c r="W752">
        <v>1.23009185165583</v>
      </c>
      <c r="X752">
        <v>374.749</v>
      </c>
      <c r="Y752">
        <v>1.22258343752009</v>
      </c>
      <c r="Z752">
        <v>374.749</v>
      </c>
      <c r="AA752">
        <v>1.23353793235882</v>
      </c>
      <c r="AB752">
        <v>374.749</v>
      </c>
      <c r="AC752">
        <v>1.23093259180366</v>
      </c>
      <c r="AE752">
        <v>374.749</v>
      </c>
      <c r="AF752">
        <v>-2017.39912359912</v>
      </c>
      <c r="AG752">
        <v>-2063.56658628099</v>
      </c>
      <c r="AH752">
        <v>-1953.27334646319</v>
      </c>
      <c r="AI752">
        <v>-1948.2564330937</v>
      </c>
      <c r="AJ752">
        <v>-2006.03685481527</v>
      </c>
    </row>
    <row r="753" spans="20:36">
      <c r="T753">
        <v>375.248</v>
      </c>
      <c r="U753">
        <v>1.22160345323355</v>
      </c>
      <c r="V753">
        <v>375.248</v>
      </c>
      <c r="W753">
        <v>1.23124846583369</v>
      </c>
      <c r="X753">
        <v>375.248</v>
      </c>
      <c r="Y753">
        <v>1.22615901273243</v>
      </c>
      <c r="Z753">
        <v>375.248</v>
      </c>
      <c r="AA753">
        <v>1.23940230274647</v>
      </c>
      <c r="AB753">
        <v>375.248</v>
      </c>
      <c r="AC753">
        <v>1.23055943976844</v>
      </c>
      <c r="AE753">
        <v>375.248</v>
      </c>
      <c r="AF753">
        <v>-1980.56047219418</v>
      </c>
      <c r="AG753">
        <v>-1940.53470503883</v>
      </c>
      <c r="AH753">
        <v>-1989.68964954007</v>
      </c>
      <c r="AI753">
        <v>-2078.45371421437</v>
      </c>
      <c r="AJ753">
        <v>-1937.21992630938</v>
      </c>
    </row>
    <row r="754" spans="20:36">
      <c r="T754">
        <v>375.747</v>
      </c>
      <c r="U754">
        <v>1.22938774782041</v>
      </c>
      <c r="V754">
        <v>375.747</v>
      </c>
      <c r="W754">
        <v>1.22600191151711</v>
      </c>
      <c r="X754">
        <v>375.747</v>
      </c>
      <c r="Y754">
        <v>1.22995016698765</v>
      </c>
      <c r="Z754">
        <v>375.747</v>
      </c>
      <c r="AA754">
        <v>1.23580532302534</v>
      </c>
      <c r="AB754">
        <v>375.747</v>
      </c>
      <c r="AC754">
        <v>1.22971029202691</v>
      </c>
      <c r="AE754">
        <v>375.747</v>
      </c>
      <c r="AF754">
        <v>-2020.61355763465</v>
      </c>
      <c r="AG754">
        <v>-2005.20626064587</v>
      </c>
      <c r="AH754">
        <v>-1960.43908765879</v>
      </c>
      <c r="AI754">
        <v>-2202.64395594336</v>
      </c>
      <c r="AJ754">
        <v>-2011.31866876863</v>
      </c>
    </row>
    <row r="755" spans="20:36">
      <c r="T755">
        <v>376.246</v>
      </c>
      <c r="U755">
        <v>1.22726193049379</v>
      </c>
      <c r="V755">
        <v>376.246</v>
      </c>
      <c r="W755">
        <v>1.23243168189116</v>
      </c>
      <c r="X755">
        <v>376.246</v>
      </c>
      <c r="Y755">
        <v>1.23017066265113</v>
      </c>
      <c r="Z755">
        <v>376.246</v>
      </c>
      <c r="AA755">
        <v>1.2375708671851</v>
      </c>
      <c r="AB755">
        <v>376.246</v>
      </c>
      <c r="AC755">
        <v>1.23789569169714</v>
      </c>
      <c r="AE755">
        <v>376.246</v>
      </c>
      <c r="AF755">
        <v>-1912.69867921037</v>
      </c>
      <c r="AG755">
        <v>-2217.6166693163</v>
      </c>
      <c r="AH755">
        <v>-2047.97020158464</v>
      </c>
      <c r="AI755">
        <v>-2128.36490112319</v>
      </c>
      <c r="AJ755">
        <v>-2106.83992721359</v>
      </c>
    </row>
    <row r="756" spans="20:36">
      <c r="T756">
        <v>376.745</v>
      </c>
      <c r="U756">
        <v>1.22935905146695</v>
      </c>
      <c r="V756">
        <v>376.745</v>
      </c>
      <c r="W756">
        <v>1.23294307630713</v>
      </c>
      <c r="X756">
        <v>376.745</v>
      </c>
      <c r="Y756">
        <v>1.23214814524829</v>
      </c>
      <c r="Z756">
        <v>376.745</v>
      </c>
      <c r="AA756">
        <v>1.23573656368941</v>
      </c>
      <c r="AB756">
        <v>376.745</v>
      </c>
      <c r="AC756">
        <v>1.22846007668537</v>
      </c>
      <c r="AE756">
        <v>376.745</v>
      </c>
      <c r="AF756">
        <v>-1966.16334398073</v>
      </c>
      <c r="AG756">
        <v>-2203.88471279123</v>
      </c>
      <c r="AH756">
        <v>-1993.65148845942</v>
      </c>
      <c r="AI756">
        <v>-1945.98492684284</v>
      </c>
      <c r="AJ756">
        <v>-2033.93750472313</v>
      </c>
    </row>
    <row r="757" spans="20:36">
      <c r="T757">
        <v>377.244</v>
      </c>
      <c r="U757">
        <v>1.2306935199918</v>
      </c>
      <c r="V757">
        <v>377.244</v>
      </c>
      <c r="W757">
        <v>1.22716468928691</v>
      </c>
      <c r="X757">
        <v>377.244</v>
      </c>
      <c r="Y757">
        <v>1.22935656862375</v>
      </c>
      <c r="Z757">
        <v>377.244</v>
      </c>
      <c r="AA757">
        <v>1.24124124368208</v>
      </c>
      <c r="AB757">
        <v>377.244</v>
      </c>
      <c r="AC757">
        <v>1.23241548085501</v>
      </c>
      <c r="AE757">
        <v>377.244</v>
      </c>
      <c r="AF757">
        <v>-2046.36176605729</v>
      </c>
      <c r="AG757">
        <v>-1998.23657227218</v>
      </c>
      <c r="AH757">
        <v>-1908.52696476128</v>
      </c>
      <c r="AI757">
        <v>-2060.06176396491</v>
      </c>
      <c r="AJ757">
        <v>-2005.9752314895</v>
      </c>
    </row>
    <row r="758" spans="20:36">
      <c r="T758">
        <v>377.743</v>
      </c>
      <c r="U758">
        <v>1.22289822233028</v>
      </c>
      <c r="V758">
        <v>377.743</v>
      </c>
      <c r="W758">
        <v>1.22745547676723</v>
      </c>
      <c r="X758">
        <v>377.743</v>
      </c>
      <c r="Y758">
        <v>1.24027121573827</v>
      </c>
      <c r="Z758">
        <v>377.743</v>
      </c>
      <c r="AA758">
        <v>1.23644638189039</v>
      </c>
      <c r="AB758">
        <v>377.743</v>
      </c>
      <c r="AC758">
        <v>1.23111923959183</v>
      </c>
      <c r="AE758">
        <v>377.743</v>
      </c>
      <c r="AF758">
        <v>-1961.8521752988</v>
      </c>
      <c r="AG758">
        <v>-1965.33249918613</v>
      </c>
      <c r="AH758">
        <v>-1917.37662405214</v>
      </c>
      <c r="AI758">
        <v>-2176.04061820254</v>
      </c>
      <c r="AJ758">
        <v>-1976.64881431375</v>
      </c>
    </row>
    <row r="759" spans="20:36">
      <c r="T759">
        <v>378.242</v>
      </c>
      <c r="U759">
        <v>1.23506994236721</v>
      </c>
      <c r="V759">
        <v>378.242</v>
      </c>
      <c r="W759">
        <v>1.23109252122771</v>
      </c>
      <c r="X759">
        <v>378.242</v>
      </c>
      <c r="Y759">
        <v>1.23639747799115</v>
      </c>
      <c r="Z759">
        <v>378.242</v>
      </c>
      <c r="AA759">
        <v>1.23694449546136</v>
      </c>
      <c r="AB759">
        <v>378.242</v>
      </c>
      <c r="AC759">
        <v>1.23652021858556</v>
      </c>
      <c r="AE759">
        <v>378.242</v>
      </c>
      <c r="AF759">
        <v>-1976.32783275076</v>
      </c>
      <c r="AG759">
        <v>-2173.40018980284</v>
      </c>
      <c r="AH759">
        <v>-2017.42568902915</v>
      </c>
      <c r="AI759">
        <v>-2112.78730593642</v>
      </c>
      <c r="AJ759">
        <v>-1966.22542339996</v>
      </c>
    </row>
    <row r="760" spans="20:36">
      <c r="T760">
        <v>378.741</v>
      </c>
      <c r="U760">
        <v>1.22478551105732</v>
      </c>
      <c r="V760">
        <v>378.741</v>
      </c>
      <c r="W760">
        <v>1.23051108162566</v>
      </c>
      <c r="X760">
        <v>378.741</v>
      </c>
      <c r="Y760">
        <v>1.23454744407481</v>
      </c>
      <c r="Z760">
        <v>378.741</v>
      </c>
      <c r="AA760">
        <v>1.23344452520122</v>
      </c>
      <c r="AB760">
        <v>378.741</v>
      </c>
      <c r="AC760">
        <v>1.23973995504962</v>
      </c>
      <c r="AE760">
        <v>378.741</v>
      </c>
      <c r="AF760">
        <v>-2017.24401255121</v>
      </c>
      <c r="AG760">
        <v>-2215.31746258556</v>
      </c>
      <c r="AH760">
        <v>-2116.48473114322</v>
      </c>
      <c r="AI760">
        <v>-2026.2199444807</v>
      </c>
      <c r="AJ760">
        <v>-2141.33953413247</v>
      </c>
    </row>
    <row r="761" spans="20:36">
      <c r="T761">
        <v>379.24</v>
      </c>
      <c r="U761">
        <v>1.2289712886589</v>
      </c>
      <c r="V761">
        <v>379.24</v>
      </c>
      <c r="W761">
        <v>1.22954241033375</v>
      </c>
      <c r="X761">
        <v>379.24</v>
      </c>
      <c r="Y761">
        <v>1.22420915633258</v>
      </c>
      <c r="Z761">
        <v>379.24</v>
      </c>
      <c r="AA761">
        <v>1.23381924255905</v>
      </c>
      <c r="AB761">
        <v>379.24</v>
      </c>
      <c r="AC761">
        <v>1.23661109211998</v>
      </c>
      <c r="AE761">
        <v>379.24</v>
      </c>
      <c r="AF761">
        <v>-2098.60299196542</v>
      </c>
      <c r="AG761">
        <v>-2051.0189839938</v>
      </c>
      <c r="AH761">
        <v>-2003.90215678149</v>
      </c>
      <c r="AI761">
        <v>-2087.41688413007</v>
      </c>
      <c r="AJ761">
        <v>-2137.38551277478</v>
      </c>
    </row>
    <row r="762" spans="20:36">
      <c r="T762">
        <v>379.739</v>
      </c>
      <c r="U762">
        <v>1.225459569167</v>
      </c>
      <c r="V762">
        <v>379.739</v>
      </c>
      <c r="W762">
        <v>1.22384352689625</v>
      </c>
      <c r="X762">
        <v>379.739</v>
      </c>
      <c r="Y762">
        <v>1.21941908586144</v>
      </c>
      <c r="Z762">
        <v>379.739</v>
      </c>
      <c r="AA762">
        <v>1.23505349894829</v>
      </c>
      <c r="AB762">
        <v>379.739</v>
      </c>
      <c r="AC762">
        <v>1.23428494166242</v>
      </c>
      <c r="AE762">
        <v>379.739</v>
      </c>
      <c r="AF762">
        <v>-2029.50703768668</v>
      </c>
      <c r="AG762">
        <v>-1989.59508538021</v>
      </c>
      <c r="AH762">
        <v>-1910.35256424323</v>
      </c>
      <c r="AI762">
        <v>-2079.78890404708</v>
      </c>
      <c r="AJ762">
        <v>-1940.4380128476</v>
      </c>
    </row>
    <row r="763" spans="20:36">
      <c r="T763">
        <v>380.238</v>
      </c>
      <c r="U763">
        <v>1.22477210311311</v>
      </c>
      <c r="V763">
        <v>380.238</v>
      </c>
      <c r="W763">
        <v>1.22661293579874</v>
      </c>
      <c r="X763">
        <v>380.238</v>
      </c>
      <c r="Y763">
        <v>1.23113406821593</v>
      </c>
      <c r="Z763">
        <v>380.238</v>
      </c>
      <c r="AA763">
        <v>1.22740400593409</v>
      </c>
      <c r="AB763">
        <v>380.238</v>
      </c>
      <c r="AC763">
        <v>1.23785558248669</v>
      </c>
      <c r="AE763">
        <v>380.238</v>
      </c>
      <c r="AF763">
        <v>-1881.19405766495</v>
      </c>
      <c r="AG763">
        <v>-2067.3267030598</v>
      </c>
      <c r="AH763">
        <v>-1956.76347006102</v>
      </c>
      <c r="AI763">
        <v>-1995.16474450349</v>
      </c>
      <c r="AJ763">
        <v>-1871.39217359099</v>
      </c>
    </row>
    <row r="764" spans="20:36">
      <c r="T764">
        <v>380.737</v>
      </c>
      <c r="U764">
        <v>1.22662514518472</v>
      </c>
      <c r="V764">
        <v>380.737</v>
      </c>
      <c r="W764">
        <v>1.22128196455516</v>
      </c>
      <c r="X764">
        <v>380.737</v>
      </c>
      <c r="Y764">
        <v>1.22233740669803</v>
      </c>
      <c r="Z764">
        <v>380.737</v>
      </c>
      <c r="AA764">
        <v>1.23670433913</v>
      </c>
      <c r="AB764">
        <v>380.737</v>
      </c>
      <c r="AC764">
        <v>1.23336074461945</v>
      </c>
      <c r="AE764">
        <v>380.737</v>
      </c>
      <c r="AF764">
        <v>-1916.33156361836</v>
      </c>
      <c r="AG764">
        <v>-2189.87452280969</v>
      </c>
      <c r="AH764">
        <v>-1964.56201771893</v>
      </c>
      <c r="AI764">
        <v>-1926.65784204107</v>
      </c>
      <c r="AJ764">
        <v>-2064.47339824481</v>
      </c>
    </row>
    <row r="765" spans="20:36">
      <c r="T765">
        <v>381.236</v>
      </c>
      <c r="U765">
        <v>1.22978156477304</v>
      </c>
      <c r="V765">
        <v>381.236</v>
      </c>
      <c r="W765">
        <v>1.23061682595645</v>
      </c>
      <c r="X765">
        <v>381.236</v>
      </c>
      <c r="Y765">
        <v>1.22372894587112</v>
      </c>
      <c r="Z765">
        <v>381.236</v>
      </c>
      <c r="AA765">
        <v>1.22911158273109</v>
      </c>
      <c r="AB765">
        <v>381.236</v>
      </c>
      <c r="AC765">
        <v>1.23238932598631</v>
      </c>
      <c r="AE765">
        <v>381.236</v>
      </c>
      <c r="AF765">
        <v>-2102.13040242527</v>
      </c>
      <c r="AG765">
        <v>-2194.68131996249</v>
      </c>
      <c r="AH765">
        <v>-1971.13198685979</v>
      </c>
      <c r="AI765">
        <v>-2003.05839025621</v>
      </c>
      <c r="AJ765">
        <v>-2147.6257390788</v>
      </c>
    </row>
    <row r="766" spans="20:36">
      <c r="T766">
        <v>381.735</v>
      </c>
      <c r="U766">
        <v>1.22364626466692</v>
      </c>
      <c r="V766">
        <v>381.735</v>
      </c>
      <c r="W766">
        <v>1.23358608751631</v>
      </c>
      <c r="X766">
        <v>381.735</v>
      </c>
      <c r="Y766">
        <v>1.22541543254089</v>
      </c>
      <c r="Z766">
        <v>381.735</v>
      </c>
      <c r="AA766">
        <v>1.22654320101495</v>
      </c>
      <c r="AB766">
        <v>381.735</v>
      </c>
      <c r="AC766">
        <v>1.23350442240171</v>
      </c>
      <c r="AE766">
        <v>381.735</v>
      </c>
      <c r="AF766">
        <v>-2102.23051986772</v>
      </c>
      <c r="AG766">
        <v>-2077.64138018198</v>
      </c>
      <c r="AH766">
        <v>-1896.75614127056</v>
      </c>
      <c r="AI766">
        <v>-2094.35842848481</v>
      </c>
      <c r="AJ766">
        <v>-1998.81797812902</v>
      </c>
    </row>
    <row r="767" spans="20:36">
      <c r="T767">
        <v>382.234</v>
      </c>
      <c r="U767">
        <v>1.22660522611513</v>
      </c>
      <c r="V767">
        <v>382.234</v>
      </c>
      <c r="W767">
        <v>1.23292756020461</v>
      </c>
      <c r="X767">
        <v>382.234</v>
      </c>
      <c r="Y767">
        <v>1.22393955768613</v>
      </c>
      <c r="Z767">
        <v>382.234</v>
      </c>
      <c r="AA767">
        <v>1.23138984687115</v>
      </c>
      <c r="AB767">
        <v>382.234</v>
      </c>
      <c r="AC767">
        <v>1.23050919154946</v>
      </c>
      <c r="AE767">
        <v>382.234</v>
      </c>
      <c r="AF767">
        <v>-1919.82488257976</v>
      </c>
      <c r="AG767">
        <v>-2051.45555044005</v>
      </c>
      <c r="AH767">
        <v>-1906.56107066733</v>
      </c>
      <c r="AI767">
        <v>-2117.38815978925</v>
      </c>
      <c r="AJ767">
        <v>-1855.16007409399</v>
      </c>
    </row>
    <row r="768" spans="20:36">
      <c r="T768">
        <v>382.733</v>
      </c>
      <c r="U768">
        <v>1.22062356395703</v>
      </c>
      <c r="V768">
        <v>382.733</v>
      </c>
      <c r="W768">
        <v>1.22815540183494</v>
      </c>
      <c r="X768">
        <v>382.733</v>
      </c>
      <c r="Y768">
        <v>1.22637759906822</v>
      </c>
      <c r="Z768">
        <v>382.733</v>
      </c>
      <c r="AA768">
        <v>1.2379946225915</v>
      </c>
      <c r="AB768">
        <v>382.733</v>
      </c>
      <c r="AC768">
        <v>1.23190320630175</v>
      </c>
      <c r="AE768">
        <v>382.733</v>
      </c>
      <c r="AF768">
        <v>-1833.61984152787</v>
      </c>
      <c r="AG768">
        <v>-2109.05216643443</v>
      </c>
      <c r="AH768">
        <v>-2173.5230560992</v>
      </c>
      <c r="AI768">
        <v>-1955.310600315</v>
      </c>
      <c r="AJ768">
        <v>-1952.08816981688</v>
      </c>
    </row>
    <row r="769" spans="20:36">
      <c r="T769">
        <v>383.232</v>
      </c>
      <c r="U769">
        <v>1.22189076159489</v>
      </c>
      <c r="V769">
        <v>383.232</v>
      </c>
      <c r="W769">
        <v>1.23584710112646</v>
      </c>
      <c r="X769">
        <v>383.232</v>
      </c>
      <c r="Y769">
        <v>1.22856426757717</v>
      </c>
      <c r="Z769">
        <v>383.232</v>
      </c>
      <c r="AA769">
        <v>1.23097661289967</v>
      </c>
      <c r="AB769">
        <v>383.232</v>
      </c>
      <c r="AC769">
        <v>1.23654298819798</v>
      </c>
      <c r="AE769">
        <v>383.232</v>
      </c>
      <c r="AF769">
        <v>-1996.75146601939</v>
      </c>
      <c r="AG769">
        <v>-2112.79615988935</v>
      </c>
      <c r="AH769">
        <v>-2088.634197476</v>
      </c>
      <c r="AI769">
        <v>-2010.57750492243</v>
      </c>
      <c r="AJ769">
        <v>-2174.39755658326</v>
      </c>
    </row>
    <row r="770" spans="20:36">
      <c r="T770">
        <v>383.731</v>
      </c>
      <c r="U770">
        <v>1.22368495883194</v>
      </c>
      <c r="V770">
        <v>383.731</v>
      </c>
      <c r="W770">
        <v>1.24074448537966</v>
      </c>
      <c r="X770">
        <v>383.731</v>
      </c>
      <c r="Y770">
        <v>1.22098849807561</v>
      </c>
      <c r="Z770">
        <v>383.731</v>
      </c>
      <c r="AA770">
        <v>1.23392454777563</v>
      </c>
      <c r="AB770">
        <v>383.731</v>
      </c>
      <c r="AC770">
        <v>1.23526175113602</v>
      </c>
      <c r="AE770">
        <v>383.731</v>
      </c>
      <c r="AF770">
        <v>-2135.82523287207</v>
      </c>
      <c r="AG770">
        <v>-2157.36929717257</v>
      </c>
      <c r="AH770">
        <v>-1944.28084741775</v>
      </c>
      <c r="AI770">
        <v>-2155.75637100148</v>
      </c>
      <c r="AJ770">
        <v>-2049.84906901672</v>
      </c>
    </row>
    <row r="771" spans="20:36">
      <c r="T771">
        <v>384.23</v>
      </c>
      <c r="U771">
        <v>1.21872616538805</v>
      </c>
      <c r="V771">
        <v>384.23</v>
      </c>
      <c r="W771">
        <v>1.23577056957616</v>
      </c>
      <c r="X771">
        <v>384.23</v>
      </c>
      <c r="Y771">
        <v>1.22701523208291</v>
      </c>
      <c r="Z771">
        <v>384.23</v>
      </c>
      <c r="AA771">
        <v>1.23519920866945</v>
      </c>
      <c r="AB771">
        <v>384.23</v>
      </c>
      <c r="AC771">
        <v>1.23061850667533</v>
      </c>
      <c r="AE771">
        <v>384.23</v>
      </c>
      <c r="AF771">
        <v>-2100.07345614364</v>
      </c>
      <c r="AG771">
        <v>-2097.38949766308</v>
      </c>
      <c r="AH771">
        <v>-1904.69229064572</v>
      </c>
      <c r="AI771">
        <v>-2225.5819734317</v>
      </c>
      <c r="AJ771">
        <v>-1932.21100464524</v>
      </c>
    </row>
    <row r="772" spans="20:36">
      <c r="T772">
        <v>384.729</v>
      </c>
      <c r="U772">
        <v>1.22113618242325</v>
      </c>
      <c r="V772">
        <v>384.729</v>
      </c>
      <c r="W772">
        <v>1.23207784113888</v>
      </c>
      <c r="X772">
        <v>384.729</v>
      </c>
      <c r="Y772">
        <v>1.22025559509645</v>
      </c>
      <c r="Z772">
        <v>384.729</v>
      </c>
      <c r="AA772">
        <v>1.23328603119472</v>
      </c>
      <c r="AB772">
        <v>384.729</v>
      </c>
      <c r="AC772">
        <v>1.23934296910412</v>
      </c>
      <c r="AE772">
        <v>384.729</v>
      </c>
      <c r="AF772">
        <v>-1779.17233773731</v>
      </c>
      <c r="AG772">
        <v>-2054.51132955947</v>
      </c>
      <c r="AH772">
        <v>-1990.88022625897</v>
      </c>
      <c r="AI772">
        <v>-2033.93730279795</v>
      </c>
      <c r="AJ772">
        <v>-2009.48151868836</v>
      </c>
    </row>
    <row r="773" spans="20:36">
      <c r="T773">
        <v>385.228</v>
      </c>
      <c r="U773">
        <v>1.22292070775241</v>
      </c>
      <c r="V773">
        <v>385.228</v>
      </c>
      <c r="W773">
        <v>1.2300699011459</v>
      </c>
      <c r="X773">
        <v>385.228</v>
      </c>
      <c r="Y773">
        <v>1.2251035964371</v>
      </c>
      <c r="Z773">
        <v>385.228</v>
      </c>
      <c r="AA773">
        <v>1.23976758538133</v>
      </c>
      <c r="AB773">
        <v>385.228</v>
      </c>
      <c r="AC773">
        <v>1.24319038126096</v>
      </c>
      <c r="AE773">
        <v>385.228</v>
      </c>
      <c r="AF773">
        <v>-1869.40000302746</v>
      </c>
      <c r="AG773">
        <v>-2112.59524641133</v>
      </c>
      <c r="AH773">
        <v>-1926.62090935771</v>
      </c>
      <c r="AI773">
        <v>-1980.2761892235</v>
      </c>
      <c r="AJ773">
        <v>-2122.9569364362</v>
      </c>
    </row>
    <row r="774" spans="20:36">
      <c r="T774">
        <v>385.727</v>
      </c>
      <c r="U774">
        <v>1.22085214016412</v>
      </c>
      <c r="V774">
        <v>385.727</v>
      </c>
      <c r="W774">
        <v>1.23036869673209</v>
      </c>
      <c r="X774">
        <v>385.727</v>
      </c>
      <c r="Y774">
        <v>1.22117444105692</v>
      </c>
      <c r="Z774">
        <v>385.727</v>
      </c>
      <c r="AA774">
        <v>1.23764793409681</v>
      </c>
      <c r="AB774">
        <v>385.727</v>
      </c>
      <c r="AC774">
        <v>1.23174891979525</v>
      </c>
      <c r="AE774">
        <v>385.727</v>
      </c>
      <c r="AF774">
        <v>-2138.09070188927</v>
      </c>
      <c r="AG774">
        <v>-2086.1249327038</v>
      </c>
      <c r="AH774">
        <v>-1927.8319646239</v>
      </c>
      <c r="AI774">
        <v>-2096.56379889348</v>
      </c>
      <c r="AJ774">
        <v>-2005.0362076829</v>
      </c>
    </row>
    <row r="775" spans="20:36">
      <c r="T775">
        <v>386.226</v>
      </c>
      <c r="U775">
        <v>1.22105281072607</v>
      </c>
      <c r="V775">
        <v>386.226</v>
      </c>
      <c r="W775">
        <v>1.22935807431936</v>
      </c>
      <c r="X775">
        <v>386.226</v>
      </c>
      <c r="Y775">
        <v>1.22424332145004</v>
      </c>
      <c r="Z775">
        <v>386.226</v>
      </c>
      <c r="AA775">
        <v>1.23599755227572</v>
      </c>
      <c r="AB775">
        <v>386.226</v>
      </c>
      <c r="AC775">
        <v>1.23785207731349</v>
      </c>
      <c r="AE775">
        <v>386.226</v>
      </c>
      <c r="AF775">
        <v>-2191.93842715714</v>
      </c>
      <c r="AG775">
        <v>-2076.43585180964</v>
      </c>
      <c r="AH775">
        <v>-2025.20118769752</v>
      </c>
      <c r="AI775">
        <v>-2180.1540956822</v>
      </c>
      <c r="AJ775">
        <v>-1999.19036839634</v>
      </c>
    </row>
    <row r="776" spans="20:36">
      <c r="T776">
        <v>386.725</v>
      </c>
      <c r="U776">
        <v>1.22494171565596</v>
      </c>
      <c r="V776">
        <v>386.725</v>
      </c>
      <c r="W776">
        <v>1.23577684848692</v>
      </c>
      <c r="X776">
        <v>386.725</v>
      </c>
      <c r="Y776">
        <v>1.22211356359506</v>
      </c>
      <c r="Z776">
        <v>386.725</v>
      </c>
      <c r="AA776">
        <v>1.23868580169156</v>
      </c>
      <c r="AB776">
        <v>386.725</v>
      </c>
      <c r="AC776">
        <v>1.23254228500098</v>
      </c>
      <c r="AE776">
        <v>386.725</v>
      </c>
      <c r="AF776">
        <v>-1966.44029771579</v>
      </c>
      <c r="AG776">
        <v>-2103.77731560807</v>
      </c>
      <c r="AH776">
        <v>-2059.55020132514</v>
      </c>
      <c r="AI776">
        <v>-2166.26309390883</v>
      </c>
      <c r="AJ776">
        <v>-1982.23695858421</v>
      </c>
    </row>
    <row r="777" spans="20:36">
      <c r="T777">
        <v>387.224</v>
      </c>
      <c r="U777">
        <v>1.22588579805936</v>
      </c>
      <c r="V777">
        <v>387.224</v>
      </c>
      <c r="W777">
        <v>1.22685167340309</v>
      </c>
      <c r="X777">
        <v>387.224</v>
      </c>
      <c r="Y777">
        <v>1.22042444477132</v>
      </c>
      <c r="Z777">
        <v>387.224</v>
      </c>
      <c r="AA777">
        <v>1.2427307215323</v>
      </c>
      <c r="AB777">
        <v>387.224</v>
      </c>
      <c r="AC777">
        <v>1.23467405596899</v>
      </c>
      <c r="AE777">
        <v>387.224</v>
      </c>
      <c r="AF777">
        <v>-1822.89086519005</v>
      </c>
      <c r="AG777">
        <v>-2120.75058050682</v>
      </c>
      <c r="AH777">
        <v>-1924.27696850628</v>
      </c>
      <c r="AI777">
        <v>-1996.31011171299</v>
      </c>
      <c r="AJ777">
        <v>-1963.79318617358</v>
      </c>
    </row>
    <row r="778" spans="20:36">
      <c r="T778">
        <v>387.723</v>
      </c>
      <c r="U778">
        <v>1.2236730739897</v>
      </c>
      <c r="V778">
        <v>387.723</v>
      </c>
      <c r="W778">
        <v>1.23393389582873</v>
      </c>
      <c r="X778">
        <v>387.723</v>
      </c>
      <c r="Y778">
        <v>1.22525983581193</v>
      </c>
      <c r="Z778">
        <v>387.723</v>
      </c>
      <c r="AA778">
        <v>1.24017439148514</v>
      </c>
      <c r="AB778">
        <v>387.723</v>
      </c>
      <c r="AC778">
        <v>1.23718916393732</v>
      </c>
      <c r="AE778">
        <v>387.723</v>
      </c>
      <c r="AF778">
        <v>-2009.09503674356</v>
      </c>
      <c r="AG778">
        <v>-2180.15052233745</v>
      </c>
      <c r="AH778">
        <v>-1883.24290392398</v>
      </c>
      <c r="AI778">
        <v>-1909.91501329559</v>
      </c>
      <c r="AJ778">
        <v>-1979.19308234951</v>
      </c>
    </row>
    <row r="779" spans="20:36">
      <c r="T779">
        <v>388.222</v>
      </c>
      <c r="U779">
        <v>1.22410157603488</v>
      </c>
      <c r="V779">
        <v>388.222</v>
      </c>
      <c r="W779">
        <v>1.23262852940773</v>
      </c>
      <c r="X779">
        <v>388.222</v>
      </c>
      <c r="Y779">
        <v>1.22429565239293</v>
      </c>
      <c r="Z779">
        <v>388.222</v>
      </c>
      <c r="AA779">
        <v>1.24174572642635</v>
      </c>
      <c r="AB779">
        <v>388.222</v>
      </c>
      <c r="AC779">
        <v>1.22731834406953</v>
      </c>
      <c r="AE779">
        <v>388.222</v>
      </c>
      <c r="AF779">
        <v>-2143.11942060181</v>
      </c>
      <c r="AG779">
        <v>-2036.91793718948</v>
      </c>
      <c r="AH779">
        <v>-1954.23778898432</v>
      </c>
      <c r="AI779">
        <v>-2158.4253439319</v>
      </c>
      <c r="AJ779">
        <v>-1926.94708339529</v>
      </c>
    </row>
    <row r="780" spans="20:36">
      <c r="T780">
        <v>388.721</v>
      </c>
      <c r="U780">
        <v>1.23018450004083</v>
      </c>
      <c r="V780">
        <v>388.721</v>
      </c>
      <c r="W780">
        <v>1.22868373493727</v>
      </c>
      <c r="X780">
        <v>388.721</v>
      </c>
      <c r="Y780">
        <v>1.22753653366772</v>
      </c>
      <c r="Z780">
        <v>388.721</v>
      </c>
      <c r="AA780">
        <v>1.239344938867</v>
      </c>
      <c r="AB780">
        <v>388.721</v>
      </c>
      <c r="AC780">
        <v>1.22757906377811</v>
      </c>
      <c r="AE780">
        <v>388.721</v>
      </c>
      <c r="AF780">
        <v>-2122.68828942115</v>
      </c>
      <c r="AG780">
        <v>-1995.42235492061</v>
      </c>
      <c r="AH780">
        <v>-2042.95204217751</v>
      </c>
      <c r="AI780">
        <v>-2260.69415813156</v>
      </c>
      <c r="AJ780">
        <v>-1979.97661158275</v>
      </c>
    </row>
    <row r="781" spans="20:36">
      <c r="T781">
        <v>389.22</v>
      </c>
      <c r="U781">
        <v>1.22887452514934</v>
      </c>
      <c r="V781">
        <v>389.22</v>
      </c>
      <c r="W781">
        <v>1.23405397559059</v>
      </c>
      <c r="X781">
        <v>389.22</v>
      </c>
      <c r="Y781">
        <v>1.22768906391347</v>
      </c>
      <c r="Z781">
        <v>389.22</v>
      </c>
      <c r="AA781">
        <v>1.23975847473178</v>
      </c>
      <c r="AB781">
        <v>389.22</v>
      </c>
      <c r="AC781">
        <v>1.23050651907869</v>
      </c>
      <c r="AE781">
        <v>389.22</v>
      </c>
      <c r="AF781">
        <v>-1926.27855878453</v>
      </c>
      <c r="AG781">
        <v>-2190.57237225166</v>
      </c>
      <c r="AH781">
        <v>-2035.49160778235</v>
      </c>
      <c r="AI781">
        <v>-2052.45251880471</v>
      </c>
      <c r="AJ781">
        <v>-2023.41215051092</v>
      </c>
    </row>
    <row r="782" spans="20:36">
      <c r="T782">
        <v>389.719</v>
      </c>
      <c r="U782">
        <v>1.22472502140324</v>
      </c>
      <c r="V782">
        <v>389.719</v>
      </c>
      <c r="W782">
        <v>1.22923742324967</v>
      </c>
      <c r="X782">
        <v>389.719</v>
      </c>
      <c r="Y782">
        <v>1.22576819781889</v>
      </c>
      <c r="Z782">
        <v>389.719</v>
      </c>
      <c r="AA782">
        <v>1.24197643026604</v>
      </c>
      <c r="AB782">
        <v>389.719</v>
      </c>
      <c r="AC782">
        <v>1.22199545256664</v>
      </c>
      <c r="AE782">
        <v>389.719</v>
      </c>
      <c r="AF782">
        <v>-1846.85138968894</v>
      </c>
      <c r="AG782">
        <v>-2221.76776378867</v>
      </c>
      <c r="AH782">
        <v>-1949.62152504505</v>
      </c>
      <c r="AI782">
        <v>-1938.23355213853</v>
      </c>
      <c r="AJ782">
        <v>-1995.6060217889</v>
      </c>
    </row>
    <row r="783" spans="20:36">
      <c r="T783">
        <v>390.218</v>
      </c>
      <c r="U783">
        <v>1.22571902251815</v>
      </c>
      <c r="V783">
        <v>390.218</v>
      </c>
      <c r="W783">
        <v>1.22763340319023</v>
      </c>
      <c r="X783">
        <v>390.218</v>
      </c>
      <c r="Y783">
        <v>1.22873566295476</v>
      </c>
      <c r="Z783">
        <v>390.218</v>
      </c>
      <c r="AA783">
        <v>1.24841115286339</v>
      </c>
      <c r="AB783">
        <v>390.218</v>
      </c>
      <c r="AC783">
        <v>1.23511388474335</v>
      </c>
      <c r="AE783">
        <v>390.218</v>
      </c>
      <c r="AF783">
        <v>-2067.06724553554</v>
      </c>
      <c r="AG783">
        <v>-2020.54289576784</v>
      </c>
      <c r="AH783">
        <v>-1977.59451499561</v>
      </c>
      <c r="AI783">
        <v>-2122.48895813036</v>
      </c>
      <c r="AJ783">
        <v>-1977.35483490901</v>
      </c>
    </row>
    <row r="784" spans="20:36">
      <c r="T784">
        <v>390.717</v>
      </c>
      <c r="U784">
        <v>1.21994639920415</v>
      </c>
      <c r="V784">
        <v>390.717</v>
      </c>
      <c r="W784">
        <v>1.23698417635928</v>
      </c>
      <c r="X784">
        <v>390.717</v>
      </c>
      <c r="Y784">
        <v>1.22148205985438</v>
      </c>
      <c r="Z784">
        <v>390.717</v>
      </c>
      <c r="AA784">
        <v>1.23984635409298</v>
      </c>
      <c r="AB784">
        <v>390.717</v>
      </c>
      <c r="AC784">
        <v>1.22775809440995</v>
      </c>
      <c r="AE784">
        <v>390.717</v>
      </c>
      <c r="AF784">
        <v>-2093.52058557773</v>
      </c>
      <c r="AG784">
        <v>-2023.79829614033</v>
      </c>
      <c r="AH784">
        <v>-1940.99088053867</v>
      </c>
      <c r="AI784">
        <v>-2169.79756571768</v>
      </c>
      <c r="AJ784">
        <v>-1975.89979195764</v>
      </c>
    </row>
    <row r="785" spans="20:36">
      <c r="T785">
        <v>391.216</v>
      </c>
      <c r="U785">
        <v>1.22823654977782</v>
      </c>
      <c r="V785">
        <v>391.216</v>
      </c>
      <c r="W785">
        <v>1.23296490028475</v>
      </c>
      <c r="X785">
        <v>391.216</v>
      </c>
      <c r="Y785">
        <v>1.22851121781958</v>
      </c>
      <c r="Z785">
        <v>391.216</v>
      </c>
      <c r="AA785">
        <v>1.2388330012696</v>
      </c>
      <c r="AB785">
        <v>391.216</v>
      </c>
      <c r="AC785">
        <v>1.22392743272538</v>
      </c>
      <c r="AE785">
        <v>391.216</v>
      </c>
      <c r="AF785">
        <v>-2078.79923474348</v>
      </c>
      <c r="AG785">
        <v>-2079.70467885198</v>
      </c>
      <c r="AH785">
        <v>-2063.96786676623</v>
      </c>
      <c r="AI785">
        <v>-2126.87305509822</v>
      </c>
      <c r="AJ785">
        <v>-2015.47417053769</v>
      </c>
    </row>
    <row r="786" spans="20:36">
      <c r="T786">
        <v>391.715</v>
      </c>
      <c r="U786">
        <v>1.2247476868214</v>
      </c>
      <c r="V786">
        <v>391.715</v>
      </c>
      <c r="W786">
        <v>1.23156586420253</v>
      </c>
      <c r="X786">
        <v>391.715</v>
      </c>
      <c r="Y786">
        <v>1.22622226372148</v>
      </c>
      <c r="Z786">
        <v>391.715</v>
      </c>
      <c r="AA786">
        <v>1.24266388471544</v>
      </c>
      <c r="AB786">
        <v>391.715</v>
      </c>
      <c r="AC786">
        <v>1.22598720574161</v>
      </c>
      <c r="AE786">
        <v>391.715</v>
      </c>
      <c r="AF786">
        <v>-1990.16689715457</v>
      </c>
      <c r="AG786">
        <v>-2141.96641878457</v>
      </c>
      <c r="AH786">
        <v>-2045.75216579799</v>
      </c>
      <c r="AI786">
        <v>-2124.8617581819</v>
      </c>
      <c r="AJ786">
        <v>-2054.82912875597</v>
      </c>
    </row>
    <row r="787" spans="20:36">
      <c r="T787">
        <v>392.214</v>
      </c>
      <c r="U787">
        <v>1.22456946167042</v>
      </c>
      <c r="V787">
        <v>392.214</v>
      </c>
      <c r="W787">
        <v>1.22760500499895</v>
      </c>
      <c r="X787">
        <v>392.214</v>
      </c>
      <c r="Y787">
        <v>1.22917710533213</v>
      </c>
      <c r="Z787">
        <v>392.214</v>
      </c>
      <c r="AA787">
        <v>1.23514891123944</v>
      </c>
      <c r="AB787">
        <v>392.214</v>
      </c>
      <c r="AC787">
        <v>1.22804620225764</v>
      </c>
      <c r="AE787">
        <v>392.214</v>
      </c>
      <c r="AF787">
        <v>-1968.66110567804</v>
      </c>
      <c r="AG787">
        <v>-2127.20214381621</v>
      </c>
      <c r="AH787">
        <v>-1942.78752233861</v>
      </c>
      <c r="AI787">
        <v>-1982.79968037469</v>
      </c>
      <c r="AJ787">
        <v>-2003.10963398022</v>
      </c>
    </row>
    <row r="788" spans="20:36">
      <c r="T788">
        <v>392.713</v>
      </c>
      <c r="U788">
        <v>1.22799339681279</v>
      </c>
      <c r="V788">
        <v>392.713</v>
      </c>
      <c r="W788">
        <v>1.23152614144659</v>
      </c>
      <c r="X788">
        <v>392.713</v>
      </c>
      <c r="Y788">
        <v>1.22944846758281</v>
      </c>
      <c r="Z788">
        <v>392.713</v>
      </c>
      <c r="AA788">
        <v>1.24426934532066</v>
      </c>
      <c r="AB788">
        <v>392.713</v>
      </c>
      <c r="AC788">
        <v>1.22312135956621</v>
      </c>
      <c r="AE788">
        <v>392.713</v>
      </c>
      <c r="AF788">
        <v>-2043.73407653757</v>
      </c>
      <c r="AG788">
        <v>-2158.85314003361</v>
      </c>
      <c r="AH788">
        <v>-1919.23061549805</v>
      </c>
      <c r="AI788">
        <v>-2010.87744381745</v>
      </c>
      <c r="AJ788">
        <v>-1909.4534141069</v>
      </c>
    </row>
    <row r="789" spans="20:36">
      <c r="T789">
        <v>393.212</v>
      </c>
      <c r="U789">
        <v>1.22767839171069</v>
      </c>
      <c r="V789">
        <v>393.212</v>
      </c>
      <c r="W789">
        <v>1.2334418545318</v>
      </c>
      <c r="X789">
        <v>393.212</v>
      </c>
      <c r="Y789">
        <v>1.23640648420779</v>
      </c>
      <c r="Z789">
        <v>393.212</v>
      </c>
      <c r="AA789">
        <v>1.23569443637278</v>
      </c>
      <c r="AB789">
        <v>393.212</v>
      </c>
      <c r="AC789">
        <v>1.22482056220201</v>
      </c>
      <c r="AE789">
        <v>393.212</v>
      </c>
      <c r="AF789">
        <v>-1982.31162554688</v>
      </c>
      <c r="AG789">
        <v>-2072.57931466955</v>
      </c>
      <c r="AH789">
        <v>-2022.84154098687</v>
      </c>
      <c r="AI789">
        <v>-2067.88445436562</v>
      </c>
      <c r="AJ789">
        <v>-1987.56016885526</v>
      </c>
    </row>
    <row r="790" spans="20:36">
      <c r="T790">
        <v>393.711</v>
      </c>
      <c r="U790">
        <v>1.23132757978397</v>
      </c>
      <c r="V790">
        <v>393.711</v>
      </c>
      <c r="W790">
        <v>1.23297971982478</v>
      </c>
      <c r="X790">
        <v>393.711</v>
      </c>
      <c r="Y790">
        <v>1.22919066003141</v>
      </c>
      <c r="Z790">
        <v>393.711</v>
      </c>
      <c r="AA790">
        <v>1.23713773932516</v>
      </c>
      <c r="AB790">
        <v>393.711</v>
      </c>
      <c r="AC790">
        <v>1.22664964208218</v>
      </c>
      <c r="AE790">
        <v>393.711</v>
      </c>
      <c r="AF790">
        <v>-1934.71024898429</v>
      </c>
      <c r="AG790">
        <v>-2052.18158185171</v>
      </c>
      <c r="AH790">
        <v>-2074.72636269149</v>
      </c>
      <c r="AI790">
        <v>-2027.21738147598</v>
      </c>
      <c r="AJ790">
        <v>-2058.07737572489</v>
      </c>
    </row>
    <row r="791" spans="20:36">
      <c r="T791">
        <v>394.21</v>
      </c>
      <c r="U791">
        <v>1.22720093389503</v>
      </c>
      <c r="V791">
        <v>394.21</v>
      </c>
      <c r="W791">
        <v>1.23187890814606</v>
      </c>
      <c r="X791">
        <v>394.21</v>
      </c>
      <c r="Y791">
        <v>1.22573311683104</v>
      </c>
      <c r="Z791">
        <v>394.21</v>
      </c>
      <c r="AA791">
        <v>1.2310526788694</v>
      </c>
      <c r="AB791">
        <v>394.21</v>
      </c>
      <c r="AC791">
        <v>1.23241502579901</v>
      </c>
      <c r="AE791">
        <v>394.21</v>
      </c>
      <c r="AF791">
        <v>-1991.38626894478</v>
      </c>
      <c r="AG791">
        <v>-2167.46232733963</v>
      </c>
      <c r="AH791">
        <v>-1944.21780191371</v>
      </c>
      <c r="AI791">
        <v>-2023.97024817138</v>
      </c>
      <c r="AJ791">
        <v>-1985.49127200971</v>
      </c>
    </row>
    <row r="792" spans="20:36">
      <c r="T792">
        <v>394.709</v>
      </c>
      <c r="U792">
        <v>1.22101110688777</v>
      </c>
      <c r="V792">
        <v>394.709</v>
      </c>
      <c r="W792">
        <v>1.22567421386644</v>
      </c>
      <c r="X792">
        <v>394.709</v>
      </c>
      <c r="Y792">
        <v>1.22720506332203</v>
      </c>
      <c r="Z792">
        <v>394.709</v>
      </c>
      <c r="AA792">
        <v>1.2372396786315</v>
      </c>
      <c r="AB792">
        <v>394.709</v>
      </c>
      <c r="AC792">
        <v>1.22857152599197</v>
      </c>
      <c r="AE792">
        <v>394.709</v>
      </c>
      <c r="AF792">
        <v>-2020.34571952144</v>
      </c>
      <c r="AG792">
        <v>-2192.87105645526</v>
      </c>
      <c r="AH792">
        <v>-1952.43309399704</v>
      </c>
      <c r="AI792">
        <v>-2031.74729287341</v>
      </c>
      <c r="AJ792">
        <v>-1949.3231671058</v>
      </c>
    </row>
    <row r="793" spans="20:36">
      <c r="T793">
        <v>395.208</v>
      </c>
      <c r="U793">
        <v>1.22495467169553</v>
      </c>
      <c r="V793">
        <v>395.208</v>
      </c>
      <c r="W793">
        <v>1.22869725595247</v>
      </c>
      <c r="X793">
        <v>395.208</v>
      </c>
      <c r="Y793">
        <v>1.23056444717496</v>
      </c>
      <c r="Z793">
        <v>395.208</v>
      </c>
      <c r="AA793">
        <v>1.23226561310626</v>
      </c>
      <c r="AB793">
        <v>395.208</v>
      </c>
      <c r="AC793">
        <v>1.22924122921857</v>
      </c>
      <c r="AE793">
        <v>395.208</v>
      </c>
      <c r="AF793">
        <v>-1947.66567794812</v>
      </c>
      <c r="AG793">
        <v>-2043.18213963361</v>
      </c>
      <c r="AH793">
        <v>-2113.80923570652</v>
      </c>
      <c r="AI793">
        <v>-2120.74231283162</v>
      </c>
      <c r="AJ793">
        <v>-1998.34331442197</v>
      </c>
    </row>
    <row r="794" spans="20:36">
      <c r="T794">
        <v>395.707</v>
      </c>
      <c r="U794">
        <v>1.21655394425198</v>
      </c>
      <c r="V794">
        <v>395.707</v>
      </c>
      <c r="W794">
        <v>1.23010824025471</v>
      </c>
      <c r="X794">
        <v>395.707</v>
      </c>
      <c r="Y794">
        <v>1.22609780040323</v>
      </c>
      <c r="Z794">
        <v>395.707</v>
      </c>
      <c r="AA794">
        <v>1.24453095510132</v>
      </c>
      <c r="AB794">
        <v>395.707</v>
      </c>
      <c r="AC794">
        <v>1.23231919959037</v>
      </c>
      <c r="AE794">
        <v>395.707</v>
      </c>
      <c r="AF794">
        <v>-1919.23932782823</v>
      </c>
      <c r="AG794">
        <v>-1995.77087089582</v>
      </c>
      <c r="AH794">
        <v>-2026.35960377919</v>
      </c>
      <c r="AI794">
        <v>-2159.45983706088</v>
      </c>
      <c r="AJ794">
        <v>-2052.63338570292</v>
      </c>
    </row>
    <row r="795" spans="20:36">
      <c r="T795">
        <v>396.206</v>
      </c>
      <c r="U795">
        <v>1.21841512271932</v>
      </c>
      <c r="V795">
        <v>396.206</v>
      </c>
      <c r="W795">
        <v>1.22583095572884</v>
      </c>
      <c r="X795">
        <v>396.206</v>
      </c>
      <c r="Y795">
        <v>1.23099640938532</v>
      </c>
      <c r="Z795">
        <v>396.206</v>
      </c>
      <c r="AA795">
        <v>1.23025510478541</v>
      </c>
      <c r="AB795">
        <v>396.206</v>
      </c>
      <c r="AC795">
        <v>1.23402775192311</v>
      </c>
      <c r="AE795">
        <v>396.206</v>
      </c>
      <c r="AF795">
        <v>-2017.73420107797</v>
      </c>
      <c r="AG795">
        <v>-2044.96956542092</v>
      </c>
      <c r="AH795">
        <v>-1929.00296584237</v>
      </c>
      <c r="AI795">
        <v>-2007.78072472845</v>
      </c>
      <c r="AJ795">
        <v>-2004.47565841129</v>
      </c>
    </row>
    <row r="796" spans="20:36">
      <c r="T796">
        <v>396.705</v>
      </c>
      <c r="U796">
        <v>1.21725635863844</v>
      </c>
      <c r="V796">
        <v>396.705</v>
      </c>
      <c r="W796">
        <v>1.22724344977716</v>
      </c>
      <c r="X796">
        <v>396.705</v>
      </c>
      <c r="Y796">
        <v>1.22897964633461</v>
      </c>
      <c r="Z796">
        <v>396.705</v>
      </c>
      <c r="AA796">
        <v>1.24256158656729</v>
      </c>
      <c r="AB796">
        <v>396.705</v>
      </c>
      <c r="AC796">
        <v>1.22910467801874</v>
      </c>
      <c r="AE796">
        <v>396.705</v>
      </c>
      <c r="AF796">
        <v>-2024.35135083936</v>
      </c>
      <c r="AG796">
        <v>-2058.81868483947</v>
      </c>
      <c r="AH796">
        <v>-1952.44321515424</v>
      </c>
      <c r="AI796">
        <v>-1973.74418909125</v>
      </c>
      <c r="AJ796">
        <v>-1942.53253840087</v>
      </c>
    </row>
    <row r="797" spans="20:36">
      <c r="T797">
        <v>397.204</v>
      </c>
      <c r="U797">
        <v>1.23287350709037</v>
      </c>
      <c r="V797">
        <v>397.204</v>
      </c>
      <c r="W797">
        <v>1.22905460418199</v>
      </c>
      <c r="X797">
        <v>397.204</v>
      </c>
      <c r="Y797">
        <v>1.22981227962876</v>
      </c>
      <c r="Z797">
        <v>397.204</v>
      </c>
      <c r="AA797">
        <v>1.23645434099403</v>
      </c>
      <c r="AB797">
        <v>397.204</v>
      </c>
      <c r="AC797">
        <v>1.22518525976901</v>
      </c>
      <c r="AE797">
        <v>397.204</v>
      </c>
      <c r="AF797">
        <v>-2060.16216619477</v>
      </c>
      <c r="AG797">
        <v>-2095.39423028108</v>
      </c>
      <c r="AH797">
        <v>-2086.9324966453</v>
      </c>
      <c r="AI797">
        <v>-2048.07499575308</v>
      </c>
      <c r="AJ797">
        <v>-1943.60039102993</v>
      </c>
    </row>
    <row r="798" spans="20:36">
      <c r="T798">
        <v>397.703</v>
      </c>
      <c r="U798">
        <v>1.23433818489723</v>
      </c>
      <c r="V798">
        <v>397.703</v>
      </c>
      <c r="W798">
        <v>1.23444550281519</v>
      </c>
      <c r="X798">
        <v>397.703</v>
      </c>
      <c r="Y798">
        <v>1.2273480387278</v>
      </c>
      <c r="Z798">
        <v>397.703</v>
      </c>
      <c r="AA798">
        <v>1.24421940311336</v>
      </c>
      <c r="AB798">
        <v>397.703</v>
      </c>
      <c r="AC798">
        <v>1.2280640700802</v>
      </c>
      <c r="AE798">
        <v>397.703</v>
      </c>
      <c r="AF798">
        <v>-2005.36444655198</v>
      </c>
      <c r="AG798">
        <v>-2084.89014494536</v>
      </c>
      <c r="AH798">
        <v>-2048.28125440488</v>
      </c>
      <c r="AI798">
        <v>-2144.86715820605</v>
      </c>
      <c r="AJ798">
        <v>-2042.04914045329</v>
      </c>
    </row>
    <row r="799" spans="20:36">
      <c r="T799">
        <v>398.202</v>
      </c>
      <c r="U799">
        <v>1.22948129225629</v>
      </c>
      <c r="V799">
        <v>398.202</v>
      </c>
      <c r="W799">
        <v>1.22468650079827</v>
      </c>
      <c r="X799">
        <v>398.202</v>
      </c>
      <c r="Y799">
        <v>1.23136790884215</v>
      </c>
      <c r="Z799">
        <v>398.202</v>
      </c>
      <c r="AA799">
        <v>1.23796962313449</v>
      </c>
      <c r="AB799">
        <v>398.202</v>
      </c>
      <c r="AC799">
        <v>1.22308427297579</v>
      </c>
      <c r="AE799">
        <v>398.202</v>
      </c>
      <c r="AF799">
        <v>-1990.42889790959</v>
      </c>
      <c r="AG799">
        <v>-2048.0150863419</v>
      </c>
      <c r="AH799">
        <v>-1876.15490945975</v>
      </c>
      <c r="AI799">
        <v>-2080.50822433377</v>
      </c>
      <c r="AJ799">
        <v>-2040.39949651376</v>
      </c>
    </row>
    <row r="800" spans="20:36">
      <c r="T800">
        <v>398.701</v>
      </c>
      <c r="U800">
        <v>1.23595058200229</v>
      </c>
      <c r="V800">
        <v>398.701</v>
      </c>
      <c r="W800">
        <v>1.22996017012316</v>
      </c>
      <c r="X800">
        <v>398.701</v>
      </c>
      <c r="Y800">
        <v>1.22942999570202</v>
      </c>
      <c r="Z800">
        <v>398.701</v>
      </c>
      <c r="AA800">
        <v>1.23751334058927</v>
      </c>
      <c r="AB800">
        <v>398.701</v>
      </c>
      <c r="AC800">
        <v>1.22764010288399</v>
      </c>
      <c r="AE800">
        <v>398.701</v>
      </c>
      <c r="AF800">
        <v>-2085.41614440459</v>
      </c>
      <c r="AG800">
        <v>-2230.36774068492</v>
      </c>
      <c r="AH800">
        <v>-1963.86286619822</v>
      </c>
      <c r="AI800">
        <v>-2027.12746654981</v>
      </c>
      <c r="AJ800">
        <v>-1984.33784244785</v>
      </c>
    </row>
    <row r="801" spans="20:36">
      <c r="T801">
        <v>399.2</v>
      </c>
      <c r="U801">
        <v>1.22998274616061</v>
      </c>
      <c r="V801">
        <v>399.2</v>
      </c>
      <c r="W801">
        <v>1.23190561784284</v>
      </c>
      <c r="X801">
        <v>399.2</v>
      </c>
      <c r="Y801">
        <v>1.23266707636278</v>
      </c>
      <c r="Z801">
        <v>399.2</v>
      </c>
      <c r="AA801">
        <v>1.23625380595536</v>
      </c>
      <c r="AB801">
        <v>399.2</v>
      </c>
      <c r="AC801">
        <v>1.22989782336222</v>
      </c>
      <c r="AE801">
        <v>399.2</v>
      </c>
      <c r="AF801">
        <v>-1998.24968498682</v>
      </c>
      <c r="AG801">
        <v>-2107.7617126447</v>
      </c>
      <c r="AH801">
        <v>-2093.70148541027</v>
      </c>
      <c r="AI801">
        <v>-2005.47912913257</v>
      </c>
      <c r="AJ801">
        <v>-1969.1951579595</v>
      </c>
    </row>
    <row r="802" spans="20:36">
      <c r="T802">
        <v>399.699</v>
      </c>
      <c r="U802">
        <v>1.22527694623847</v>
      </c>
      <c r="V802">
        <v>399.699</v>
      </c>
      <c r="W802">
        <v>1.23017564609401</v>
      </c>
      <c r="X802">
        <v>399.699</v>
      </c>
      <c r="Y802">
        <v>1.23621618843421</v>
      </c>
      <c r="Z802">
        <v>399.699</v>
      </c>
      <c r="AA802">
        <v>1.24180033760175</v>
      </c>
      <c r="AB802">
        <v>399.699</v>
      </c>
      <c r="AC802">
        <v>1.23052646819759</v>
      </c>
      <c r="AE802">
        <v>399.699</v>
      </c>
      <c r="AF802">
        <v>-2041.74529268471</v>
      </c>
      <c r="AG802">
        <v>-1963.94427317276</v>
      </c>
      <c r="AH802">
        <v>-2084.66288231398</v>
      </c>
      <c r="AI802">
        <v>-2084.88522525711</v>
      </c>
      <c r="AJ802">
        <v>-1957.93017034986</v>
      </c>
    </row>
    <row r="803" spans="20:36">
      <c r="T803">
        <v>400.198</v>
      </c>
      <c r="U803">
        <v>1.22334739984915</v>
      </c>
      <c r="V803">
        <v>400.198</v>
      </c>
      <c r="W803">
        <v>1.22892986406249</v>
      </c>
      <c r="X803">
        <v>400.198</v>
      </c>
      <c r="Y803">
        <v>1.23158371782032</v>
      </c>
      <c r="Z803">
        <v>400.198</v>
      </c>
      <c r="AA803">
        <v>1.23706220067431</v>
      </c>
      <c r="AB803">
        <v>400.198</v>
      </c>
      <c r="AC803">
        <v>1.22857842045655</v>
      </c>
      <c r="AE803">
        <v>400.198</v>
      </c>
      <c r="AF803">
        <v>-2015.79997306615</v>
      </c>
      <c r="AG803">
        <v>-2027.90535770057</v>
      </c>
      <c r="AH803">
        <v>-2006.22951260411</v>
      </c>
      <c r="AI803">
        <v>-2166.47275068145</v>
      </c>
      <c r="AJ803">
        <v>-1952.93490742464</v>
      </c>
    </row>
    <row r="804" spans="20:36">
      <c r="T804">
        <v>400.697</v>
      </c>
      <c r="U804">
        <v>1.22455910119258</v>
      </c>
      <c r="V804">
        <v>400.697</v>
      </c>
      <c r="W804">
        <v>1.23365304312034</v>
      </c>
      <c r="X804">
        <v>400.697</v>
      </c>
      <c r="Y804">
        <v>1.22975637433169</v>
      </c>
      <c r="Z804">
        <v>400.697</v>
      </c>
      <c r="AA804">
        <v>1.233934144448</v>
      </c>
      <c r="AB804">
        <v>400.697</v>
      </c>
      <c r="AC804">
        <v>1.22498328192199</v>
      </c>
      <c r="AE804">
        <v>400.697</v>
      </c>
      <c r="AF804">
        <v>-1944.69913599705</v>
      </c>
      <c r="AG804">
        <v>-2141.08488133649</v>
      </c>
      <c r="AH804">
        <v>-1922.24623494276</v>
      </c>
      <c r="AI804">
        <v>-2062.76491542156</v>
      </c>
      <c r="AJ804">
        <v>-2031.49151648916</v>
      </c>
    </row>
    <row r="805" spans="20:36">
      <c r="T805">
        <v>401.196</v>
      </c>
      <c r="U805">
        <v>1.22246411518241</v>
      </c>
      <c r="V805">
        <v>401.196</v>
      </c>
      <c r="W805">
        <v>1.2378363420096</v>
      </c>
      <c r="X805">
        <v>401.196</v>
      </c>
      <c r="Y805">
        <v>1.2344350589192</v>
      </c>
      <c r="Z805">
        <v>401.196</v>
      </c>
      <c r="AA805">
        <v>1.23886072537409</v>
      </c>
      <c r="AB805">
        <v>401.196</v>
      </c>
      <c r="AC805">
        <v>1.22623081201171</v>
      </c>
      <c r="AE805">
        <v>401.196</v>
      </c>
      <c r="AF805">
        <v>-1974.54127922122</v>
      </c>
      <c r="AG805">
        <v>-2144.32480135907</v>
      </c>
      <c r="AH805">
        <v>-2057.2036299854</v>
      </c>
      <c r="AI805">
        <v>-1906.17966819902</v>
      </c>
      <c r="AJ805">
        <v>-2054.78461750835</v>
      </c>
    </row>
    <row r="806" spans="20:36">
      <c r="T806">
        <v>401.695</v>
      </c>
      <c r="U806">
        <v>1.22807938294747</v>
      </c>
      <c r="V806">
        <v>401.695</v>
      </c>
      <c r="W806">
        <v>1.23235894577784</v>
      </c>
      <c r="X806">
        <v>401.695</v>
      </c>
      <c r="Y806">
        <v>1.22595494624832</v>
      </c>
      <c r="Z806">
        <v>401.695</v>
      </c>
      <c r="AA806">
        <v>1.23763362249891</v>
      </c>
      <c r="AB806">
        <v>401.695</v>
      </c>
      <c r="AC806">
        <v>1.22867264349138</v>
      </c>
      <c r="AE806">
        <v>401.695</v>
      </c>
      <c r="AF806">
        <v>-2063.33673876126</v>
      </c>
      <c r="AG806">
        <v>-2058.45815867636</v>
      </c>
      <c r="AH806">
        <v>-2086.63612025369</v>
      </c>
      <c r="AI806">
        <v>-2067.65112556968</v>
      </c>
      <c r="AJ806">
        <v>-2062.63660861371</v>
      </c>
    </row>
    <row r="807" spans="20:36">
      <c r="T807">
        <v>402.194</v>
      </c>
      <c r="U807">
        <v>1.22797722333539</v>
      </c>
      <c r="V807">
        <v>402.194</v>
      </c>
      <c r="W807">
        <v>1.23485734217926</v>
      </c>
      <c r="X807">
        <v>402.194</v>
      </c>
      <c r="Y807">
        <v>1.23873584027143</v>
      </c>
      <c r="Z807">
        <v>402.194</v>
      </c>
      <c r="AA807">
        <v>1.2354832947143</v>
      </c>
      <c r="AB807">
        <v>402.194</v>
      </c>
      <c r="AC807">
        <v>1.23298927440504</v>
      </c>
      <c r="AE807">
        <v>402.194</v>
      </c>
      <c r="AF807">
        <v>-2069.04646606952</v>
      </c>
      <c r="AG807">
        <v>-2003.03482812657</v>
      </c>
      <c r="AH807">
        <v>-2012.66682864106</v>
      </c>
      <c r="AI807">
        <v>-2219.41837791201</v>
      </c>
      <c r="AJ807">
        <v>-2040.57071613283</v>
      </c>
    </row>
    <row r="808" spans="20:36">
      <c r="T808">
        <v>402.693</v>
      </c>
      <c r="U808">
        <v>1.22634515832567</v>
      </c>
      <c r="V808">
        <v>402.693</v>
      </c>
      <c r="W808">
        <v>1.22823173608772</v>
      </c>
      <c r="X808">
        <v>402.693</v>
      </c>
      <c r="Y808">
        <v>1.23390949679642</v>
      </c>
      <c r="Z808">
        <v>402.693</v>
      </c>
      <c r="AA808">
        <v>1.23694446724497</v>
      </c>
      <c r="AB808">
        <v>402.693</v>
      </c>
      <c r="AC808">
        <v>1.22701787880766</v>
      </c>
      <c r="AE808">
        <v>402.693</v>
      </c>
      <c r="AF808">
        <v>-2022.73597504203</v>
      </c>
      <c r="AG808">
        <v>-2061.46968626081</v>
      </c>
      <c r="AH808">
        <v>-1893.16939240741</v>
      </c>
      <c r="AI808">
        <v>-2141.645180792</v>
      </c>
      <c r="AJ808">
        <v>-1941.5027826775</v>
      </c>
    </row>
    <row r="809" spans="20:36">
      <c r="T809">
        <v>403.192</v>
      </c>
      <c r="U809">
        <v>1.23365870711374</v>
      </c>
      <c r="V809">
        <v>403.192</v>
      </c>
      <c r="W809">
        <v>1.23634743167125</v>
      </c>
      <c r="X809">
        <v>403.192</v>
      </c>
      <c r="Y809">
        <v>1.23146847968256</v>
      </c>
      <c r="Z809">
        <v>403.192</v>
      </c>
      <c r="AA809">
        <v>1.23879053388018</v>
      </c>
      <c r="AB809">
        <v>403.192</v>
      </c>
      <c r="AC809">
        <v>1.23198970890324</v>
      </c>
      <c r="AE809">
        <v>403.192</v>
      </c>
      <c r="AF809">
        <v>-1979.96732180301</v>
      </c>
      <c r="AG809">
        <v>-2282.44982939479</v>
      </c>
      <c r="AH809">
        <v>-1994.48410132252</v>
      </c>
      <c r="AI809">
        <v>-1964.47616147557</v>
      </c>
      <c r="AJ809">
        <v>-1994.25381110727</v>
      </c>
    </row>
    <row r="810" spans="20:36">
      <c r="T810">
        <v>403.691</v>
      </c>
      <c r="U810">
        <v>1.23150415448067</v>
      </c>
      <c r="V810">
        <v>403.691</v>
      </c>
      <c r="W810">
        <v>1.2304183245923</v>
      </c>
      <c r="X810">
        <v>403.691</v>
      </c>
      <c r="Y810">
        <v>1.23121388271497</v>
      </c>
      <c r="Z810">
        <v>403.691</v>
      </c>
      <c r="AA810">
        <v>1.24927765095629</v>
      </c>
      <c r="AB810">
        <v>403.691</v>
      </c>
      <c r="AC810">
        <v>1.22682304664319</v>
      </c>
      <c r="AE810">
        <v>403.691</v>
      </c>
      <c r="AF810">
        <v>-1953.47673523532</v>
      </c>
      <c r="AG810">
        <v>-2177.81290271062</v>
      </c>
      <c r="AH810">
        <v>-2029.05692652974</v>
      </c>
      <c r="AI810">
        <v>-2026.90287159126</v>
      </c>
      <c r="AJ810">
        <v>-2097.77649240811</v>
      </c>
    </row>
    <row r="811" spans="20:36">
      <c r="T811">
        <v>404.19</v>
      </c>
      <c r="U811">
        <v>1.23621928184992</v>
      </c>
      <c r="V811">
        <v>404.19</v>
      </c>
      <c r="W811">
        <v>1.22683792599121</v>
      </c>
      <c r="X811">
        <v>404.19</v>
      </c>
      <c r="Y811">
        <v>1.23406775297833</v>
      </c>
      <c r="Z811">
        <v>404.19</v>
      </c>
      <c r="AA811">
        <v>1.24098866643525</v>
      </c>
      <c r="AB811">
        <v>404.19</v>
      </c>
      <c r="AC811">
        <v>1.22854755513265</v>
      </c>
      <c r="AE811">
        <v>404.19</v>
      </c>
      <c r="AF811">
        <v>-2035.73877349937</v>
      </c>
      <c r="AG811">
        <v>-1970.07707558576</v>
      </c>
      <c r="AH811">
        <v>-1980.96482356012</v>
      </c>
      <c r="AI811">
        <v>-2141.51916176529</v>
      </c>
      <c r="AJ811">
        <v>-2036.372229889</v>
      </c>
    </row>
    <row r="812" spans="20:36">
      <c r="T812">
        <v>404.689</v>
      </c>
      <c r="U812">
        <v>1.23588125460613</v>
      </c>
      <c r="V812">
        <v>404.689</v>
      </c>
      <c r="W812">
        <v>1.22642636687237</v>
      </c>
      <c r="X812">
        <v>404.689</v>
      </c>
      <c r="Y812">
        <v>1.22648880318511</v>
      </c>
      <c r="Z812">
        <v>404.689</v>
      </c>
      <c r="AA812">
        <v>1.23849209346211</v>
      </c>
      <c r="AB812">
        <v>404.689</v>
      </c>
      <c r="AC812">
        <v>1.23320445959785</v>
      </c>
      <c r="AE812">
        <v>404.689</v>
      </c>
      <c r="AF812">
        <v>-2103.15292277547</v>
      </c>
      <c r="AG812">
        <v>-2060.72595127005</v>
      </c>
      <c r="AH812">
        <v>-1944.07874102668</v>
      </c>
      <c r="AI812">
        <v>-2133.77193244655</v>
      </c>
      <c r="AJ812">
        <v>-1930.70359628276</v>
      </c>
    </row>
    <row r="813" spans="20:36">
      <c r="T813">
        <v>405.188</v>
      </c>
      <c r="U813">
        <v>1.23487340162617</v>
      </c>
      <c r="V813">
        <v>405.188</v>
      </c>
      <c r="W813">
        <v>1.23635702321573</v>
      </c>
      <c r="X813">
        <v>405.188</v>
      </c>
      <c r="Y813">
        <v>1.229113632957</v>
      </c>
      <c r="Z813">
        <v>405.188</v>
      </c>
      <c r="AA813">
        <v>1.23580946626424</v>
      </c>
      <c r="AB813">
        <v>405.188</v>
      </c>
      <c r="AC813">
        <v>1.23164442134661</v>
      </c>
      <c r="AE813">
        <v>405.188</v>
      </c>
      <c r="AF813">
        <v>-2024.72570858443</v>
      </c>
      <c r="AG813">
        <v>-2147.70905586602</v>
      </c>
      <c r="AH813">
        <v>-2041.4864293529</v>
      </c>
      <c r="AI813">
        <v>-2071.51009217058</v>
      </c>
      <c r="AJ813">
        <v>-1950.99018580458</v>
      </c>
    </row>
    <row r="814" spans="20:36">
      <c r="T814">
        <v>405.687</v>
      </c>
      <c r="U814">
        <v>1.23343526246873</v>
      </c>
      <c r="V814">
        <v>405.687</v>
      </c>
      <c r="W814">
        <v>1.23086005843034</v>
      </c>
      <c r="X814">
        <v>405.687</v>
      </c>
      <c r="Y814">
        <v>1.23467386490347</v>
      </c>
      <c r="Z814">
        <v>405.687</v>
      </c>
      <c r="AA814">
        <v>1.23685830232045</v>
      </c>
      <c r="AB814">
        <v>405.687</v>
      </c>
      <c r="AC814">
        <v>1.23484450784352</v>
      </c>
      <c r="AE814">
        <v>405.687</v>
      </c>
      <c r="AF814">
        <v>-2015.97713023245</v>
      </c>
      <c r="AG814">
        <v>-2202.01579524023</v>
      </c>
      <c r="AH814">
        <v>-2021.49748046177</v>
      </c>
      <c r="AI814">
        <v>-2015.93582185858</v>
      </c>
      <c r="AJ814">
        <v>-2019.74482742974</v>
      </c>
    </row>
    <row r="815" spans="20:36">
      <c r="T815">
        <v>406.186</v>
      </c>
      <c r="U815">
        <v>1.23533557836173</v>
      </c>
      <c r="V815">
        <v>406.186</v>
      </c>
      <c r="W815">
        <v>1.23880392936469</v>
      </c>
      <c r="X815">
        <v>406.186</v>
      </c>
      <c r="Y815">
        <v>1.22971204917399</v>
      </c>
      <c r="Z815">
        <v>406.186</v>
      </c>
      <c r="AA815">
        <v>1.2428658269615</v>
      </c>
      <c r="AB815">
        <v>406.186</v>
      </c>
      <c r="AC815">
        <v>1.22541664855151</v>
      </c>
      <c r="AE815">
        <v>406.186</v>
      </c>
      <c r="AF815">
        <v>-2087.88701179142</v>
      </c>
      <c r="AG815">
        <v>-2263.25252850081</v>
      </c>
      <c r="AH815">
        <v>-1993.54239465967</v>
      </c>
      <c r="AI815">
        <v>-2072.77784755437</v>
      </c>
      <c r="AJ815">
        <v>-2061.17204951655</v>
      </c>
    </row>
    <row r="816" spans="20:36">
      <c r="T816">
        <v>406.685</v>
      </c>
      <c r="U816">
        <v>1.23476177159423</v>
      </c>
      <c r="V816">
        <v>406.685</v>
      </c>
      <c r="W816">
        <v>1.22871586839426</v>
      </c>
      <c r="X816">
        <v>406.685</v>
      </c>
      <c r="Y816">
        <v>1.23476782533404</v>
      </c>
      <c r="Z816">
        <v>406.685</v>
      </c>
      <c r="AA816">
        <v>1.24164500380958</v>
      </c>
      <c r="AB816">
        <v>406.685</v>
      </c>
      <c r="AC816">
        <v>1.23409018434009</v>
      </c>
      <c r="AE816">
        <v>406.685</v>
      </c>
      <c r="AF816">
        <v>-2127.6771330819</v>
      </c>
      <c r="AG816">
        <v>-2020.26871761749</v>
      </c>
      <c r="AH816">
        <v>-1957.52882717542</v>
      </c>
      <c r="AI816">
        <v>-2072.72820646106</v>
      </c>
      <c r="AJ816">
        <v>-1999.65583828386</v>
      </c>
    </row>
    <row r="817" spans="20:36">
      <c r="T817">
        <v>407.184</v>
      </c>
      <c r="U817">
        <v>1.22715922418751</v>
      </c>
      <c r="V817">
        <v>407.184</v>
      </c>
      <c r="W817">
        <v>1.23556145941721</v>
      </c>
      <c r="X817">
        <v>407.184</v>
      </c>
      <c r="Y817">
        <v>1.23546982434784</v>
      </c>
      <c r="Z817">
        <v>407.184</v>
      </c>
      <c r="AA817">
        <v>1.24020471140394</v>
      </c>
      <c r="AB817">
        <v>407.184</v>
      </c>
      <c r="AC817">
        <v>1.22844692179924</v>
      </c>
      <c r="AE817">
        <v>407.184</v>
      </c>
      <c r="AF817">
        <v>-2009.8256036479</v>
      </c>
      <c r="AG817">
        <v>-1905.29576366681</v>
      </c>
      <c r="AH817">
        <v>-2067.24456409658</v>
      </c>
      <c r="AI817">
        <v>-2052.97883544655</v>
      </c>
      <c r="AJ817">
        <v>-1918.02110554007</v>
      </c>
    </row>
    <row r="818" spans="20:36">
      <c r="T818">
        <v>407.683</v>
      </c>
      <c r="U818">
        <v>1.22975727881787</v>
      </c>
      <c r="V818">
        <v>407.683</v>
      </c>
      <c r="W818">
        <v>1.24057140405408</v>
      </c>
      <c r="X818">
        <v>407.683</v>
      </c>
      <c r="Y818">
        <v>1.23255014499328</v>
      </c>
      <c r="Z818">
        <v>407.683</v>
      </c>
      <c r="AA818">
        <v>1.24254931197291</v>
      </c>
      <c r="AB818">
        <v>407.683</v>
      </c>
      <c r="AC818">
        <v>1.22844810513142</v>
      </c>
      <c r="AE818">
        <v>407.683</v>
      </c>
      <c r="AF818">
        <v>-1947.95994402851</v>
      </c>
      <c r="AG818">
        <v>-2163.94417451798</v>
      </c>
      <c r="AH818">
        <v>-2099.78582484367</v>
      </c>
      <c r="AI818">
        <v>-1999.1299043443</v>
      </c>
      <c r="AJ818">
        <v>-1874.31007501395</v>
      </c>
    </row>
    <row r="819" spans="20:36">
      <c r="T819">
        <v>408.182</v>
      </c>
      <c r="U819">
        <v>1.22981079883583</v>
      </c>
      <c r="V819">
        <v>408.182</v>
      </c>
      <c r="W819">
        <v>1.23946459568364</v>
      </c>
      <c r="X819">
        <v>408.182</v>
      </c>
      <c r="Y819">
        <v>1.23322412745629</v>
      </c>
      <c r="Z819">
        <v>408.182</v>
      </c>
      <c r="AA819">
        <v>1.23385253853632</v>
      </c>
      <c r="AB819">
        <v>408.182</v>
      </c>
      <c r="AC819">
        <v>1.23046171491919</v>
      </c>
      <c r="AE819">
        <v>408.182</v>
      </c>
      <c r="AF819">
        <v>-2010.42573189221</v>
      </c>
      <c r="AG819">
        <v>-2407.80335834277</v>
      </c>
      <c r="AH819">
        <v>-2014.25082250517</v>
      </c>
      <c r="AI819">
        <v>-2040.35777859338</v>
      </c>
      <c r="AJ819">
        <v>-2094.53573276862</v>
      </c>
    </row>
    <row r="820" spans="20:36">
      <c r="T820">
        <v>408.681</v>
      </c>
      <c r="U820">
        <v>1.23112420047109</v>
      </c>
      <c r="V820">
        <v>408.681</v>
      </c>
      <c r="W820">
        <v>1.2280066138444</v>
      </c>
      <c r="X820">
        <v>408.681</v>
      </c>
      <c r="Y820">
        <v>1.23092313961907</v>
      </c>
      <c r="Z820">
        <v>408.681</v>
      </c>
      <c r="AA820">
        <v>1.23597188144127</v>
      </c>
      <c r="AB820">
        <v>408.681</v>
      </c>
      <c r="AC820">
        <v>1.21745909360828</v>
      </c>
      <c r="AE820">
        <v>408.681</v>
      </c>
      <c r="AF820">
        <v>-2033.48231937565</v>
      </c>
      <c r="AG820">
        <v>-2111.18762784775</v>
      </c>
      <c r="AH820">
        <v>-1899.2722795506</v>
      </c>
      <c r="AI820">
        <v>-2014.39310972487</v>
      </c>
      <c r="AJ820">
        <v>-2089.72263732423</v>
      </c>
    </row>
    <row r="821" spans="20:36">
      <c r="T821">
        <v>409.18</v>
      </c>
      <c r="U821">
        <v>1.22662957496686</v>
      </c>
      <c r="V821">
        <v>409.18</v>
      </c>
      <c r="W821">
        <v>1.23021969497479</v>
      </c>
      <c r="X821">
        <v>409.18</v>
      </c>
      <c r="Y821">
        <v>1.23430057310633</v>
      </c>
      <c r="Z821">
        <v>409.18</v>
      </c>
      <c r="AA821">
        <v>1.24087405817766</v>
      </c>
      <c r="AB821">
        <v>409.18</v>
      </c>
      <c r="AC821">
        <v>1.22948402266636</v>
      </c>
      <c r="AE821">
        <v>409.18</v>
      </c>
      <c r="AF821">
        <v>-2016.17226507929</v>
      </c>
      <c r="AG821">
        <v>-1875.97857757848</v>
      </c>
      <c r="AH821">
        <v>-1910.99856027067</v>
      </c>
      <c r="AI821">
        <v>-2031.78084927491</v>
      </c>
      <c r="AJ821">
        <v>-2026.67447555449</v>
      </c>
    </row>
    <row r="822" spans="20:36">
      <c r="T822">
        <v>409.679</v>
      </c>
      <c r="U822">
        <v>1.23409392340774</v>
      </c>
      <c r="V822">
        <v>409.679</v>
      </c>
      <c r="W822">
        <v>1.24276953308631</v>
      </c>
      <c r="X822">
        <v>409.679</v>
      </c>
      <c r="Y822">
        <v>1.2310118248667</v>
      </c>
      <c r="Z822">
        <v>409.679</v>
      </c>
      <c r="AA822">
        <v>1.23502714234891</v>
      </c>
      <c r="AB822">
        <v>409.679</v>
      </c>
      <c r="AC822">
        <v>1.22000220985281</v>
      </c>
      <c r="AE822">
        <v>409.679</v>
      </c>
      <c r="AF822">
        <v>-2082.351293108</v>
      </c>
      <c r="AG822">
        <v>-2098.33238618962</v>
      </c>
      <c r="AH822">
        <v>-2113.54688430526</v>
      </c>
      <c r="AI822">
        <v>-2153.10775415437</v>
      </c>
      <c r="AJ822">
        <v>-1922.39360035892</v>
      </c>
    </row>
    <row r="823" spans="20:36">
      <c r="T823">
        <v>410.178</v>
      </c>
      <c r="U823">
        <v>1.22748396889536</v>
      </c>
      <c r="V823">
        <v>410.178</v>
      </c>
      <c r="W823">
        <v>1.23872995655461</v>
      </c>
      <c r="X823">
        <v>410.178</v>
      </c>
      <c r="Y823">
        <v>1.23060285836727</v>
      </c>
      <c r="Z823">
        <v>410.178</v>
      </c>
      <c r="AA823">
        <v>1.23536386852902</v>
      </c>
      <c r="AB823">
        <v>410.178</v>
      </c>
      <c r="AC823">
        <v>1.22609718054733</v>
      </c>
      <c r="AE823">
        <v>410.178</v>
      </c>
      <c r="AF823">
        <v>-2061.36138318258</v>
      </c>
      <c r="AG823">
        <v>-2221.82133422453</v>
      </c>
      <c r="AH823">
        <v>-2094.94325518217</v>
      </c>
      <c r="AI823">
        <v>-2132.86090874146</v>
      </c>
      <c r="AJ823">
        <v>-1963.20812217289</v>
      </c>
    </row>
    <row r="824" spans="20:36">
      <c r="T824">
        <v>410.677</v>
      </c>
      <c r="U824">
        <v>1.23114940224273</v>
      </c>
      <c r="V824">
        <v>410.677</v>
      </c>
      <c r="W824">
        <v>1.23138785561134</v>
      </c>
      <c r="X824">
        <v>410.677</v>
      </c>
      <c r="Y824">
        <v>1.23297901704757</v>
      </c>
      <c r="Z824">
        <v>410.677</v>
      </c>
      <c r="AA824">
        <v>1.23467561019082</v>
      </c>
      <c r="AB824">
        <v>410.677</v>
      </c>
      <c r="AC824">
        <v>1.22426624129934</v>
      </c>
      <c r="AE824">
        <v>410.677</v>
      </c>
      <c r="AF824">
        <v>-1982.19405711449</v>
      </c>
      <c r="AG824">
        <v>-2183.76557708615</v>
      </c>
      <c r="AH824">
        <v>-1933.36187231576</v>
      </c>
      <c r="AI824">
        <v>-2019.30520293042</v>
      </c>
      <c r="AJ824">
        <v>-1978.47511468428</v>
      </c>
    </row>
    <row r="825" spans="20:36">
      <c r="T825">
        <v>411.176</v>
      </c>
      <c r="U825">
        <v>1.22691373805163</v>
      </c>
      <c r="V825">
        <v>411.176</v>
      </c>
      <c r="W825">
        <v>1.23813390728904</v>
      </c>
      <c r="X825">
        <v>411.176</v>
      </c>
      <c r="Y825">
        <v>1.22765904439134</v>
      </c>
      <c r="Z825">
        <v>411.176</v>
      </c>
      <c r="AA825">
        <v>1.23577575805817</v>
      </c>
      <c r="AB825">
        <v>411.176</v>
      </c>
      <c r="AC825">
        <v>1.22568471980484</v>
      </c>
      <c r="AE825">
        <v>411.176</v>
      </c>
      <c r="AF825">
        <v>-1975.84869053415</v>
      </c>
      <c r="AG825">
        <v>-2081.50103383389</v>
      </c>
      <c r="AH825">
        <v>-1866.458381297</v>
      </c>
      <c r="AI825">
        <v>-2035.06407606242</v>
      </c>
      <c r="AJ825">
        <v>-1965.41079520478</v>
      </c>
    </row>
    <row r="826" spans="20:36">
      <c r="T826">
        <v>411.675</v>
      </c>
      <c r="U826">
        <v>1.23101561664336</v>
      </c>
      <c r="V826">
        <v>411.675</v>
      </c>
      <c r="W826">
        <v>1.23546048281562</v>
      </c>
      <c r="X826">
        <v>411.675</v>
      </c>
      <c r="Y826">
        <v>1.23225358736898</v>
      </c>
      <c r="Z826">
        <v>411.675</v>
      </c>
      <c r="AA826">
        <v>1.23435588420678</v>
      </c>
      <c r="AB826">
        <v>411.675</v>
      </c>
      <c r="AC826">
        <v>1.22483923826929</v>
      </c>
      <c r="AE826">
        <v>411.675</v>
      </c>
      <c r="AF826">
        <v>-2054.52412942548</v>
      </c>
      <c r="AG826">
        <v>-2117.19803696158</v>
      </c>
      <c r="AH826">
        <v>-1940.96761857114</v>
      </c>
      <c r="AI826">
        <v>-2004.7579686835</v>
      </c>
      <c r="AJ826">
        <v>-1917.48518887467</v>
      </c>
    </row>
    <row r="827" spans="20:36">
      <c r="T827">
        <v>412.174</v>
      </c>
      <c r="U827">
        <v>1.2308520791148</v>
      </c>
      <c r="V827">
        <v>412.174</v>
      </c>
      <c r="W827">
        <v>1.24059596198121</v>
      </c>
      <c r="X827">
        <v>412.174</v>
      </c>
      <c r="Y827">
        <v>1.22956231027581</v>
      </c>
      <c r="Z827">
        <v>412.174</v>
      </c>
      <c r="AA827">
        <v>1.23586124304202</v>
      </c>
      <c r="AB827">
        <v>412.174</v>
      </c>
      <c r="AC827">
        <v>1.22796099254746</v>
      </c>
      <c r="AE827">
        <v>412.174</v>
      </c>
      <c r="AF827">
        <v>-2126.56148637562</v>
      </c>
      <c r="AG827">
        <v>-2184.95828260916</v>
      </c>
      <c r="AH827">
        <v>-2061.65750692014</v>
      </c>
      <c r="AI827">
        <v>-1972.43692152092</v>
      </c>
      <c r="AJ827">
        <v>-2049.91048286629</v>
      </c>
    </row>
    <row r="828" spans="20:36">
      <c r="T828">
        <v>412.673</v>
      </c>
      <c r="U828">
        <v>1.23041035655643</v>
      </c>
      <c r="V828">
        <v>412.673</v>
      </c>
      <c r="W828">
        <v>1.23380852572075</v>
      </c>
      <c r="X828">
        <v>412.673</v>
      </c>
      <c r="Y828">
        <v>1.23154055528887</v>
      </c>
      <c r="Z828">
        <v>412.673</v>
      </c>
      <c r="AA828">
        <v>1.2393987221148</v>
      </c>
      <c r="AB828">
        <v>412.673</v>
      </c>
      <c r="AC828">
        <v>1.22316280509132</v>
      </c>
      <c r="AE828">
        <v>412.673</v>
      </c>
      <c r="AF828">
        <v>-2046.55006750461</v>
      </c>
      <c r="AG828">
        <v>-2157.61323228011</v>
      </c>
      <c r="AH828">
        <v>-2099.29062613808</v>
      </c>
      <c r="AI828">
        <v>-2067.11723559051</v>
      </c>
      <c r="AJ828">
        <v>-2117.98595666905</v>
      </c>
    </row>
    <row r="829" spans="20:36">
      <c r="T829">
        <v>413.172</v>
      </c>
      <c r="U829">
        <v>1.2280745578752</v>
      </c>
      <c r="V829">
        <v>413.172</v>
      </c>
      <c r="W829">
        <v>1.23950056491643</v>
      </c>
      <c r="X829">
        <v>413.172</v>
      </c>
      <c r="Y829">
        <v>1.22101281746814</v>
      </c>
      <c r="Z829">
        <v>413.172</v>
      </c>
      <c r="AA829">
        <v>1.23802297789288</v>
      </c>
      <c r="AB829">
        <v>413.172</v>
      </c>
      <c r="AC829">
        <v>1.22909443122682</v>
      </c>
      <c r="AE829">
        <v>413.172</v>
      </c>
      <c r="AF829">
        <v>-1915.67907654014</v>
      </c>
      <c r="AG829">
        <v>-2161.91437908053</v>
      </c>
      <c r="AH829">
        <v>-1948.82638099497</v>
      </c>
      <c r="AI829">
        <v>-2011.28857497566</v>
      </c>
      <c r="AJ829">
        <v>-1984.19823096088</v>
      </c>
    </row>
    <row r="830" spans="20:36">
      <c r="T830">
        <v>413.671</v>
      </c>
      <c r="U830">
        <v>1.23214595831935</v>
      </c>
      <c r="V830">
        <v>413.671</v>
      </c>
      <c r="W830">
        <v>1.23929264929725</v>
      </c>
      <c r="X830">
        <v>413.671</v>
      </c>
      <c r="Y830">
        <v>1.23186929791225</v>
      </c>
      <c r="Z830">
        <v>413.671</v>
      </c>
      <c r="AA830">
        <v>1.23103734084375</v>
      </c>
      <c r="AB830">
        <v>413.671</v>
      </c>
      <c r="AC830">
        <v>1.23251900207767</v>
      </c>
      <c r="AE830">
        <v>413.671</v>
      </c>
      <c r="AF830">
        <v>-1940.86802847743</v>
      </c>
      <c r="AG830">
        <v>-2047.32851393124</v>
      </c>
      <c r="AH830">
        <v>-1889.55372112172</v>
      </c>
      <c r="AI830">
        <v>-1970.42033067354</v>
      </c>
      <c r="AJ830">
        <v>-1946.54304528174</v>
      </c>
    </row>
    <row r="831" spans="20:36">
      <c r="T831">
        <v>414.17</v>
      </c>
      <c r="U831">
        <v>1.24000676370531</v>
      </c>
      <c r="V831">
        <v>414.17</v>
      </c>
      <c r="W831">
        <v>1.22664923762877</v>
      </c>
      <c r="X831">
        <v>414.17</v>
      </c>
      <c r="Y831">
        <v>1.22892398609585</v>
      </c>
      <c r="Z831">
        <v>414.17</v>
      </c>
      <c r="AA831">
        <v>1.23726003253384</v>
      </c>
      <c r="AB831">
        <v>414.17</v>
      </c>
      <c r="AC831">
        <v>1.22603912297311</v>
      </c>
      <c r="AE831">
        <v>414.17</v>
      </c>
      <c r="AF831">
        <v>-2085.94289750466</v>
      </c>
      <c r="AG831">
        <v>-2032.39117539513</v>
      </c>
      <c r="AH831">
        <v>-1922.25128430901</v>
      </c>
      <c r="AI831">
        <v>-2040.48303007348</v>
      </c>
      <c r="AJ831">
        <v>-2012.81564279471</v>
      </c>
    </row>
    <row r="832" spans="20:36">
      <c r="T832">
        <v>414.669</v>
      </c>
      <c r="U832">
        <v>1.23035660155422</v>
      </c>
      <c r="V832">
        <v>414.669</v>
      </c>
      <c r="W832">
        <v>1.2322266761518</v>
      </c>
      <c r="X832">
        <v>414.669</v>
      </c>
      <c r="Y832">
        <v>1.22877670643376</v>
      </c>
      <c r="Z832">
        <v>414.669</v>
      </c>
      <c r="AA832">
        <v>1.24128356421932</v>
      </c>
      <c r="AB832">
        <v>414.669</v>
      </c>
      <c r="AC832">
        <v>1.23405654495819</v>
      </c>
      <c r="AE832">
        <v>414.669</v>
      </c>
      <c r="AF832">
        <v>-2058.75399167783</v>
      </c>
      <c r="AG832">
        <v>-2126.50868842501</v>
      </c>
      <c r="AH832">
        <v>-2051.8732617418</v>
      </c>
      <c r="AI832">
        <v>-2223.72211263204</v>
      </c>
      <c r="AJ832">
        <v>-2148.53773394964</v>
      </c>
    </row>
    <row r="833" spans="20:36">
      <c r="T833">
        <v>415.168</v>
      </c>
      <c r="U833">
        <v>1.23683518844917</v>
      </c>
      <c r="V833">
        <v>415.168</v>
      </c>
      <c r="W833">
        <v>1.23302502956861</v>
      </c>
      <c r="X833">
        <v>415.168</v>
      </c>
      <c r="Y833">
        <v>1.23095514682077</v>
      </c>
      <c r="Z833">
        <v>415.168</v>
      </c>
      <c r="AA833">
        <v>1.2319793294631</v>
      </c>
      <c r="AB833">
        <v>415.168</v>
      </c>
      <c r="AC833">
        <v>1.22605506302814</v>
      </c>
      <c r="AE833">
        <v>415.168</v>
      </c>
      <c r="AF833">
        <v>-2028.77696302416</v>
      </c>
      <c r="AG833">
        <v>-2119.00084828954</v>
      </c>
      <c r="AH833">
        <v>-2039.66401372092</v>
      </c>
      <c r="AI833">
        <v>-2079.97913152479</v>
      </c>
      <c r="AJ833">
        <v>-2130.84859834799</v>
      </c>
    </row>
    <row r="834" spans="20:36">
      <c r="T834">
        <v>415.667</v>
      </c>
      <c r="U834">
        <v>1.22565624949312</v>
      </c>
      <c r="V834">
        <v>415.667</v>
      </c>
      <c r="W834">
        <v>1.23042141841955</v>
      </c>
      <c r="X834">
        <v>415.667</v>
      </c>
      <c r="Y834">
        <v>1.22708022736081</v>
      </c>
      <c r="Z834">
        <v>415.667</v>
      </c>
      <c r="AA834">
        <v>1.23929239083988</v>
      </c>
      <c r="AB834">
        <v>415.667</v>
      </c>
      <c r="AC834">
        <v>1.22879028524576</v>
      </c>
      <c r="AE834">
        <v>415.667</v>
      </c>
      <c r="AF834">
        <v>-1867.85729884656</v>
      </c>
      <c r="AG834">
        <v>-2089.95749597462</v>
      </c>
      <c r="AH834">
        <v>-1969.26916432314</v>
      </c>
      <c r="AI834">
        <v>-1895.37062424078</v>
      </c>
      <c r="AJ834">
        <v>-1971.74150869056</v>
      </c>
    </row>
    <row r="835" spans="20:36">
      <c r="T835">
        <v>416.166</v>
      </c>
      <c r="U835">
        <v>1.2274320700176</v>
      </c>
      <c r="V835">
        <v>416.166</v>
      </c>
      <c r="W835">
        <v>1.22938849958385</v>
      </c>
      <c r="X835">
        <v>416.166</v>
      </c>
      <c r="Y835">
        <v>1.22493597090105</v>
      </c>
      <c r="Z835">
        <v>416.166</v>
      </c>
      <c r="AA835">
        <v>1.23790207722646</v>
      </c>
      <c r="AB835">
        <v>416.166</v>
      </c>
      <c r="AC835">
        <v>1.22648364365367</v>
      </c>
      <c r="AE835">
        <v>416.166</v>
      </c>
      <c r="AF835">
        <v>-1991.911485263</v>
      </c>
      <c r="AG835">
        <v>-2137.09293700115</v>
      </c>
      <c r="AH835">
        <v>-1908.94269230605</v>
      </c>
      <c r="AI835">
        <v>-1947.9140684532</v>
      </c>
      <c r="AJ835">
        <v>-1841.2638792651</v>
      </c>
    </row>
    <row r="836" spans="20:36">
      <c r="T836">
        <v>416.665</v>
      </c>
      <c r="U836">
        <v>1.22395852362318</v>
      </c>
      <c r="V836">
        <v>416.665</v>
      </c>
      <c r="W836">
        <v>1.23692760567379</v>
      </c>
      <c r="X836">
        <v>416.665</v>
      </c>
      <c r="Y836">
        <v>1.22785488535524</v>
      </c>
      <c r="Z836">
        <v>416.665</v>
      </c>
      <c r="AA836">
        <v>1.23592580334061</v>
      </c>
      <c r="AB836">
        <v>416.665</v>
      </c>
      <c r="AC836">
        <v>1.23176864829892</v>
      </c>
      <c r="AE836">
        <v>416.665</v>
      </c>
      <c r="AF836">
        <v>-2058.7431474763</v>
      </c>
      <c r="AG836">
        <v>-2079.70586469251</v>
      </c>
      <c r="AH836">
        <v>-1911.72812524018</v>
      </c>
      <c r="AI836">
        <v>-2159.88829203387</v>
      </c>
      <c r="AJ836">
        <v>-1935.45658410386</v>
      </c>
    </row>
    <row r="837" spans="20:36">
      <c r="T837">
        <v>417.164</v>
      </c>
      <c r="U837">
        <v>1.23196086032937</v>
      </c>
      <c r="V837">
        <v>417.164</v>
      </c>
      <c r="W837">
        <v>1.22951295964102</v>
      </c>
      <c r="X837">
        <v>417.164</v>
      </c>
      <c r="Y837">
        <v>1.22303226351634</v>
      </c>
      <c r="Z837">
        <v>417.164</v>
      </c>
      <c r="AA837">
        <v>1.23666324770046</v>
      </c>
      <c r="AB837">
        <v>417.164</v>
      </c>
      <c r="AC837">
        <v>1.22570972978411</v>
      </c>
      <c r="AE837">
        <v>417.164</v>
      </c>
      <c r="AF837">
        <v>-2103.57371096362</v>
      </c>
      <c r="AG837">
        <v>-2067.59233738382</v>
      </c>
      <c r="AH837">
        <v>-2039.90684349001</v>
      </c>
      <c r="AI837">
        <v>-2158.68203771904</v>
      </c>
      <c r="AJ837">
        <v>-2105.59420477984</v>
      </c>
    </row>
    <row r="838" spans="20:36">
      <c r="T838">
        <v>417.663</v>
      </c>
      <c r="U838">
        <v>1.22672273877958</v>
      </c>
      <c r="V838">
        <v>417.663</v>
      </c>
      <c r="W838">
        <v>1.22214124839333</v>
      </c>
      <c r="X838">
        <v>417.663</v>
      </c>
      <c r="Y838">
        <v>1.23020915653443</v>
      </c>
      <c r="Z838">
        <v>417.663</v>
      </c>
      <c r="AA838">
        <v>1.23216161322045</v>
      </c>
      <c r="AB838">
        <v>417.663</v>
      </c>
      <c r="AC838">
        <v>1.22735361571796</v>
      </c>
      <c r="AE838">
        <v>417.663</v>
      </c>
      <c r="AF838">
        <v>-1944.46770958907</v>
      </c>
      <c r="AG838">
        <v>-2046.24985324995</v>
      </c>
      <c r="AH838">
        <v>-2094.67610860198</v>
      </c>
      <c r="AI838">
        <v>-2031.41400881497</v>
      </c>
      <c r="AJ838">
        <v>-2126.67386688129</v>
      </c>
    </row>
    <row r="839" spans="20:36">
      <c r="T839">
        <v>418.162</v>
      </c>
      <c r="U839">
        <v>1.22569915201068</v>
      </c>
      <c r="V839">
        <v>418.162</v>
      </c>
      <c r="W839">
        <v>1.22596988809611</v>
      </c>
      <c r="X839">
        <v>418.162</v>
      </c>
      <c r="Y839">
        <v>1.22117360642119</v>
      </c>
      <c r="Z839">
        <v>418.162</v>
      </c>
      <c r="AA839">
        <v>1.23268450661652</v>
      </c>
      <c r="AB839">
        <v>418.162</v>
      </c>
      <c r="AC839">
        <v>1.23520909996215</v>
      </c>
      <c r="AE839">
        <v>418.162</v>
      </c>
      <c r="AF839">
        <v>-1883.55986802659</v>
      </c>
      <c r="AG839">
        <v>-2138.23231700578</v>
      </c>
      <c r="AH839">
        <v>-1873.58360436044</v>
      </c>
      <c r="AI839">
        <v>-1979.63145097776</v>
      </c>
      <c r="AJ839">
        <v>-2077.56216353692</v>
      </c>
    </row>
    <row r="840" spans="20:36">
      <c r="T840">
        <v>418.661</v>
      </c>
      <c r="U840">
        <v>1.23468656685388</v>
      </c>
      <c r="V840">
        <v>418.661</v>
      </c>
      <c r="W840">
        <v>1.23175416880518</v>
      </c>
      <c r="X840">
        <v>418.661</v>
      </c>
      <c r="Y840">
        <v>1.22852954789219</v>
      </c>
      <c r="Z840">
        <v>418.661</v>
      </c>
      <c r="AA840">
        <v>1.23149830856941</v>
      </c>
      <c r="AB840">
        <v>418.661</v>
      </c>
      <c r="AC840">
        <v>1.23142257276072</v>
      </c>
      <c r="AE840">
        <v>418.661</v>
      </c>
      <c r="AF840">
        <v>-2023.62004612007</v>
      </c>
      <c r="AG840">
        <v>-2130.87059902232</v>
      </c>
      <c r="AH840">
        <v>-1882.15144007597</v>
      </c>
      <c r="AI840">
        <v>-1978.55725386425</v>
      </c>
      <c r="AJ840">
        <v>-1954.97010535291</v>
      </c>
    </row>
    <row r="841" spans="20:36">
      <c r="T841">
        <v>419.16</v>
      </c>
      <c r="U841">
        <v>1.23534761474949</v>
      </c>
      <c r="V841">
        <v>419.16</v>
      </c>
      <c r="W841">
        <v>1.2202595161154</v>
      </c>
      <c r="X841">
        <v>419.16</v>
      </c>
      <c r="Y841">
        <v>1.22471274155269</v>
      </c>
      <c r="Z841">
        <v>419.16</v>
      </c>
      <c r="AA841">
        <v>1.22795722860728</v>
      </c>
      <c r="AB841">
        <v>419.16</v>
      </c>
      <c r="AC841">
        <v>1.22870125436919</v>
      </c>
      <c r="AE841">
        <v>419.16</v>
      </c>
      <c r="AF841">
        <v>-2118.7808526351</v>
      </c>
      <c r="AG841">
        <v>-2077.74696123691</v>
      </c>
      <c r="AH841">
        <v>-2040.75513526908</v>
      </c>
      <c r="AI841">
        <v>-2013.23568417636</v>
      </c>
      <c r="AJ841">
        <v>-1916.51261382172</v>
      </c>
    </row>
    <row r="842" spans="20:36">
      <c r="T842">
        <v>419.659</v>
      </c>
      <c r="U842">
        <v>1.23413120824145</v>
      </c>
      <c r="V842">
        <v>419.659</v>
      </c>
      <c r="W842">
        <v>1.21623582881949</v>
      </c>
      <c r="X842">
        <v>419.659</v>
      </c>
      <c r="Y842">
        <v>1.22566411814426</v>
      </c>
      <c r="Z842">
        <v>419.659</v>
      </c>
      <c r="AA842">
        <v>1.23060586657745</v>
      </c>
      <c r="AB842">
        <v>419.659</v>
      </c>
      <c r="AC842">
        <v>1.23571491392642</v>
      </c>
      <c r="AE842">
        <v>419.659</v>
      </c>
      <c r="AF842">
        <v>-2128.35545632637</v>
      </c>
      <c r="AG842">
        <v>-2042.64636247202</v>
      </c>
      <c r="AH842">
        <v>-2066.35737847308</v>
      </c>
      <c r="AI842">
        <v>-2084.5820976635</v>
      </c>
      <c r="AJ842">
        <v>-2014.25982167088</v>
      </c>
    </row>
    <row r="843" spans="20:36">
      <c r="T843">
        <v>420.158</v>
      </c>
      <c r="U843">
        <v>1.23944418057939</v>
      </c>
      <c r="V843">
        <v>420.158</v>
      </c>
      <c r="W843">
        <v>1.22340391803662</v>
      </c>
      <c r="X843">
        <v>420.158</v>
      </c>
      <c r="Y843">
        <v>1.22169209336873</v>
      </c>
      <c r="Z843">
        <v>420.158</v>
      </c>
      <c r="AA843">
        <v>1.23091744233047</v>
      </c>
      <c r="AB843">
        <v>420.158</v>
      </c>
      <c r="AC843">
        <v>1.23649469730146</v>
      </c>
      <c r="AE843">
        <v>420.158</v>
      </c>
      <c r="AF843">
        <v>-1894.18140232044</v>
      </c>
      <c r="AG843">
        <v>-2092.52699575491</v>
      </c>
      <c r="AH843">
        <v>-2031.7056035837</v>
      </c>
      <c r="AI843">
        <v>-2073.18389421221</v>
      </c>
      <c r="AJ843">
        <v>-2191.88145426017</v>
      </c>
    </row>
    <row r="844" spans="20:36">
      <c r="T844">
        <v>420.657</v>
      </c>
      <c r="U844">
        <v>1.23433659885405</v>
      </c>
      <c r="V844">
        <v>420.657</v>
      </c>
      <c r="W844">
        <v>1.2254818880567</v>
      </c>
      <c r="X844">
        <v>420.657</v>
      </c>
      <c r="Y844">
        <v>1.22285809281201</v>
      </c>
      <c r="Z844">
        <v>420.657</v>
      </c>
      <c r="AA844">
        <v>1.23206394792185</v>
      </c>
      <c r="AB844">
        <v>420.657</v>
      </c>
      <c r="AC844">
        <v>1.23088991468345</v>
      </c>
      <c r="AE844">
        <v>420.657</v>
      </c>
      <c r="AF844">
        <v>-1862.50413099767</v>
      </c>
      <c r="AG844">
        <v>-2091.18730352958</v>
      </c>
      <c r="AH844">
        <v>-1928.05405791613</v>
      </c>
      <c r="AI844">
        <v>-1979.35799801318</v>
      </c>
      <c r="AJ844">
        <v>-2126.73377580721</v>
      </c>
    </row>
    <row r="845" spans="20:36">
      <c r="T845">
        <v>421.156</v>
      </c>
      <c r="U845">
        <v>1.24161887497883</v>
      </c>
      <c r="V845">
        <v>421.156</v>
      </c>
      <c r="W845">
        <v>1.22718099573699</v>
      </c>
      <c r="X845">
        <v>421.156</v>
      </c>
      <c r="Y845">
        <v>1.2237392370445</v>
      </c>
      <c r="Z845">
        <v>421.156</v>
      </c>
      <c r="AA845">
        <v>1.23708555878502</v>
      </c>
      <c r="AB845">
        <v>421.156</v>
      </c>
      <c r="AC845">
        <v>1.23175303630326</v>
      </c>
      <c r="AE845">
        <v>421.156</v>
      </c>
      <c r="AF845">
        <v>-2072.31276547305</v>
      </c>
      <c r="AG845">
        <v>-2048.02883139728</v>
      </c>
      <c r="AH845">
        <v>-1947.25223113787</v>
      </c>
      <c r="AI845">
        <v>-2040.83842368245</v>
      </c>
      <c r="AJ845">
        <v>-1958.52953226735</v>
      </c>
    </row>
    <row r="846" spans="20:36">
      <c r="T846">
        <v>421.655</v>
      </c>
      <c r="U846">
        <v>1.23511993703771</v>
      </c>
      <c r="V846">
        <v>421.655</v>
      </c>
      <c r="W846">
        <v>1.23123952839423</v>
      </c>
      <c r="X846">
        <v>421.655</v>
      </c>
      <c r="Y846">
        <v>1.22987764338971</v>
      </c>
      <c r="Z846">
        <v>421.655</v>
      </c>
      <c r="AA846">
        <v>1.2354590283541</v>
      </c>
      <c r="AB846">
        <v>421.655</v>
      </c>
      <c r="AC846">
        <v>1.22290179071838</v>
      </c>
      <c r="AE846">
        <v>421.655</v>
      </c>
      <c r="AF846">
        <v>-2176.7101334904</v>
      </c>
      <c r="AG846">
        <v>-2086.77811127748</v>
      </c>
      <c r="AH846">
        <v>-2090.09499272335</v>
      </c>
      <c r="AI846">
        <v>-2056.92773719156</v>
      </c>
      <c r="AJ846">
        <v>-1904.85024035484</v>
      </c>
    </row>
    <row r="847" spans="20:36">
      <c r="T847">
        <v>422.154</v>
      </c>
      <c r="U847">
        <v>1.23813617226409</v>
      </c>
      <c r="V847">
        <v>422.154</v>
      </c>
      <c r="W847">
        <v>1.22705205900883</v>
      </c>
      <c r="X847">
        <v>422.154</v>
      </c>
      <c r="Y847">
        <v>1.224244577154</v>
      </c>
      <c r="Z847">
        <v>422.154</v>
      </c>
      <c r="AA847">
        <v>1.23395088958295</v>
      </c>
      <c r="AB847">
        <v>422.154</v>
      </c>
      <c r="AC847">
        <v>1.23147194905803</v>
      </c>
      <c r="AE847">
        <v>422.154</v>
      </c>
      <c r="AF847">
        <v>-2098.28842975765</v>
      </c>
      <c r="AG847">
        <v>-2090.15342979298</v>
      </c>
      <c r="AH847">
        <v>-1963.60381513612</v>
      </c>
      <c r="AI847">
        <v>-2081.84310408979</v>
      </c>
      <c r="AJ847">
        <v>-2117.38217183379</v>
      </c>
    </row>
    <row r="848" spans="20:36">
      <c r="T848">
        <v>422.653</v>
      </c>
      <c r="U848">
        <v>1.231100205302</v>
      </c>
      <c r="V848">
        <v>422.653</v>
      </c>
      <c r="W848">
        <v>1.22578371769075</v>
      </c>
      <c r="X848">
        <v>422.653</v>
      </c>
      <c r="Y848">
        <v>1.22198282883759</v>
      </c>
      <c r="Z848">
        <v>422.653</v>
      </c>
      <c r="AA848">
        <v>1.23041759589344</v>
      </c>
      <c r="AB848">
        <v>422.653</v>
      </c>
      <c r="AC848">
        <v>1.22772866507368</v>
      </c>
      <c r="AE848">
        <v>422.653</v>
      </c>
      <c r="AF848">
        <v>-1937.75563532956</v>
      </c>
      <c r="AG848">
        <v>-2012.7863864341</v>
      </c>
      <c r="AH848">
        <v>-1978.06121128375</v>
      </c>
      <c r="AI848">
        <v>-1944.87334112734</v>
      </c>
      <c r="AJ848">
        <v>-2120.58454138552</v>
      </c>
    </row>
    <row r="849" spans="20:36">
      <c r="T849">
        <v>423.152</v>
      </c>
      <c r="U849">
        <v>1.23242246776209</v>
      </c>
      <c r="V849">
        <v>423.152</v>
      </c>
      <c r="W849">
        <v>1.22647680681551</v>
      </c>
      <c r="X849">
        <v>423.152</v>
      </c>
      <c r="Y849">
        <v>1.22104416879234</v>
      </c>
      <c r="Z849">
        <v>423.152</v>
      </c>
      <c r="AA849">
        <v>1.23319818314869</v>
      </c>
      <c r="AB849">
        <v>423.152</v>
      </c>
      <c r="AC849">
        <v>1.23368122651668</v>
      </c>
      <c r="AE849">
        <v>423.152</v>
      </c>
      <c r="AF849">
        <v>-1856.11387521352</v>
      </c>
      <c r="AG849">
        <v>-2045.13306637801</v>
      </c>
      <c r="AH849">
        <v>-2000.10877420519</v>
      </c>
      <c r="AI849">
        <v>-1962.77074098407</v>
      </c>
      <c r="AJ849">
        <v>-2014.83482479953</v>
      </c>
    </row>
    <row r="850" spans="20:36">
      <c r="T850">
        <v>423.651</v>
      </c>
      <c r="U850">
        <v>1.23611462733893</v>
      </c>
      <c r="V850">
        <v>423.651</v>
      </c>
      <c r="W850">
        <v>1.22460147335137</v>
      </c>
      <c r="X850">
        <v>423.651</v>
      </c>
      <c r="Y850">
        <v>1.22461467204747</v>
      </c>
      <c r="Z850">
        <v>423.651</v>
      </c>
      <c r="AA850">
        <v>1.23484965382451</v>
      </c>
      <c r="AB850">
        <v>423.651</v>
      </c>
      <c r="AC850">
        <v>1.24006936421332</v>
      </c>
      <c r="AE850">
        <v>423.651</v>
      </c>
      <c r="AF850">
        <v>-2146.23757506431</v>
      </c>
      <c r="AG850">
        <v>-2068.36022772044</v>
      </c>
      <c r="AH850">
        <v>-2051.55462523523</v>
      </c>
      <c r="AI850">
        <v>-2075.12593337918</v>
      </c>
      <c r="AJ850">
        <v>-1963.2602527378</v>
      </c>
    </row>
    <row r="851" spans="20:36">
      <c r="T851">
        <v>424.15</v>
      </c>
      <c r="U851">
        <v>1.23421639937051</v>
      </c>
      <c r="V851">
        <v>424.15</v>
      </c>
      <c r="W851">
        <v>1.22865689240372</v>
      </c>
      <c r="X851">
        <v>424.15</v>
      </c>
      <c r="Y851">
        <v>1.22277228351631</v>
      </c>
      <c r="Z851">
        <v>424.15</v>
      </c>
      <c r="AA851">
        <v>1.23804377765571</v>
      </c>
      <c r="AB851">
        <v>424.15</v>
      </c>
      <c r="AC851">
        <v>1.23652105294099</v>
      </c>
      <c r="AE851">
        <v>424.15</v>
      </c>
      <c r="AF851">
        <v>-2109.64371439048</v>
      </c>
      <c r="AG851">
        <v>-2048.69019882229</v>
      </c>
      <c r="AH851">
        <v>-2062.5506218524</v>
      </c>
      <c r="AI851">
        <v>-2077.61418852405</v>
      </c>
      <c r="AJ851">
        <v>-2036.64221940744</v>
      </c>
    </row>
    <row r="852" spans="20:36">
      <c r="T852">
        <v>424.649</v>
      </c>
      <c r="U852">
        <v>1.24306469104569</v>
      </c>
      <c r="V852">
        <v>424.649</v>
      </c>
      <c r="W852">
        <v>1.22411556632024</v>
      </c>
      <c r="X852">
        <v>424.649</v>
      </c>
      <c r="Y852">
        <v>1.21994144968501</v>
      </c>
      <c r="Z852">
        <v>424.649</v>
      </c>
      <c r="AA852">
        <v>1.2312901263672</v>
      </c>
      <c r="AB852">
        <v>424.649</v>
      </c>
      <c r="AC852">
        <v>1.23730685369836</v>
      </c>
      <c r="AE852">
        <v>424.649</v>
      </c>
      <c r="AF852">
        <v>-1987.19012139789</v>
      </c>
      <c r="AG852">
        <v>-2002.23492826989</v>
      </c>
      <c r="AH852">
        <v>-1968.05112854636</v>
      </c>
      <c r="AI852">
        <v>-1979.77474068131</v>
      </c>
      <c r="AJ852">
        <v>-2183.22781628547</v>
      </c>
    </row>
    <row r="853" spans="20:36">
      <c r="T853">
        <v>425.148</v>
      </c>
      <c r="U853">
        <v>1.23188525209872</v>
      </c>
      <c r="V853">
        <v>425.148</v>
      </c>
      <c r="W853">
        <v>1.23149746442858</v>
      </c>
      <c r="X853">
        <v>425.148</v>
      </c>
      <c r="Y853">
        <v>1.22762662994684</v>
      </c>
      <c r="Z853">
        <v>425.148</v>
      </c>
      <c r="AA853">
        <v>1.23020310512491</v>
      </c>
      <c r="AB853">
        <v>425.148</v>
      </c>
      <c r="AC853">
        <v>1.23035682520858</v>
      </c>
      <c r="AE853">
        <v>425.148</v>
      </c>
      <c r="AF853">
        <v>-1951.5871364015</v>
      </c>
      <c r="AG853">
        <v>-2032.59608540795</v>
      </c>
      <c r="AH853">
        <v>-1987.4964900247</v>
      </c>
      <c r="AI853">
        <v>-2037.74460408425</v>
      </c>
      <c r="AJ853">
        <v>-2066.54519253959</v>
      </c>
    </row>
    <row r="854" spans="20:36">
      <c r="T854">
        <v>425.647</v>
      </c>
      <c r="U854">
        <v>1.23583148714249</v>
      </c>
      <c r="V854">
        <v>425.647</v>
      </c>
      <c r="W854">
        <v>1.23732684171611</v>
      </c>
      <c r="X854">
        <v>425.647</v>
      </c>
      <c r="Y854">
        <v>1.22528349089561</v>
      </c>
      <c r="Z854">
        <v>425.647</v>
      </c>
      <c r="AA854">
        <v>1.23536072613862</v>
      </c>
      <c r="AB854">
        <v>425.647</v>
      </c>
      <c r="AC854">
        <v>1.23368401546956</v>
      </c>
      <c r="AE854">
        <v>425.647</v>
      </c>
      <c r="AF854">
        <v>-1945.30532471491</v>
      </c>
      <c r="AG854">
        <v>-2113.26199834891</v>
      </c>
      <c r="AH854">
        <v>-1991.59966717933</v>
      </c>
      <c r="AI854">
        <v>-2094.83063453134</v>
      </c>
      <c r="AJ854">
        <v>-1935.64336601564</v>
      </c>
    </row>
    <row r="855" spans="20:36">
      <c r="T855">
        <v>426.146</v>
      </c>
      <c r="U855">
        <v>1.23273687937988</v>
      </c>
      <c r="V855">
        <v>426.146</v>
      </c>
      <c r="W855">
        <v>1.22455378135889</v>
      </c>
      <c r="X855">
        <v>426.146</v>
      </c>
      <c r="Y855">
        <v>1.22490485324993</v>
      </c>
      <c r="Z855">
        <v>426.146</v>
      </c>
      <c r="AA855">
        <v>1.23317026922843</v>
      </c>
      <c r="AB855">
        <v>426.146</v>
      </c>
      <c r="AC855">
        <v>1.2308975695906</v>
      </c>
      <c r="AE855">
        <v>426.146</v>
      </c>
      <c r="AF855">
        <v>-2012.41283719931</v>
      </c>
      <c r="AG855">
        <v>-2093.89590732983</v>
      </c>
      <c r="AH855">
        <v>-2013.97882277791</v>
      </c>
      <c r="AI855">
        <v>-2063.58628716142</v>
      </c>
      <c r="AJ855">
        <v>-1893.50281142167</v>
      </c>
    </row>
    <row r="856" spans="20:36">
      <c r="T856">
        <v>426.645</v>
      </c>
      <c r="U856">
        <v>1.23703907723418</v>
      </c>
      <c r="V856">
        <v>426.645</v>
      </c>
      <c r="W856">
        <v>1.22652946905295</v>
      </c>
      <c r="X856">
        <v>426.645</v>
      </c>
      <c r="Y856">
        <v>1.2232236945838</v>
      </c>
      <c r="Z856">
        <v>426.645</v>
      </c>
      <c r="AA856">
        <v>1.23444427067251</v>
      </c>
      <c r="AB856">
        <v>426.645</v>
      </c>
      <c r="AC856">
        <v>1.24339804695777</v>
      </c>
      <c r="AE856">
        <v>426.645</v>
      </c>
      <c r="AF856">
        <v>-2060.32747264596</v>
      </c>
      <c r="AG856">
        <v>-2115.3299157254</v>
      </c>
      <c r="AH856">
        <v>-2001.87389626741</v>
      </c>
      <c r="AI856">
        <v>-2089.58717877828</v>
      </c>
      <c r="AJ856">
        <v>-2096.89508946422</v>
      </c>
    </row>
    <row r="857" spans="20:36">
      <c r="T857">
        <v>427.144</v>
      </c>
      <c r="U857">
        <v>1.23227061863967</v>
      </c>
      <c r="V857">
        <v>427.144</v>
      </c>
      <c r="W857">
        <v>1.22374857156109</v>
      </c>
      <c r="X857">
        <v>427.144</v>
      </c>
      <c r="Y857">
        <v>1.22249964174082</v>
      </c>
      <c r="Z857">
        <v>427.144</v>
      </c>
      <c r="AA857">
        <v>1.24047153966903</v>
      </c>
      <c r="AB857">
        <v>427.144</v>
      </c>
      <c r="AC857">
        <v>1.23678924262179</v>
      </c>
      <c r="AE857">
        <v>427.144</v>
      </c>
      <c r="AF857">
        <v>-2058.38866804048</v>
      </c>
      <c r="AG857">
        <v>-1989.93894554636</v>
      </c>
      <c r="AH857">
        <v>-2010.03057301724</v>
      </c>
      <c r="AI857">
        <v>-2027.76104079441</v>
      </c>
      <c r="AJ857">
        <v>-2184.60788874184</v>
      </c>
    </row>
    <row r="858" spans="20:36">
      <c r="T858">
        <v>427.643</v>
      </c>
      <c r="U858">
        <v>1.22777329678938</v>
      </c>
      <c r="V858">
        <v>427.643</v>
      </c>
      <c r="W858">
        <v>1.22441961553556</v>
      </c>
      <c r="X858">
        <v>427.643</v>
      </c>
      <c r="Y858">
        <v>1.22445763855498</v>
      </c>
      <c r="Z858">
        <v>427.643</v>
      </c>
      <c r="AA858">
        <v>1.24054008398404</v>
      </c>
      <c r="AB858">
        <v>427.643</v>
      </c>
      <c r="AC858">
        <v>1.23055434403849</v>
      </c>
      <c r="AE858">
        <v>427.643</v>
      </c>
      <c r="AF858">
        <v>-1994.39297743387</v>
      </c>
      <c r="AG858">
        <v>-2020.81387735021</v>
      </c>
      <c r="AH858">
        <v>-1992.32555001448</v>
      </c>
      <c r="AI858">
        <v>-2033.60409550934</v>
      </c>
      <c r="AJ858">
        <v>-2044.09590622806</v>
      </c>
    </row>
    <row r="859" spans="20:36">
      <c r="T859">
        <v>428.142</v>
      </c>
      <c r="U859">
        <v>1.23343185667954</v>
      </c>
      <c r="V859">
        <v>428.142</v>
      </c>
      <c r="W859">
        <v>1.22655959336788</v>
      </c>
      <c r="X859">
        <v>428.142</v>
      </c>
      <c r="Y859">
        <v>1.23010590037937</v>
      </c>
      <c r="Z859">
        <v>428.142</v>
      </c>
      <c r="AA859">
        <v>1.23068529508196</v>
      </c>
      <c r="AB859">
        <v>428.142</v>
      </c>
      <c r="AC859">
        <v>1.23085956664907</v>
      </c>
      <c r="AE859">
        <v>428.142</v>
      </c>
      <c r="AF859">
        <v>-2014.03654451673</v>
      </c>
      <c r="AG859">
        <v>-2082.41832608994</v>
      </c>
      <c r="AH859">
        <v>-2049.9179769161</v>
      </c>
      <c r="AI859">
        <v>-2015.20722447483</v>
      </c>
      <c r="AJ859">
        <v>-1904.90951694099</v>
      </c>
    </row>
    <row r="860" spans="20:36">
      <c r="T860">
        <v>428.641</v>
      </c>
      <c r="U860">
        <v>1.22216707833835</v>
      </c>
      <c r="V860">
        <v>428.641</v>
      </c>
      <c r="W860">
        <v>1.22208771594357</v>
      </c>
      <c r="X860">
        <v>428.641</v>
      </c>
      <c r="Y860">
        <v>1.22581120653751</v>
      </c>
      <c r="Z860">
        <v>428.641</v>
      </c>
      <c r="AA860">
        <v>1.23403746176263</v>
      </c>
      <c r="AB860">
        <v>428.641</v>
      </c>
      <c r="AC860">
        <v>1.22300986971188</v>
      </c>
      <c r="AE860">
        <v>428.641</v>
      </c>
      <c r="AF860">
        <v>-2000.43649024313</v>
      </c>
      <c r="AG860">
        <v>-2123.40489471644</v>
      </c>
      <c r="AH860">
        <v>-2014.96725995216</v>
      </c>
      <c r="AI860">
        <v>-2035.10356787753</v>
      </c>
      <c r="AJ860">
        <v>-1959.09869170821</v>
      </c>
    </row>
    <row r="861" spans="20:36">
      <c r="T861">
        <v>429.14</v>
      </c>
      <c r="U861">
        <v>1.23547149798342</v>
      </c>
      <c r="V861">
        <v>429.14</v>
      </c>
      <c r="W861">
        <v>1.21976278469606</v>
      </c>
      <c r="X861">
        <v>429.14</v>
      </c>
      <c r="Y861">
        <v>1.22248307669632</v>
      </c>
      <c r="Z861">
        <v>429.14</v>
      </c>
      <c r="AA861">
        <v>1.23364328216008</v>
      </c>
      <c r="AB861">
        <v>429.14</v>
      </c>
      <c r="AC861">
        <v>1.23421443160028</v>
      </c>
      <c r="AE861">
        <v>429.14</v>
      </c>
      <c r="AF861">
        <v>-2080.95971245172</v>
      </c>
      <c r="AG861">
        <v>-2115.42283830139</v>
      </c>
      <c r="AH861">
        <v>-1923.11802899014</v>
      </c>
      <c r="AI861">
        <v>-2131.35505431237</v>
      </c>
      <c r="AJ861">
        <v>-2096.08359593351</v>
      </c>
    </row>
    <row r="862" spans="20:36">
      <c r="T862">
        <v>429.639</v>
      </c>
      <c r="U862">
        <v>1.23407353204192</v>
      </c>
      <c r="V862">
        <v>429.639</v>
      </c>
      <c r="W862">
        <v>1.22311441614857</v>
      </c>
      <c r="X862">
        <v>429.639</v>
      </c>
      <c r="Y862">
        <v>1.23246935519685</v>
      </c>
      <c r="Z862">
        <v>429.639</v>
      </c>
      <c r="AA862">
        <v>1.23451752056711</v>
      </c>
      <c r="AB862">
        <v>429.639</v>
      </c>
      <c r="AC862">
        <v>1.22102447831792</v>
      </c>
      <c r="AE862">
        <v>429.639</v>
      </c>
      <c r="AF862">
        <v>-2087.66384466313</v>
      </c>
      <c r="AG862">
        <v>-2065.20952174235</v>
      </c>
      <c r="AH862">
        <v>-1940.83392872895</v>
      </c>
      <c r="AI862">
        <v>-2079.61862829435</v>
      </c>
      <c r="AJ862">
        <v>-1989.95424640602</v>
      </c>
    </row>
    <row r="863" spans="20:36">
      <c r="T863">
        <v>430.138</v>
      </c>
      <c r="U863">
        <v>1.22599964480412</v>
      </c>
      <c r="V863">
        <v>430.138</v>
      </c>
      <c r="W863">
        <v>1.22028003096778</v>
      </c>
      <c r="X863">
        <v>430.138</v>
      </c>
      <c r="Y863">
        <v>1.22952261382623</v>
      </c>
      <c r="Z863">
        <v>430.138</v>
      </c>
      <c r="AA863">
        <v>1.23754815226037</v>
      </c>
      <c r="AB863">
        <v>430.138</v>
      </c>
      <c r="AC863">
        <v>1.22172614318804</v>
      </c>
      <c r="AE863">
        <v>430.138</v>
      </c>
      <c r="AF863">
        <v>-1991.75132682373</v>
      </c>
      <c r="AG863">
        <v>-1979.10332240816</v>
      </c>
      <c r="AH863">
        <v>-2071.25618830117</v>
      </c>
      <c r="AI863">
        <v>-1943.94976781283</v>
      </c>
      <c r="AJ863">
        <v>-1863.28331333475</v>
      </c>
    </row>
    <row r="864" spans="20:36">
      <c r="T864">
        <v>430.637</v>
      </c>
      <c r="U864">
        <v>1.22386843744159</v>
      </c>
      <c r="V864">
        <v>430.637</v>
      </c>
      <c r="W864">
        <v>1.22985475589634</v>
      </c>
      <c r="X864">
        <v>430.637</v>
      </c>
      <c r="Y864">
        <v>1.23054457690978</v>
      </c>
      <c r="Z864">
        <v>430.637</v>
      </c>
      <c r="AA864">
        <v>1.23542634979802</v>
      </c>
      <c r="AB864">
        <v>430.637</v>
      </c>
      <c r="AC864">
        <v>1.22895733071641</v>
      </c>
      <c r="AE864">
        <v>430.637</v>
      </c>
      <c r="AF864">
        <v>-1980.0430948495</v>
      </c>
      <c r="AG864">
        <v>-1995.65386448653</v>
      </c>
      <c r="AH864">
        <v>-2092.7588038206</v>
      </c>
      <c r="AI864">
        <v>-1959.05427810432</v>
      </c>
      <c r="AJ864">
        <v>-1964.88016657772</v>
      </c>
    </row>
    <row r="865" spans="20:36">
      <c r="T865">
        <v>431.136</v>
      </c>
      <c r="U865">
        <v>1.23534938558906</v>
      </c>
      <c r="V865">
        <v>431.136</v>
      </c>
      <c r="W865">
        <v>1.23263268055893</v>
      </c>
      <c r="X865">
        <v>431.136</v>
      </c>
      <c r="Y865">
        <v>1.21966189422865</v>
      </c>
      <c r="Z865">
        <v>431.136</v>
      </c>
      <c r="AA865">
        <v>1.24328549486737</v>
      </c>
      <c r="AB865">
        <v>431.136</v>
      </c>
      <c r="AC865">
        <v>1.23168205752575</v>
      </c>
      <c r="AE865">
        <v>431.136</v>
      </c>
      <c r="AF865">
        <v>-1988.19379495018</v>
      </c>
      <c r="AG865">
        <v>-2111.88337242934</v>
      </c>
      <c r="AH865">
        <v>-1947.82680795568</v>
      </c>
      <c r="AI865">
        <v>-2140.10941332419</v>
      </c>
      <c r="AJ865">
        <v>-2154.78015303809</v>
      </c>
    </row>
    <row r="866" spans="20:36">
      <c r="T866">
        <v>431.635</v>
      </c>
      <c r="U866">
        <v>1.22810780522875</v>
      </c>
      <c r="V866">
        <v>431.635</v>
      </c>
      <c r="W866">
        <v>1.22259952022605</v>
      </c>
      <c r="X866">
        <v>431.635</v>
      </c>
      <c r="Y866">
        <v>1.22910255092532</v>
      </c>
      <c r="Z866">
        <v>431.635</v>
      </c>
      <c r="AA866">
        <v>1.23337707068871</v>
      </c>
      <c r="AB866">
        <v>431.635</v>
      </c>
      <c r="AC866">
        <v>1.22476920765155</v>
      </c>
      <c r="AE866">
        <v>431.635</v>
      </c>
      <c r="AF866">
        <v>-2003.6175241974</v>
      </c>
      <c r="AG866">
        <v>-2111.92069884309</v>
      </c>
      <c r="AH866">
        <v>-1957.48933363534</v>
      </c>
      <c r="AI866">
        <v>-2110.5076316903</v>
      </c>
      <c r="AJ866">
        <v>-2086.20455333057</v>
      </c>
    </row>
    <row r="867" spans="20:36">
      <c r="T867">
        <v>432.134</v>
      </c>
      <c r="U867">
        <v>1.23416016501395</v>
      </c>
      <c r="V867">
        <v>432.134</v>
      </c>
      <c r="W867">
        <v>1.22734005234345</v>
      </c>
      <c r="X867">
        <v>432.134</v>
      </c>
      <c r="Y867">
        <v>1.22802444980194</v>
      </c>
      <c r="Z867">
        <v>432.134</v>
      </c>
      <c r="AA867">
        <v>1.24010903624349</v>
      </c>
      <c r="AB867">
        <v>432.134</v>
      </c>
      <c r="AC867">
        <v>1.21956533455935</v>
      </c>
      <c r="AE867">
        <v>432.134</v>
      </c>
      <c r="AF867">
        <v>-2037.28720853922</v>
      </c>
      <c r="AG867">
        <v>-2025.4492960306</v>
      </c>
      <c r="AH867">
        <v>-2006.25672154279</v>
      </c>
      <c r="AI867">
        <v>-2023.46709532896</v>
      </c>
      <c r="AJ867">
        <v>-1881.37604103782</v>
      </c>
    </row>
    <row r="868" spans="20:36">
      <c r="T868">
        <v>432.633</v>
      </c>
      <c r="U868">
        <v>1.23058911350445</v>
      </c>
      <c r="V868">
        <v>432.633</v>
      </c>
      <c r="W868">
        <v>1.22339831294883</v>
      </c>
      <c r="X868">
        <v>432.633</v>
      </c>
      <c r="Y868">
        <v>1.23244526142201</v>
      </c>
      <c r="Z868">
        <v>432.633</v>
      </c>
      <c r="AA868">
        <v>1.23157444027985</v>
      </c>
      <c r="AB868">
        <v>432.633</v>
      </c>
      <c r="AC868">
        <v>1.22744301286468</v>
      </c>
      <c r="AE868">
        <v>432.633</v>
      </c>
      <c r="AF868">
        <v>-1969.69207900001</v>
      </c>
      <c r="AG868">
        <v>-2030.42991034848</v>
      </c>
      <c r="AH868">
        <v>-2062.76426651381</v>
      </c>
      <c r="AI868">
        <v>-1989.17976453459</v>
      </c>
      <c r="AJ868">
        <v>-1945.59974871187</v>
      </c>
    </row>
    <row r="869" spans="20:36">
      <c r="T869">
        <v>433.132</v>
      </c>
      <c r="U869">
        <v>1.23273900498148</v>
      </c>
      <c r="V869">
        <v>433.132</v>
      </c>
      <c r="W869">
        <v>1.21652488590937</v>
      </c>
      <c r="X869">
        <v>433.132</v>
      </c>
      <c r="Y869">
        <v>1.22777762578998</v>
      </c>
      <c r="Z869">
        <v>433.132</v>
      </c>
      <c r="AA869">
        <v>1.2331759436404</v>
      </c>
      <c r="AB869">
        <v>433.132</v>
      </c>
      <c r="AC869">
        <v>1.2263816376627</v>
      </c>
      <c r="AE869">
        <v>433.132</v>
      </c>
      <c r="AF869">
        <v>-2080.93463867901</v>
      </c>
      <c r="AG869">
        <v>-2030.65624987185</v>
      </c>
      <c r="AH869">
        <v>-2008.5026612746</v>
      </c>
      <c r="AI869">
        <v>-2010.27012164805</v>
      </c>
      <c r="AJ869">
        <v>-2040.70680782207</v>
      </c>
    </row>
    <row r="870" spans="20:36">
      <c r="T870">
        <v>433.631</v>
      </c>
      <c r="U870">
        <v>1.22630779048055</v>
      </c>
      <c r="V870">
        <v>433.631</v>
      </c>
      <c r="W870">
        <v>1.21795800971852</v>
      </c>
      <c r="X870">
        <v>433.631</v>
      </c>
      <c r="Y870">
        <v>1.22265294126453</v>
      </c>
      <c r="Z870">
        <v>433.631</v>
      </c>
      <c r="AA870">
        <v>1.23698426128888</v>
      </c>
      <c r="AB870">
        <v>433.631</v>
      </c>
      <c r="AC870">
        <v>1.22836225232887</v>
      </c>
      <c r="AE870">
        <v>433.631</v>
      </c>
      <c r="AF870">
        <v>-2016.96582413509</v>
      </c>
      <c r="AG870">
        <v>-2135.08927889686</v>
      </c>
      <c r="AH870">
        <v>-1934.22272568487</v>
      </c>
      <c r="AI870">
        <v>-2012.72530335653</v>
      </c>
      <c r="AJ870">
        <v>-2069.91897849527</v>
      </c>
    </row>
    <row r="871" spans="20:36">
      <c r="T871">
        <v>434.13</v>
      </c>
      <c r="U871">
        <v>1.23010328020744</v>
      </c>
      <c r="V871">
        <v>434.13</v>
      </c>
      <c r="W871">
        <v>1.22061383064664</v>
      </c>
      <c r="X871">
        <v>434.13</v>
      </c>
      <c r="Y871">
        <v>1.23121304603669</v>
      </c>
      <c r="Z871">
        <v>434.13</v>
      </c>
      <c r="AA871">
        <v>1.23096385138328</v>
      </c>
      <c r="AB871">
        <v>434.13</v>
      </c>
      <c r="AC871">
        <v>1.22938074318434</v>
      </c>
      <c r="AE871">
        <v>434.13</v>
      </c>
      <c r="AF871">
        <v>-1945.16298079124</v>
      </c>
      <c r="AG871">
        <v>-2036.42357783814</v>
      </c>
      <c r="AH871">
        <v>-2029.71659224164</v>
      </c>
      <c r="AI871">
        <v>-1966.5175897378</v>
      </c>
      <c r="AJ871">
        <v>-1948.86026113929</v>
      </c>
    </row>
    <row r="872" spans="20:36">
      <c r="T872">
        <v>434.629</v>
      </c>
      <c r="U872">
        <v>1.22907928118452</v>
      </c>
      <c r="V872">
        <v>434.629</v>
      </c>
      <c r="W872">
        <v>1.22283983258334</v>
      </c>
      <c r="X872">
        <v>434.629</v>
      </c>
      <c r="Y872">
        <v>1.23226774514725</v>
      </c>
      <c r="Z872">
        <v>434.629</v>
      </c>
      <c r="AA872">
        <v>1.23977661361954</v>
      </c>
      <c r="AB872">
        <v>434.629</v>
      </c>
      <c r="AC872">
        <v>1.23533475978267</v>
      </c>
      <c r="AE872">
        <v>434.629</v>
      </c>
      <c r="AF872">
        <v>-1952.22585334332</v>
      </c>
      <c r="AG872">
        <v>-1984.30148349976</v>
      </c>
      <c r="AH872">
        <v>-2065.54355981718</v>
      </c>
      <c r="AI872">
        <v>-1992.61883791146</v>
      </c>
      <c r="AJ872">
        <v>-1963.25042958145</v>
      </c>
    </row>
    <row r="873" spans="20:36">
      <c r="T873">
        <v>435.128</v>
      </c>
      <c r="U873">
        <v>1.23283651745219</v>
      </c>
      <c r="V873">
        <v>435.128</v>
      </c>
      <c r="W873">
        <v>1.22915448458824</v>
      </c>
      <c r="X873">
        <v>435.128</v>
      </c>
      <c r="Y873">
        <v>1.23021655723114</v>
      </c>
      <c r="Z873">
        <v>435.128</v>
      </c>
      <c r="AA873">
        <v>1.23062397312258</v>
      </c>
      <c r="AB873">
        <v>435.128</v>
      </c>
      <c r="AC873">
        <v>1.22905237070493</v>
      </c>
      <c r="AE873">
        <v>435.128</v>
      </c>
      <c r="AF873">
        <v>-2166.10661273213</v>
      </c>
      <c r="AG873">
        <v>-2100.81237897458</v>
      </c>
      <c r="AH873">
        <v>-2087.95072032933</v>
      </c>
      <c r="AI873">
        <v>-2021.89441939042</v>
      </c>
      <c r="AJ873">
        <v>-2010.00643148518</v>
      </c>
    </row>
    <row r="874" spans="20:36">
      <c r="T874">
        <v>435.627</v>
      </c>
      <c r="U874">
        <v>1.23065247625964</v>
      </c>
      <c r="V874">
        <v>435.627</v>
      </c>
      <c r="W874">
        <v>1.22102447184216</v>
      </c>
      <c r="X874">
        <v>435.627</v>
      </c>
      <c r="Y874">
        <v>1.22819388150418</v>
      </c>
      <c r="Z874">
        <v>435.627</v>
      </c>
      <c r="AA874">
        <v>1.24612775445587</v>
      </c>
      <c r="AB874">
        <v>435.627</v>
      </c>
      <c r="AC874">
        <v>1.23552015993168</v>
      </c>
      <c r="AE874">
        <v>435.627</v>
      </c>
      <c r="AF874">
        <v>-2160.86313987894</v>
      </c>
      <c r="AG874">
        <v>-2130.50876243691</v>
      </c>
      <c r="AH874">
        <v>-1993.88170979343</v>
      </c>
      <c r="AI874">
        <v>-2205.79636495624</v>
      </c>
      <c r="AJ874">
        <v>-2088.90355620785</v>
      </c>
    </row>
    <row r="875" spans="20:36">
      <c r="T875">
        <v>436.126</v>
      </c>
      <c r="U875">
        <v>1.22927057096581</v>
      </c>
      <c r="V875">
        <v>436.126</v>
      </c>
      <c r="W875">
        <v>1.21938749499675</v>
      </c>
      <c r="X875">
        <v>436.126</v>
      </c>
      <c r="Y875">
        <v>1.22712130147335</v>
      </c>
      <c r="Z875">
        <v>436.126</v>
      </c>
      <c r="AA875">
        <v>1.24123354393228</v>
      </c>
      <c r="AB875">
        <v>436.126</v>
      </c>
      <c r="AC875">
        <v>1.23508297393636</v>
      </c>
      <c r="AE875">
        <v>436.126</v>
      </c>
      <c r="AF875">
        <v>-2046.924164435</v>
      </c>
      <c r="AG875">
        <v>-2053.27812097359</v>
      </c>
      <c r="AH875">
        <v>-1861.15475368632</v>
      </c>
      <c r="AI875">
        <v>-2083.16614943357</v>
      </c>
      <c r="AJ875">
        <v>-1989.01339506021</v>
      </c>
    </row>
    <row r="876" spans="20:36">
      <c r="T876">
        <v>436.625</v>
      </c>
      <c r="U876">
        <v>1.2255286534391</v>
      </c>
      <c r="V876">
        <v>436.625</v>
      </c>
      <c r="W876">
        <v>1.22311676802869</v>
      </c>
      <c r="X876">
        <v>436.625</v>
      </c>
      <c r="Y876">
        <v>1.22524678710857</v>
      </c>
      <c r="Z876">
        <v>436.625</v>
      </c>
      <c r="AA876">
        <v>1.23394068023178</v>
      </c>
      <c r="AB876">
        <v>436.625</v>
      </c>
      <c r="AC876">
        <v>1.23299518494322</v>
      </c>
      <c r="AE876">
        <v>436.625</v>
      </c>
      <c r="AF876">
        <v>-1872.05206413914</v>
      </c>
      <c r="AG876">
        <v>-2020.54607355705</v>
      </c>
      <c r="AH876">
        <v>-1914.80134409673</v>
      </c>
      <c r="AI876">
        <v>-1967.36718529175</v>
      </c>
      <c r="AJ876">
        <v>-1986.71087025794</v>
      </c>
    </row>
    <row r="877" spans="20:36">
      <c r="T877">
        <v>437.124</v>
      </c>
      <c r="U877">
        <v>1.2290212559716</v>
      </c>
      <c r="V877">
        <v>437.124</v>
      </c>
      <c r="W877">
        <v>1.23539664504207</v>
      </c>
      <c r="X877">
        <v>437.124</v>
      </c>
      <c r="Y877">
        <v>1.23031211913144</v>
      </c>
      <c r="Z877">
        <v>437.124</v>
      </c>
      <c r="AA877">
        <v>1.22707715524563</v>
      </c>
      <c r="AB877">
        <v>437.124</v>
      </c>
      <c r="AC877">
        <v>1.23187026216288</v>
      </c>
      <c r="AE877">
        <v>437.124</v>
      </c>
      <c r="AF877">
        <v>-1969.43937047484</v>
      </c>
      <c r="AG877">
        <v>-2080.13171438256</v>
      </c>
      <c r="AH877">
        <v>-2113.44312338735</v>
      </c>
      <c r="AI877">
        <v>-1983.02256631983</v>
      </c>
      <c r="AJ877">
        <v>-2075.03844809495</v>
      </c>
    </row>
    <row r="878" spans="20:36">
      <c r="T878">
        <v>437.623</v>
      </c>
      <c r="U878">
        <v>1.22452193003605</v>
      </c>
      <c r="V878">
        <v>437.623</v>
      </c>
      <c r="W878">
        <v>1.23029639234811</v>
      </c>
      <c r="X878">
        <v>437.623</v>
      </c>
      <c r="Y878">
        <v>1.21840406827514</v>
      </c>
      <c r="Z878">
        <v>437.623</v>
      </c>
      <c r="AA878">
        <v>1.23952877416899</v>
      </c>
      <c r="AB878">
        <v>437.623</v>
      </c>
      <c r="AC878">
        <v>1.229720642528</v>
      </c>
      <c r="AE878">
        <v>437.623</v>
      </c>
      <c r="AF878">
        <v>-2087.65975655129</v>
      </c>
      <c r="AG878">
        <v>-2056.93138015051</v>
      </c>
      <c r="AH878">
        <v>-2048.53869940284</v>
      </c>
      <c r="AI878">
        <v>-2126.07921245663</v>
      </c>
      <c r="AJ878">
        <v>-2038.40047232783</v>
      </c>
    </row>
    <row r="879" spans="20:36">
      <c r="T879">
        <v>438.122</v>
      </c>
      <c r="U879">
        <v>1.2275164792135</v>
      </c>
      <c r="V879">
        <v>438.122</v>
      </c>
      <c r="W879">
        <v>1.22824633116145</v>
      </c>
      <c r="X879">
        <v>438.122</v>
      </c>
      <c r="Y879">
        <v>1.2163355023721</v>
      </c>
      <c r="Z879">
        <v>438.122</v>
      </c>
      <c r="AA879">
        <v>1.23959141775607</v>
      </c>
      <c r="AB879">
        <v>438.122</v>
      </c>
      <c r="AC879">
        <v>1.22575104801672</v>
      </c>
      <c r="AE879">
        <v>438.122</v>
      </c>
      <c r="AF879">
        <v>-2171.01998146492</v>
      </c>
      <c r="AG879">
        <v>-2178.79549358291</v>
      </c>
      <c r="AH879">
        <v>-1809.8894187167</v>
      </c>
      <c r="AI879">
        <v>-2083.984874677</v>
      </c>
      <c r="AJ879">
        <v>-2023.83310355119</v>
      </c>
    </row>
    <row r="880" spans="20:36">
      <c r="T880">
        <v>438.621</v>
      </c>
      <c r="U880">
        <v>1.22423311634471</v>
      </c>
      <c r="V880">
        <v>438.621</v>
      </c>
      <c r="W880">
        <v>1.22858067614927</v>
      </c>
      <c r="X880">
        <v>438.621</v>
      </c>
      <c r="Y880">
        <v>1.23111943426733</v>
      </c>
      <c r="Z880">
        <v>438.621</v>
      </c>
      <c r="AA880">
        <v>1.23721575011739</v>
      </c>
      <c r="AB880">
        <v>438.621</v>
      </c>
      <c r="AC880">
        <v>1.23274888335928</v>
      </c>
      <c r="AE880">
        <v>438.621</v>
      </c>
      <c r="AF880">
        <v>-1981.72436023013</v>
      </c>
      <c r="AG880">
        <v>-2145.88486067656</v>
      </c>
      <c r="AH880">
        <v>-1875.63670941345</v>
      </c>
      <c r="AI880">
        <v>-1904.86540641191</v>
      </c>
      <c r="AJ880">
        <v>-2003.91044499822</v>
      </c>
    </row>
    <row r="881" spans="20:36">
      <c r="T881">
        <v>439.12</v>
      </c>
      <c r="U881">
        <v>1.22382628443883</v>
      </c>
      <c r="V881">
        <v>439.12</v>
      </c>
      <c r="W881">
        <v>1.23363958676202</v>
      </c>
      <c r="X881">
        <v>439.12</v>
      </c>
      <c r="Y881">
        <v>1.22315437187649</v>
      </c>
      <c r="Z881">
        <v>439.12</v>
      </c>
      <c r="AA881">
        <v>1.2342418609857</v>
      </c>
      <c r="AB881">
        <v>439.12</v>
      </c>
      <c r="AC881">
        <v>1.22786019347085</v>
      </c>
      <c r="AE881">
        <v>439.12</v>
      </c>
      <c r="AF881">
        <v>-1929.62590512959</v>
      </c>
      <c r="AG881">
        <v>-1997.69401828918</v>
      </c>
      <c r="AH881">
        <v>-2137.78077881476</v>
      </c>
      <c r="AI881">
        <v>-2077.37824783571</v>
      </c>
      <c r="AJ881">
        <v>-1981.52784481462</v>
      </c>
    </row>
    <row r="882" spans="20:36">
      <c r="T882">
        <v>439.619</v>
      </c>
      <c r="U882">
        <v>1.23071790869059</v>
      </c>
      <c r="V882">
        <v>439.619</v>
      </c>
      <c r="W882">
        <v>1.22300742628494</v>
      </c>
      <c r="X882">
        <v>439.619</v>
      </c>
      <c r="Y882">
        <v>1.2209738709214</v>
      </c>
      <c r="Z882">
        <v>439.619</v>
      </c>
      <c r="AA882">
        <v>1.24245084822989</v>
      </c>
      <c r="AB882">
        <v>439.619</v>
      </c>
      <c r="AC882">
        <v>1.22869978770919</v>
      </c>
      <c r="AE882">
        <v>439.619</v>
      </c>
      <c r="AF882">
        <v>-2007.36528246747</v>
      </c>
      <c r="AG882">
        <v>-1965.92400309289</v>
      </c>
      <c r="AH882">
        <v>-2083.30980015775</v>
      </c>
      <c r="AI882">
        <v>-2187.4282804661</v>
      </c>
      <c r="AJ882">
        <v>-2000.15544803312</v>
      </c>
    </row>
    <row r="883" spans="20:36">
      <c r="T883">
        <v>440.118</v>
      </c>
      <c r="U883">
        <v>1.23314605496268</v>
      </c>
      <c r="V883">
        <v>440.118</v>
      </c>
      <c r="W883">
        <v>1.22543308579282</v>
      </c>
      <c r="X883">
        <v>440.118</v>
      </c>
      <c r="Y883">
        <v>1.22340568786902</v>
      </c>
      <c r="Z883">
        <v>440.118</v>
      </c>
      <c r="AA883">
        <v>1.23616150345299</v>
      </c>
      <c r="AB883">
        <v>440.118</v>
      </c>
      <c r="AC883">
        <v>1.22956118727776</v>
      </c>
      <c r="AE883">
        <v>440.118</v>
      </c>
      <c r="AF883">
        <v>-2069.28368489936</v>
      </c>
      <c r="AG883">
        <v>-2212.32295223602</v>
      </c>
      <c r="AH883">
        <v>-1934.56376183931</v>
      </c>
      <c r="AI883">
        <v>-2029.34180834381</v>
      </c>
      <c r="AJ883">
        <v>-1971.56845066852</v>
      </c>
    </row>
    <row r="884" spans="20:36">
      <c r="T884">
        <v>440.617</v>
      </c>
      <c r="U884">
        <v>1.22280532496145</v>
      </c>
      <c r="V884">
        <v>440.617</v>
      </c>
      <c r="W884">
        <v>1.23248980954547</v>
      </c>
      <c r="X884">
        <v>440.617</v>
      </c>
      <c r="Y884">
        <v>1.21995997555292</v>
      </c>
      <c r="Z884">
        <v>440.617</v>
      </c>
      <c r="AA884">
        <v>1.23954148282453</v>
      </c>
      <c r="AB884">
        <v>440.617</v>
      </c>
      <c r="AC884">
        <v>1.23485864725474</v>
      </c>
      <c r="AE884">
        <v>440.617</v>
      </c>
      <c r="AF884">
        <v>-2104.2922241466</v>
      </c>
      <c r="AG884">
        <v>-2180.28018452045</v>
      </c>
      <c r="AH884">
        <v>-1915.2150713428</v>
      </c>
      <c r="AI884">
        <v>-1905.06166128093</v>
      </c>
      <c r="AJ884">
        <v>-2077.78780897607</v>
      </c>
    </row>
    <row r="885" spans="20:36">
      <c r="T885">
        <v>441.116</v>
      </c>
      <c r="U885">
        <v>1.23319748007468</v>
      </c>
      <c r="V885">
        <v>441.116</v>
      </c>
      <c r="W885">
        <v>1.22947914998486</v>
      </c>
      <c r="X885">
        <v>441.116</v>
      </c>
      <c r="Y885">
        <v>1.22355943742159</v>
      </c>
      <c r="Z885">
        <v>441.116</v>
      </c>
      <c r="AA885">
        <v>1.23991055131425</v>
      </c>
      <c r="AB885">
        <v>441.116</v>
      </c>
      <c r="AC885">
        <v>1.22991055769833</v>
      </c>
      <c r="AE885">
        <v>441.116</v>
      </c>
      <c r="AF885">
        <v>-2091.75318560099</v>
      </c>
      <c r="AG885">
        <v>-1967.00818918079</v>
      </c>
      <c r="AH885">
        <v>-2049.31560235925</v>
      </c>
      <c r="AI885">
        <v>-2011.70027776149</v>
      </c>
      <c r="AJ885">
        <v>-2093.54483123849</v>
      </c>
    </row>
    <row r="886" spans="20:36">
      <c r="T886">
        <v>441.615</v>
      </c>
      <c r="U886">
        <v>1.22156868362088</v>
      </c>
      <c r="V886">
        <v>441.615</v>
      </c>
      <c r="W886">
        <v>1.22965981452602</v>
      </c>
      <c r="X886">
        <v>441.615</v>
      </c>
      <c r="Y886">
        <v>1.23171313212657</v>
      </c>
      <c r="Z886">
        <v>441.615</v>
      </c>
      <c r="AA886">
        <v>1.23006693825267</v>
      </c>
      <c r="AB886">
        <v>441.615</v>
      </c>
      <c r="AC886">
        <v>1.22713289151496</v>
      </c>
      <c r="AE886">
        <v>441.615</v>
      </c>
      <c r="AF886">
        <v>-1959.11967134388</v>
      </c>
      <c r="AG886">
        <v>-1952.17343080719</v>
      </c>
      <c r="AH886">
        <v>-2172.1860142238</v>
      </c>
      <c r="AI886">
        <v>-2166.01433059541</v>
      </c>
      <c r="AJ886">
        <v>-2037.26565210933</v>
      </c>
    </row>
    <row r="887" spans="20:36">
      <c r="T887">
        <v>442.114</v>
      </c>
      <c r="U887">
        <v>1.22298503195083</v>
      </c>
      <c r="V887">
        <v>442.114</v>
      </c>
      <c r="W887">
        <v>1.22515394209477</v>
      </c>
      <c r="X887">
        <v>442.114</v>
      </c>
      <c r="Y887">
        <v>1.22611820264569</v>
      </c>
      <c r="Z887">
        <v>442.114</v>
      </c>
      <c r="AA887">
        <v>1.23288871673353</v>
      </c>
      <c r="AB887">
        <v>442.114</v>
      </c>
      <c r="AC887">
        <v>1.22899951406125</v>
      </c>
      <c r="AE887">
        <v>442.114</v>
      </c>
      <c r="AF887">
        <v>-2030.17754869105</v>
      </c>
      <c r="AG887">
        <v>-2143.18171481571</v>
      </c>
      <c r="AH887">
        <v>-1982.57471463403</v>
      </c>
      <c r="AI887">
        <v>-2129.89509753739</v>
      </c>
      <c r="AJ887">
        <v>-1946.01802977756</v>
      </c>
    </row>
    <row r="888" spans="20:36">
      <c r="T888">
        <v>442.613</v>
      </c>
      <c r="U888">
        <v>1.22759411007095</v>
      </c>
      <c r="V888">
        <v>442.613</v>
      </c>
      <c r="W888">
        <v>1.22732395989193</v>
      </c>
      <c r="X888">
        <v>442.613</v>
      </c>
      <c r="Y888">
        <v>1.2240479958795</v>
      </c>
      <c r="Z888">
        <v>442.613</v>
      </c>
      <c r="AA888">
        <v>1.23326053859</v>
      </c>
      <c r="AB888">
        <v>442.613</v>
      </c>
      <c r="AC888">
        <v>1.22122336348937</v>
      </c>
      <c r="AE888">
        <v>442.613</v>
      </c>
      <c r="AF888">
        <v>-2038.27270737584</v>
      </c>
      <c r="AG888">
        <v>-2144.40564908038</v>
      </c>
      <c r="AH888">
        <v>-1828.65823692962</v>
      </c>
      <c r="AI888">
        <v>-1998.91623567755</v>
      </c>
      <c r="AJ888">
        <v>-1988.16940430283</v>
      </c>
    </row>
    <row r="889" spans="20:36">
      <c r="T889">
        <v>443.112</v>
      </c>
      <c r="U889">
        <v>1.22644793241005</v>
      </c>
      <c r="V889">
        <v>443.112</v>
      </c>
      <c r="W889">
        <v>1.22722237659815</v>
      </c>
      <c r="X889">
        <v>443.112</v>
      </c>
      <c r="Y889">
        <v>1.23286278953435</v>
      </c>
      <c r="Z889">
        <v>443.112</v>
      </c>
      <c r="AA889">
        <v>1.2318170303992</v>
      </c>
      <c r="AB889">
        <v>443.112</v>
      </c>
      <c r="AC889">
        <v>1.22884509116391</v>
      </c>
      <c r="AE889">
        <v>443.112</v>
      </c>
      <c r="AF889">
        <v>-2021.33119063789</v>
      </c>
      <c r="AG889">
        <v>-2065.10549947276</v>
      </c>
      <c r="AH889">
        <v>-1994.95624497401</v>
      </c>
      <c r="AI889">
        <v>-1841.45303631446</v>
      </c>
      <c r="AJ889">
        <v>-2046.619405514</v>
      </c>
    </row>
    <row r="890" spans="20:36">
      <c r="T890">
        <v>443.611</v>
      </c>
      <c r="U890">
        <v>1.21999383734397</v>
      </c>
      <c r="V890">
        <v>443.611</v>
      </c>
      <c r="W890">
        <v>1.22557052065837</v>
      </c>
      <c r="X890">
        <v>443.611</v>
      </c>
      <c r="Y890">
        <v>1.22577643170272</v>
      </c>
      <c r="Z890">
        <v>443.611</v>
      </c>
      <c r="AA890">
        <v>1.24586235069578</v>
      </c>
      <c r="AB890">
        <v>443.611</v>
      </c>
      <c r="AC890">
        <v>1.22110660581692</v>
      </c>
      <c r="AE890">
        <v>443.611</v>
      </c>
      <c r="AF890">
        <v>-2048.07328353352</v>
      </c>
      <c r="AG890">
        <v>-1911.42083432253</v>
      </c>
      <c r="AH890">
        <v>-2164.09809152633</v>
      </c>
      <c r="AI890">
        <v>-1982.38458223187</v>
      </c>
      <c r="AJ890">
        <v>-2051.00451476113</v>
      </c>
    </row>
    <row r="891" spans="20:36">
      <c r="T891">
        <v>444.11</v>
      </c>
      <c r="U891">
        <v>1.22737542849644</v>
      </c>
      <c r="V891">
        <v>444.11</v>
      </c>
      <c r="W891">
        <v>1.22180684966257</v>
      </c>
      <c r="X891">
        <v>444.11</v>
      </c>
      <c r="Y891">
        <v>1.22759522421647</v>
      </c>
      <c r="Z891">
        <v>444.11</v>
      </c>
      <c r="AA891">
        <v>1.24515159135543</v>
      </c>
      <c r="AB891">
        <v>444.11</v>
      </c>
      <c r="AC891">
        <v>1.235219442192</v>
      </c>
      <c r="AE891">
        <v>444.11</v>
      </c>
      <c r="AF891">
        <v>-2057.54417534042</v>
      </c>
      <c r="AG891">
        <v>-1956.61451663917</v>
      </c>
      <c r="AH891">
        <v>-2111.29053099127</v>
      </c>
      <c r="AI891">
        <v>-2223.82474820742</v>
      </c>
      <c r="AJ891">
        <v>-1989.89286193616</v>
      </c>
    </row>
    <row r="892" spans="20:36">
      <c r="T892">
        <v>444.609</v>
      </c>
      <c r="U892">
        <v>1.22233054007637</v>
      </c>
      <c r="V892">
        <v>444.609</v>
      </c>
      <c r="W892">
        <v>1.22679023093142</v>
      </c>
      <c r="X892">
        <v>444.609</v>
      </c>
      <c r="Y892">
        <v>1.22726038077856</v>
      </c>
      <c r="Z892">
        <v>444.609</v>
      </c>
      <c r="AA892">
        <v>1.23232854316408</v>
      </c>
      <c r="AB892">
        <v>444.609</v>
      </c>
      <c r="AC892">
        <v>1.22825737070431</v>
      </c>
      <c r="AE892">
        <v>444.609</v>
      </c>
      <c r="AF892">
        <v>-2028.59000714543</v>
      </c>
      <c r="AG892">
        <v>-2056.72998365461</v>
      </c>
      <c r="AH892">
        <v>-1983.98770443476</v>
      </c>
      <c r="AI892">
        <v>-2195.04329780574</v>
      </c>
      <c r="AJ892">
        <v>-1973.06643341917</v>
      </c>
    </row>
    <row r="893" spans="20:36">
      <c r="T893">
        <v>445.108</v>
      </c>
      <c r="U893">
        <v>1.22377953057262</v>
      </c>
      <c r="V893">
        <v>445.108</v>
      </c>
      <c r="W893">
        <v>1.22431567678205</v>
      </c>
      <c r="X893">
        <v>445.108</v>
      </c>
      <c r="Y893">
        <v>1.22852813771217</v>
      </c>
      <c r="Z893">
        <v>445.108</v>
      </c>
      <c r="AA893">
        <v>1.24032739901995</v>
      </c>
      <c r="AB893">
        <v>445.108</v>
      </c>
      <c r="AC893">
        <v>1.22507941975526</v>
      </c>
      <c r="AE893">
        <v>445.108</v>
      </c>
      <c r="AF893">
        <v>-2069.84513687762</v>
      </c>
      <c r="AG893">
        <v>-2116.22456385609</v>
      </c>
      <c r="AH893">
        <v>-1880.64865678353</v>
      </c>
      <c r="AI893">
        <v>-2045.80170637269</v>
      </c>
      <c r="AJ893">
        <v>-2035.93018221536</v>
      </c>
    </row>
    <row r="894" spans="20:36">
      <c r="T894">
        <v>445.607</v>
      </c>
      <c r="U894">
        <v>1.23065615124716</v>
      </c>
      <c r="V894">
        <v>445.607</v>
      </c>
      <c r="W894">
        <v>1.22238815596102</v>
      </c>
      <c r="X894">
        <v>445.607</v>
      </c>
      <c r="Y894">
        <v>1.22983854249175</v>
      </c>
      <c r="Z894">
        <v>445.607</v>
      </c>
      <c r="AA894">
        <v>1.23863643903547</v>
      </c>
      <c r="AB894">
        <v>445.607</v>
      </c>
      <c r="AC894">
        <v>1.23601119007835</v>
      </c>
      <c r="AE894">
        <v>445.607</v>
      </c>
      <c r="AF894">
        <v>-2126.03363018265</v>
      </c>
      <c r="AG894">
        <v>-2077.56003535098</v>
      </c>
      <c r="AH894">
        <v>-2024.29036727295</v>
      </c>
      <c r="AI894">
        <v>-1938.90607239001</v>
      </c>
      <c r="AJ894">
        <v>-2095.3098771697</v>
      </c>
    </row>
    <row r="895" spans="20:36">
      <c r="T895">
        <v>446.106</v>
      </c>
      <c r="U895">
        <v>1.22664257987452</v>
      </c>
      <c r="V895">
        <v>446.106</v>
      </c>
      <c r="W895">
        <v>1.22140594004019</v>
      </c>
      <c r="X895">
        <v>446.106</v>
      </c>
      <c r="Y895">
        <v>1.2360284330361</v>
      </c>
      <c r="Z895">
        <v>446.106</v>
      </c>
      <c r="AA895">
        <v>1.24219088114396</v>
      </c>
      <c r="AB895">
        <v>446.106</v>
      </c>
      <c r="AC895">
        <v>1.23032768716876</v>
      </c>
      <c r="AE895">
        <v>446.106</v>
      </c>
      <c r="AF895">
        <v>-1970.04665051846</v>
      </c>
      <c r="AG895">
        <v>-2049.16667043815</v>
      </c>
      <c r="AH895">
        <v>-2078.47400062109</v>
      </c>
      <c r="AI895">
        <v>-2007.89296592231</v>
      </c>
      <c r="AJ895">
        <v>-2031.50027422007</v>
      </c>
    </row>
    <row r="896" spans="20:36">
      <c r="T896">
        <v>446.605</v>
      </c>
      <c r="U896">
        <v>1.23297051917566</v>
      </c>
      <c r="V896">
        <v>446.605</v>
      </c>
      <c r="W896">
        <v>1.22121782073784</v>
      </c>
      <c r="X896">
        <v>446.605</v>
      </c>
      <c r="Y896">
        <v>1.23016815276</v>
      </c>
      <c r="Z896">
        <v>446.605</v>
      </c>
      <c r="AA896">
        <v>1.24012203520902</v>
      </c>
      <c r="AB896">
        <v>446.605</v>
      </c>
      <c r="AC896">
        <v>1.22749196225222</v>
      </c>
      <c r="AE896">
        <v>446.605</v>
      </c>
      <c r="AF896">
        <v>-1967.91116085489</v>
      </c>
      <c r="AG896">
        <v>-2010.07635484446</v>
      </c>
      <c r="AH896">
        <v>-2123.37216899504</v>
      </c>
      <c r="AI896">
        <v>-2091.41747640172</v>
      </c>
      <c r="AJ896">
        <v>-2080.41724704848</v>
      </c>
    </row>
    <row r="897" spans="20:36">
      <c r="T897">
        <v>447.104</v>
      </c>
      <c r="U897">
        <v>1.21885575754306</v>
      </c>
      <c r="V897">
        <v>447.104</v>
      </c>
      <c r="W897">
        <v>1.22105424401172</v>
      </c>
      <c r="X897">
        <v>447.104</v>
      </c>
      <c r="Y897">
        <v>1.2283377682114</v>
      </c>
      <c r="Z897">
        <v>447.104</v>
      </c>
      <c r="AA897">
        <v>1.22914348319554</v>
      </c>
      <c r="AB897">
        <v>447.104</v>
      </c>
      <c r="AC897">
        <v>1.22914874086301</v>
      </c>
      <c r="AE897">
        <v>447.104</v>
      </c>
      <c r="AF897">
        <v>-1982.53121073638</v>
      </c>
      <c r="AG897">
        <v>-1998.74885520326</v>
      </c>
      <c r="AH897">
        <v>-2053.38587587708</v>
      </c>
      <c r="AI897">
        <v>-2064.88141287893</v>
      </c>
      <c r="AJ897">
        <v>-1932.91467068481</v>
      </c>
    </row>
    <row r="898" spans="20:36">
      <c r="T898">
        <v>447.603</v>
      </c>
      <c r="U898">
        <v>1.22990045906944</v>
      </c>
      <c r="V898">
        <v>447.603</v>
      </c>
      <c r="W898">
        <v>1.22033937603245</v>
      </c>
      <c r="X898">
        <v>447.603</v>
      </c>
      <c r="Y898">
        <v>1.22185129920316</v>
      </c>
      <c r="Z898">
        <v>447.603</v>
      </c>
      <c r="AA898">
        <v>1.23487040060764</v>
      </c>
      <c r="AB898">
        <v>447.603</v>
      </c>
      <c r="AC898">
        <v>1.23463756132326</v>
      </c>
      <c r="AE898">
        <v>447.603</v>
      </c>
      <c r="AF898">
        <v>-2159.85627490086</v>
      </c>
      <c r="AG898">
        <v>-2054.85638459887</v>
      </c>
      <c r="AH898">
        <v>-1962.43002412386</v>
      </c>
      <c r="AI898">
        <v>-1983.79317717539</v>
      </c>
      <c r="AJ898">
        <v>-1993.74632357815</v>
      </c>
    </row>
    <row r="899" spans="20:36">
      <c r="T899">
        <v>448.102</v>
      </c>
      <c r="U899">
        <v>1.22391312747275</v>
      </c>
      <c r="V899">
        <v>448.102</v>
      </c>
      <c r="W899">
        <v>1.22743888781509</v>
      </c>
      <c r="X899">
        <v>448.102</v>
      </c>
      <c r="Y899">
        <v>1.22613538803892</v>
      </c>
      <c r="Z899">
        <v>448.102</v>
      </c>
      <c r="AA899">
        <v>1.24074457571509</v>
      </c>
      <c r="AB899">
        <v>448.102</v>
      </c>
      <c r="AC899">
        <v>1.2298241686556</v>
      </c>
      <c r="AE899">
        <v>448.102</v>
      </c>
      <c r="AF899">
        <v>-2039.91020668037</v>
      </c>
      <c r="AG899">
        <v>-2148.42519440427</v>
      </c>
      <c r="AH899">
        <v>-1893.25086327895</v>
      </c>
      <c r="AI899">
        <v>-1974.86726213201</v>
      </c>
      <c r="AJ899">
        <v>-1991.38481916343</v>
      </c>
    </row>
    <row r="900" spans="20:36">
      <c r="T900">
        <v>448.601</v>
      </c>
      <c r="U900">
        <v>1.22638355651929</v>
      </c>
      <c r="V900">
        <v>448.601</v>
      </c>
      <c r="W900">
        <v>1.21511316755894</v>
      </c>
      <c r="X900">
        <v>448.601</v>
      </c>
      <c r="Y900">
        <v>1.22648012303462</v>
      </c>
      <c r="Z900">
        <v>448.601</v>
      </c>
      <c r="AA900">
        <v>1.23539478162713</v>
      </c>
      <c r="AB900">
        <v>448.601</v>
      </c>
      <c r="AC900">
        <v>1.22656022482009</v>
      </c>
      <c r="AE900">
        <v>448.601</v>
      </c>
      <c r="AF900">
        <v>-1933.52051279548</v>
      </c>
      <c r="AG900">
        <v>-2008.75013205714</v>
      </c>
      <c r="AH900">
        <v>-2037.88828438562</v>
      </c>
      <c r="AI900">
        <v>-2039.51344355498</v>
      </c>
      <c r="AJ900">
        <v>-2009.30338801882</v>
      </c>
    </row>
    <row r="901" spans="20:36">
      <c r="T901">
        <v>449.1</v>
      </c>
      <c r="U901">
        <v>1.22616580409538</v>
      </c>
      <c r="V901">
        <v>449.1</v>
      </c>
      <c r="W901">
        <v>1.21827240764356</v>
      </c>
      <c r="X901">
        <v>449.1</v>
      </c>
      <c r="Y901">
        <v>1.23063417733125</v>
      </c>
      <c r="Z901">
        <v>449.1</v>
      </c>
      <c r="AA901">
        <v>1.23863908482209</v>
      </c>
      <c r="AB901">
        <v>449.1</v>
      </c>
      <c r="AC901">
        <v>1.2275099989526</v>
      </c>
      <c r="AE901">
        <v>449.1</v>
      </c>
      <c r="AF901">
        <v>-1961.50467333136</v>
      </c>
      <c r="AG901">
        <v>-1925.34514562848</v>
      </c>
      <c r="AH901">
        <v>-2167.38730672944</v>
      </c>
      <c r="AI901">
        <v>-2100.36509366341</v>
      </c>
      <c r="AJ901">
        <v>-1977.45162170404</v>
      </c>
    </row>
    <row r="902" spans="20:36">
      <c r="T902">
        <v>449.599</v>
      </c>
      <c r="U902">
        <v>1.23349484740302</v>
      </c>
      <c r="V902">
        <v>449.599</v>
      </c>
      <c r="W902">
        <v>1.22546910829655</v>
      </c>
      <c r="X902">
        <v>449.599</v>
      </c>
      <c r="Y902">
        <v>1.22823769700649</v>
      </c>
      <c r="Z902">
        <v>449.599</v>
      </c>
      <c r="AA902">
        <v>1.23085860377508</v>
      </c>
      <c r="AB902">
        <v>449.599</v>
      </c>
      <c r="AC902">
        <v>1.2327858688388</v>
      </c>
      <c r="AE902">
        <v>449.599</v>
      </c>
      <c r="AF902">
        <v>-2132.46650825399</v>
      </c>
      <c r="AG902">
        <v>-2043.44304524562</v>
      </c>
      <c r="AH902">
        <v>-1999.07595470254</v>
      </c>
      <c r="AI902">
        <v>-2028.64844452243</v>
      </c>
      <c r="AJ902">
        <v>-2061.87432625222</v>
      </c>
    </row>
    <row r="903" spans="20:36">
      <c r="T903">
        <v>450.098</v>
      </c>
      <c r="U903">
        <v>1.23806004746744</v>
      </c>
      <c r="V903">
        <v>450.098</v>
      </c>
      <c r="W903">
        <v>1.23144828664969</v>
      </c>
      <c r="X903">
        <v>450.098</v>
      </c>
      <c r="Y903">
        <v>1.22856112580689</v>
      </c>
      <c r="Z903">
        <v>450.098</v>
      </c>
      <c r="AA903">
        <v>1.23626709655819</v>
      </c>
      <c r="AB903">
        <v>450.098</v>
      </c>
      <c r="AC903">
        <v>1.22460427768</v>
      </c>
      <c r="AE903">
        <v>450.098</v>
      </c>
      <c r="AF903">
        <v>-2182.57593531582</v>
      </c>
      <c r="AG903">
        <v>-2159.16554139174</v>
      </c>
      <c r="AH903">
        <v>-1866.06347570905</v>
      </c>
      <c r="AI903">
        <v>-2009.77147551398</v>
      </c>
      <c r="AJ903">
        <v>-2025.22431206653</v>
      </c>
    </row>
    <row r="904" spans="20:36">
      <c r="T904">
        <v>450.597</v>
      </c>
      <c r="U904">
        <v>1.22531736839117</v>
      </c>
      <c r="V904">
        <v>450.597</v>
      </c>
      <c r="W904">
        <v>1.22498100826696</v>
      </c>
      <c r="X904">
        <v>450.597</v>
      </c>
      <c r="Y904">
        <v>1.22620956657307</v>
      </c>
      <c r="Z904">
        <v>450.597</v>
      </c>
      <c r="AA904">
        <v>1.23719442461693</v>
      </c>
      <c r="AB904">
        <v>450.597</v>
      </c>
      <c r="AC904">
        <v>1.22750117508897</v>
      </c>
      <c r="AE904">
        <v>450.597</v>
      </c>
      <c r="AF904">
        <v>-1975.81524170413</v>
      </c>
      <c r="AG904">
        <v>-2055.17670805386</v>
      </c>
      <c r="AH904">
        <v>-2009.81504821979</v>
      </c>
      <c r="AI904">
        <v>-1977.96678136214</v>
      </c>
      <c r="AJ904">
        <v>-2008.28185223106</v>
      </c>
    </row>
    <row r="905" spans="20:36">
      <c r="T905">
        <v>451.096</v>
      </c>
      <c r="U905">
        <v>1.22935161643102</v>
      </c>
      <c r="V905">
        <v>451.096</v>
      </c>
      <c r="W905">
        <v>1.22323934696623</v>
      </c>
      <c r="X905">
        <v>451.096</v>
      </c>
      <c r="Y905">
        <v>1.2261943821786</v>
      </c>
      <c r="Z905">
        <v>451.096</v>
      </c>
      <c r="AA905">
        <v>1.24046433176957</v>
      </c>
      <c r="AB905">
        <v>451.096</v>
      </c>
      <c r="AC905">
        <v>1.23823113616756</v>
      </c>
      <c r="AE905">
        <v>451.096</v>
      </c>
      <c r="AF905">
        <v>-1947.74001594939</v>
      </c>
      <c r="AG905">
        <v>-1933.39735516402</v>
      </c>
      <c r="AH905">
        <v>-2091.69810232488</v>
      </c>
      <c r="AI905">
        <v>-2059.20864703306</v>
      </c>
      <c r="AJ905">
        <v>-2070.04397013375</v>
      </c>
    </row>
    <row r="906" spans="20:36">
      <c r="T906">
        <v>451.595</v>
      </c>
      <c r="U906">
        <v>1.23315106745167</v>
      </c>
      <c r="V906">
        <v>451.595</v>
      </c>
      <c r="W906">
        <v>1.21773167552629</v>
      </c>
      <c r="X906">
        <v>451.595</v>
      </c>
      <c r="Y906">
        <v>1.22900175806835</v>
      </c>
      <c r="Z906">
        <v>451.595</v>
      </c>
      <c r="AA906">
        <v>1.24062683532196</v>
      </c>
      <c r="AB906">
        <v>451.595</v>
      </c>
      <c r="AC906">
        <v>1.22882939878214</v>
      </c>
      <c r="AE906">
        <v>451.595</v>
      </c>
      <c r="AF906">
        <v>-2086.47878904085</v>
      </c>
      <c r="AG906">
        <v>-1975.15926762082</v>
      </c>
      <c r="AH906">
        <v>-2069.23755995822</v>
      </c>
      <c r="AI906">
        <v>-2040.96875797935</v>
      </c>
      <c r="AJ906">
        <v>-1983.84469356055</v>
      </c>
    </row>
    <row r="907" spans="20:36">
      <c r="T907">
        <v>452.094</v>
      </c>
      <c r="U907">
        <v>1.22805687254614</v>
      </c>
      <c r="V907">
        <v>452.094</v>
      </c>
      <c r="W907">
        <v>1.22355409009826</v>
      </c>
      <c r="X907">
        <v>452.094</v>
      </c>
      <c r="Y907">
        <v>1.23279626788297</v>
      </c>
      <c r="Z907">
        <v>452.094</v>
      </c>
      <c r="AA907">
        <v>1.23045741503954</v>
      </c>
      <c r="AB907">
        <v>452.094</v>
      </c>
      <c r="AC907">
        <v>1.23288191095349</v>
      </c>
      <c r="AE907">
        <v>452.094</v>
      </c>
      <c r="AF907">
        <v>-2166.78450515799</v>
      </c>
      <c r="AG907">
        <v>-2080.28254213788</v>
      </c>
      <c r="AH907">
        <v>-1916.49140107096</v>
      </c>
      <c r="AI907">
        <v>-2078.6910584603</v>
      </c>
      <c r="AJ907">
        <v>-2009.31298085421</v>
      </c>
    </row>
    <row r="908" spans="20:36">
      <c r="T908">
        <v>452.593</v>
      </c>
      <c r="U908">
        <v>1.23727061528138</v>
      </c>
      <c r="V908">
        <v>452.593</v>
      </c>
      <c r="W908">
        <v>1.23332214489644</v>
      </c>
      <c r="X908">
        <v>452.593</v>
      </c>
      <c r="Y908">
        <v>1.23333260896917</v>
      </c>
      <c r="Z908">
        <v>452.593</v>
      </c>
      <c r="AA908">
        <v>1.2311666434326</v>
      </c>
      <c r="AB908">
        <v>452.593</v>
      </c>
      <c r="AC908">
        <v>1.22978570493701</v>
      </c>
      <c r="AE908">
        <v>452.593</v>
      </c>
      <c r="AF908">
        <v>-2041.5823388136</v>
      </c>
      <c r="AG908">
        <v>-2183.68409564276</v>
      </c>
      <c r="AH908">
        <v>-1914.01486672697</v>
      </c>
      <c r="AI908">
        <v>-2036.69431868367</v>
      </c>
      <c r="AJ908">
        <v>-1970.38946508827</v>
      </c>
    </row>
    <row r="909" spans="20:36">
      <c r="T909">
        <v>453.092</v>
      </c>
      <c r="U909">
        <v>1.2284997795972</v>
      </c>
      <c r="V909">
        <v>453.092</v>
      </c>
      <c r="W909">
        <v>1.22272843899885</v>
      </c>
      <c r="X909">
        <v>453.092</v>
      </c>
      <c r="Y909">
        <v>1.22541479126421</v>
      </c>
      <c r="Z909">
        <v>453.092</v>
      </c>
      <c r="AA909">
        <v>1.23615283761186</v>
      </c>
      <c r="AB909">
        <v>453.092</v>
      </c>
      <c r="AC909">
        <v>1.22965649896192</v>
      </c>
      <c r="AE909">
        <v>453.092</v>
      </c>
      <c r="AF909">
        <v>-1867.13452167194</v>
      </c>
      <c r="AG909">
        <v>-2087.28303538487</v>
      </c>
      <c r="AH909">
        <v>-2010.24318431962</v>
      </c>
      <c r="AI909">
        <v>-2033.25360143878</v>
      </c>
      <c r="AJ909">
        <v>-2030.6547489593</v>
      </c>
    </row>
    <row r="910" spans="20:36">
      <c r="T910">
        <v>453.591</v>
      </c>
      <c r="U910">
        <v>1.22914381311677</v>
      </c>
      <c r="V910">
        <v>453.591</v>
      </c>
      <c r="W910">
        <v>1.22123390284906</v>
      </c>
      <c r="X910">
        <v>453.591</v>
      </c>
      <c r="Y910">
        <v>1.22626911699435</v>
      </c>
      <c r="Z910">
        <v>453.591</v>
      </c>
      <c r="AA910">
        <v>1.23778054494145</v>
      </c>
      <c r="AB910">
        <v>453.591</v>
      </c>
      <c r="AC910">
        <v>1.22532442303225</v>
      </c>
      <c r="AE910">
        <v>453.591</v>
      </c>
      <c r="AF910">
        <v>-1907.23058752525</v>
      </c>
      <c r="AG910">
        <v>-1892.74229546146</v>
      </c>
      <c r="AH910">
        <v>-2087.69731573788</v>
      </c>
      <c r="AI910">
        <v>-2042.32903290124</v>
      </c>
      <c r="AJ910">
        <v>-2082.07052633261</v>
      </c>
    </row>
    <row r="911" spans="20:36">
      <c r="T911">
        <v>454.09</v>
      </c>
      <c r="U911">
        <v>1.23696648575944</v>
      </c>
      <c r="V911">
        <v>454.09</v>
      </c>
      <c r="W911">
        <v>1.23106414585399</v>
      </c>
      <c r="X911">
        <v>454.09</v>
      </c>
      <c r="Y911">
        <v>1.22400760169917</v>
      </c>
      <c r="Z911">
        <v>454.09</v>
      </c>
      <c r="AA911">
        <v>1.23432103162716</v>
      </c>
      <c r="AB911">
        <v>454.09</v>
      </c>
      <c r="AC911">
        <v>1.23136948022614</v>
      </c>
      <c r="AE911">
        <v>454.09</v>
      </c>
      <c r="AF911">
        <v>-2101.33110761961</v>
      </c>
      <c r="AG911">
        <v>-1947.93464015948</v>
      </c>
      <c r="AH911">
        <v>-2072.24442007814</v>
      </c>
      <c r="AI911">
        <v>-2058.57216570788</v>
      </c>
      <c r="AJ911">
        <v>-2092.70964564352</v>
      </c>
    </row>
    <row r="912" spans="20:36">
      <c r="T912">
        <v>454.589</v>
      </c>
      <c r="U912">
        <v>1.23788538979452</v>
      </c>
      <c r="V912">
        <v>454.589</v>
      </c>
      <c r="W912">
        <v>1.22499935160474</v>
      </c>
      <c r="X912">
        <v>454.589</v>
      </c>
      <c r="Y912">
        <v>1.22749172815392</v>
      </c>
      <c r="Z912">
        <v>454.589</v>
      </c>
      <c r="AA912">
        <v>1.23774866472236</v>
      </c>
      <c r="AB912">
        <v>454.589</v>
      </c>
      <c r="AC912">
        <v>1.23365108984362</v>
      </c>
      <c r="AE912">
        <v>454.589</v>
      </c>
      <c r="AF912">
        <v>-2168.33071418524</v>
      </c>
      <c r="AG912">
        <v>-2132.58730614121</v>
      </c>
      <c r="AH912">
        <v>-2013.26472426569</v>
      </c>
      <c r="AI912">
        <v>-2105.3080529332</v>
      </c>
      <c r="AJ912">
        <v>-2005.6832614345</v>
      </c>
    </row>
    <row r="913" spans="20:36">
      <c r="T913">
        <v>455.088</v>
      </c>
      <c r="U913">
        <v>1.23405482386846</v>
      </c>
      <c r="V913">
        <v>455.088</v>
      </c>
      <c r="W913">
        <v>1.22435793332181</v>
      </c>
      <c r="X913">
        <v>455.088</v>
      </c>
      <c r="Y913">
        <v>1.23183569173963</v>
      </c>
      <c r="Z913">
        <v>455.088</v>
      </c>
      <c r="AA913">
        <v>1.24004437284192</v>
      </c>
      <c r="AB913">
        <v>455.088</v>
      </c>
      <c r="AC913">
        <v>1.2310277932845</v>
      </c>
      <c r="AE913">
        <v>455.088</v>
      </c>
      <c r="AF913">
        <v>-2119.71498498573</v>
      </c>
      <c r="AG913">
        <v>-2150.2963675143</v>
      </c>
      <c r="AH913">
        <v>-1941.3583714823</v>
      </c>
      <c r="AI913">
        <v>-2131.64782657577</v>
      </c>
      <c r="AJ913">
        <v>-1974.73439219623</v>
      </c>
    </row>
    <row r="914" spans="20:36">
      <c r="T914">
        <v>455.587</v>
      </c>
      <c r="U914">
        <v>1.2319941658031</v>
      </c>
      <c r="V914">
        <v>455.587</v>
      </c>
      <c r="W914">
        <v>1.22199254110366</v>
      </c>
      <c r="X914">
        <v>455.587</v>
      </c>
      <c r="Y914">
        <v>1.2286723456464</v>
      </c>
      <c r="Z914">
        <v>455.587</v>
      </c>
      <c r="AA914">
        <v>1.23386876330962</v>
      </c>
      <c r="AB914">
        <v>455.587</v>
      </c>
      <c r="AC914">
        <v>1.23456675492616</v>
      </c>
      <c r="AE914">
        <v>455.587</v>
      </c>
      <c r="AF914">
        <v>-1969.75233413536</v>
      </c>
      <c r="AG914">
        <v>-2091.42001646304</v>
      </c>
      <c r="AH914">
        <v>-1927.40829916088</v>
      </c>
      <c r="AI914">
        <v>-2032.1954413871</v>
      </c>
      <c r="AJ914">
        <v>-2028.342757996</v>
      </c>
    </row>
    <row r="915" spans="20:36">
      <c r="T915">
        <v>456.086</v>
      </c>
      <c r="U915">
        <v>1.23278053993229</v>
      </c>
      <c r="V915">
        <v>456.086</v>
      </c>
      <c r="W915">
        <v>1.22778390342967</v>
      </c>
      <c r="X915">
        <v>456.086</v>
      </c>
      <c r="Y915">
        <v>1.2306182111825</v>
      </c>
      <c r="Z915">
        <v>456.086</v>
      </c>
      <c r="AA915">
        <v>1.24150575464131</v>
      </c>
      <c r="AB915">
        <v>456.086</v>
      </c>
      <c r="AC915">
        <v>1.23159118277288</v>
      </c>
      <c r="AE915">
        <v>456.086</v>
      </c>
      <c r="AF915">
        <v>-2035.47833911195</v>
      </c>
      <c r="AG915">
        <v>-2027.3286810985</v>
      </c>
      <c r="AH915">
        <v>-2039.81793314346</v>
      </c>
      <c r="AI915">
        <v>-1860.07317469826</v>
      </c>
      <c r="AJ915">
        <v>-2183.88382928853</v>
      </c>
    </row>
    <row r="916" spans="20:36">
      <c r="T916">
        <v>456.585</v>
      </c>
      <c r="U916">
        <v>1.23649531480057</v>
      </c>
      <c r="V916">
        <v>456.585</v>
      </c>
      <c r="W916">
        <v>1.22279626308027</v>
      </c>
      <c r="X916">
        <v>456.585</v>
      </c>
      <c r="Y916">
        <v>1.22679924943792</v>
      </c>
      <c r="Z916">
        <v>456.585</v>
      </c>
      <c r="AA916">
        <v>1.24633434855402</v>
      </c>
      <c r="AB916">
        <v>456.585</v>
      </c>
      <c r="AC916">
        <v>1.23223306993563</v>
      </c>
      <c r="AE916">
        <v>456.585</v>
      </c>
      <c r="AF916">
        <v>-2108.63476280838</v>
      </c>
      <c r="AG916">
        <v>-2024.84824111371</v>
      </c>
      <c r="AH916">
        <v>-2030.90471047833</v>
      </c>
      <c r="AI916">
        <v>-1986.29107925501</v>
      </c>
      <c r="AJ916">
        <v>-2052.82856071482</v>
      </c>
    </row>
    <row r="917" spans="20:36">
      <c r="T917">
        <v>457.084</v>
      </c>
      <c r="U917">
        <v>1.23596461348842</v>
      </c>
      <c r="V917">
        <v>457.084</v>
      </c>
      <c r="W917">
        <v>1.22380186830487</v>
      </c>
      <c r="X917">
        <v>457.084</v>
      </c>
      <c r="Y917">
        <v>1.23163579125183</v>
      </c>
      <c r="Z917">
        <v>457.084</v>
      </c>
      <c r="AA917">
        <v>1.24091960027732</v>
      </c>
      <c r="AB917">
        <v>457.084</v>
      </c>
      <c r="AC917">
        <v>1.23124852778488</v>
      </c>
      <c r="AE917">
        <v>457.084</v>
      </c>
      <c r="AF917">
        <v>-2101.5024668962</v>
      </c>
      <c r="AG917">
        <v>-2078.26304962727</v>
      </c>
      <c r="AH917">
        <v>-2116.07632460488</v>
      </c>
      <c r="AI917">
        <v>-2065.82173899303</v>
      </c>
      <c r="AJ917">
        <v>-1945.58175151179</v>
      </c>
    </row>
    <row r="918" spans="20:36">
      <c r="T918">
        <v>457.583</v>
      </c>
      <c r="U918">
        <v>1.23913727954579</v>
      </c>
      <c r="V918">
        <v>457.583</v>
      </c>
      <c r="W918">
        <v>1.21331906145141</v>
      </c>
      <c r="X918">
        <v>457.583</v>
      </c>
      <c r="Y918">
        <v>1.2249891834714</v>
      </c>
      <c r="Z918">
        <v>457.583</v>
      </c>
      <c r="AA918">
        <v>1.23851507173249</v>
      </c>
      <c r="AB918">
        <v>457.583</v>
      </c>
      <c r="AC918">
        <v>1.23020350703255</v>
      </c>
      <c r="AE918">
        <v>457.583</v>
      </c>
      <c r="AF918">
        <v>-2078.53071341792</v>
      </c>
      <c r="AG918">
        <v>-2067.95812264452</v>
      </c>
      <c r="AH918">
        <v>-2052.9427281596</v>
      </c>
      <c r="AI918">
        <v>-2127.40561990346</v>
      </c>
      <c r="AJ918">
        <v>-1940.93405656342</v>
      </c>
    </row>
    <row r="919" spans="20:36">
      <c r="T919">
        <v>458.082</v>
      </c>
      <c r="U919">
        <v>1.23689290352137</v>
      </c>
      <c r="V919">
        <v>458.082</v>
      </c>
      <c r="W919">
        <v>1.22419082899372</v>
      </c>
      <c r="X919">
        <v>458.082</v>
      </c>
      <c r="Y919">
        <v>1.22790370848814</v>
      </c>
      <c r="Z919">
        <v>458.082</v>
      </c>
      <c r="AA919">
        <v>1.24098811716148</v>
      </c>
      <c r="AB919">
        <v>458.082</v>
      </c>
      <c r="AC919">
        <v>1.2345411465359</v>
      </c>
      <c r="AE919">
        <v>458.082</v>
      </c>
      <c r="AF919">
        <v>-2111.43023072896</v>
      </c>
      <c r="AG919">
        <v>-2091.91980316336</v>
      </c>
      <c r="AH919">
        <v>-1970.38018260451</v>
      </c>
      <c r="AI919">
        <v>-2090.39539983918</v>
      </c>
      <c r="AJ919">
        <v>-2041.24564841842</v>
      </c>
    </row>
    <row r="920" spans="20:36">
      <c r="T920">
        <v>458.581</v>
      </c>
      <c r="U920">
        <v>1.23587333166033</v>
      </c>
      <c r="V920">
        <v>458.581</v>
      </c>
      <c r="W920">
        <v>1.22935650027701</v>
      </c>
      <c r="X920">
        <v>458.581</v>
      </c>
      <c r="Y920">
        <v>1.22734365224958</v>
      </c>
      <c r="Z920">
        <v>458.581</v>
      </c>
      <c r="AA920">
        <v>1.2403902707389</v>
      </c>
      <c r="AB920">
        <v>458.581</v>
      </c>
      <c r="AC920">
        <v>1.23507237024358</v>
      </c>
      <c r="AE920">
        <v>458.581</v>
      </c>
      <c r="AF920">
        <v>-2043.84423214715</v>
      </c>
      <c r="AG920">
        <v>-2069.61335662747</v>
      </c>
      <c r="AH920">
        <v>-1925.70747298086</v>
      </c>
      <c r="AI920">
        <v>-1992.58156692799</v>
      </c>
      <c r="AJ920">
        <v>-2084.25638614781</v>
      </c>
    </row>
    <row r="921" spans="20:36">
      <c r="T921">
        <v>459.08</v>
      </c>
      <c r="U921">
        <v>1.24038026789499</v>
      </c>
      <c r="V921">
        <v>459.08</v>
      </c>
      <c r="W921">
        <v>1.22562242365235</v>
      </c>
      <c r="X921">
        <v>459.08</v>
      </c>
      <c r="Y921">
        <v>1.23580457111636</v>
      </c>
      <c r="Z921">
        <v>459.08</v>
      </c>
      <c r="AA921">
        <v>1.24091858341629</v>
      </c>
      <c r="AB921">
        <v>459.08</v>
      </c>
      <c r="AC921">
        <v>1.22614813718425</v>
      </c>
      <c r="AE921">
        <v>459.08</v>
      </c>
      <c r="AF921">
        <v>-1961.20511011998</v>
      </c>
      <c r="AG921">
        <v>-2116.30143247523</v>
      </c>
      <c r="AH921">
        <v>-1987.12097937585</v>
      </c>
      <c r="AI921">
        <v>-1983.34314818324</v>
      </c>
      <c r="AJ921">
        <v>-2075.57438783097</v>
      </c>
    </row>
    <row r="922" spans="20:36">
      <c r="T922">
        <v>459.579</v>
      </c>
      <c r="U922">
        <v>1.23090552118827</v>
      </c>
      <c r="V922">
        <v>459.579</v>
      </c>
      <c r="W922">
        <v>1.23322277423293</v>
      </c>
      <c r="X922">
        <v>459.579</v>
      </c>
      <c r="Y922">
        <v>1.22989821981366</v>
      </c>
      <c r="Z922">
        <v>459.579</v>
      </c>
      <c r="AA922">
        <v>1.23147585334519</v>
      </c>
      <c r="AB922">
        <v>459.579</v>
      </c>
      <c r="AC922">
        <v>1.23286490731105</v>
      </c>
      <c r="AE922">
        <v>459.579</v>
      </c>
      <c r="AF922">
        <v>-2025.30620283998</v>
      </c>
      <c r="AG922">
        <v>-2063.49536400757</v>
      </c>
      <c r="AH922">
        <v>-2085.38723667427</v>
      </c>
      <c r="AI922">
        <v>-2125.39974318322</v>
      </c>
      <c r="AJ922">
        <v>-2050.44894407663</v>
      </c>
    </row>
    <row r="923" spans="20:36">
      <c r="T923">
        <v>460.078</v>
      </c>
      <c r="U923">
        <v>1.23642627404655</v>
      </c>
      <c r="V923">
        <v>460.078</v>
      </c>
      <c r="W923">
        <v>1.22728247973997</v>
      </c>
      <c r="X923">
        <v>460.078</v>
      </c>
      <c r="Y923">
        <v>1.22753620376589</v>
      </c>
      <c r="Z923">
        <v>460.078</v>
      </c>
      <c r="AA923">
        <v>1.23080381218229</v>
      </c>
      <c r="AB923">
        <v>460.078</v>
      </c>
      <c r="AC923">
        <v>1.23538020255228</v>
      </c>
      <c r="AE923">
        <v>460.078</v>
      </c>
      <c r="AF923">
        <v>-2112.89261012267</v>
      </c>
      <c r="AG923">
        <v>-1976.22474691197</v>
      </c>
      <c r="AH923">
        <v>-2035.87944074128</v>
      </c>
      <c r="AI923">
        <v>-2119.03302672695</v>
      </c>
      <c r="AJ923">
        <v>-2060.68085902121</v>
      </c>
    </row>
    <row r="924" spans="20:36">
      <c r="T924">
        <v>460.577</v>
      </c>
      <c r="U924">
        <v>1.23153737415979</v>
      </c>
      <c r="V924">
        <v>460.577</v>
      </c>
      <c r="W924">
        <v>1.22016536047116</v>
      </c>
      <c r="X924">
        <v>460.577</v>
      </c>
      <c r="Y924">
        <v>1.22783217438919</v>
      </c>
      <c r="Z924">
        <v>460.577</v>
      </c>
      <c r="AA924">
        <v>1.23625128947612</v>
      </c>
      <c r="AB924">
        <v>460.577</v>
      </c>
      <c r="AC924">
        <v>1.22962893171643</v>
      </c>
      <c r="AE924">
        <v>460.577</v>
      </c>
      <c r="AF924">
        <v>-2221.6154265229</v>
      </c>
      <c r="AG924">
        <v>-1989.33709025391</v>
      </c>
      <c r="AH924">
        <v>-1863.55385893162</v>
      </c>
      <c r="AI924">
        <v>-1925.18865085752</v>
      </c>
      <c r="AJ924">
        <v>-2000.59841657268</v>
      </c>
    </row>
    <row r="925" spans="20:36">
      <c r="T925">
        <v>461.076</v>
      </c>
      <c r="U925">
        <v>1.22967373127875</v>
      </c>
      <c r="V925">
        <v>461.076</v>
      </c>
      <c r="W925">
        <v>1.22804669014448</v>
      </c>
      <c r="X925">
        <v>461.076</v>
      </c>
      <c r="Y925">
        <v>1.22723423345738</v>
      </c>
      <c r="Z925">
        <v>461.076</v>
      </c>
      <c r="AA925">
        <v>1.23296257384984</v>
      </c>
      <c r="AB925">
        <v>461.076</v>
      </c>
      <c r="AC925">
        <v>1.23032576331086</v>
      </c>
      <c r="AE925">
        <v>461.076</v>
      </c>
      <c r="AF925">
        <v>-2016.65705985506</v>
      </c>
      <c r="AG925">
        <v>-2074.01874744486</v>
      </c>
      <c r="AH925">
        <v>-1927.47341392333</v>
      </c>
      <c r="AI925">
        <v>-1826.25235242582</v>
      </c>
      <c r="AJ925">
        <v>-2006.64272881291</v>
      </c>
    </row>
    <row r="926" spans="20:36">
      <c r="T926">
        <v>461.575</v>
      </c>
      <c r="U926">
        <v>1.22595150640502</v>
      </c>
      <c r="V926">
        <v>461.575</v>
      </c>
      <c r="W926">
        <v>1.23506744011462</v>
      </c>
      <c r="X926">
        <v>461.575</v>
      </c>
      <c r="Y926">
        <v>1.23334654114839</v>
      </c>
      <c r="Z926">
        <v>461.575</v>
      </c>
      <c r="AA926">
        <v>1.24512250740015</v>
      </c>
      <c r="AB926">
        <v>461.575</v>
      </c>
      <c r="AC926">
        <v>1.23454570338092</v>
      </c>
      <c r="AE926">
        <v>461.575</v>
      </c>
      <c r="AF926">
        <v>-1816.62533373326</v>
      </c>
      <c r="AG926">
        <v>-2142.06378238602</v>
      </c>
      <c r="AH926">
        <v>-2058.06620056236</v>
      </c>
      <c r="AI926">
        <v>-2077.48297937108</v>
      </c>
      <c r="AJ926">
        <v>-2022.41103819931</v>
      </c>
    </row>
    <row r="927" spans="20:36">
      <c r="T927">
        <v>462.074</v>
      </c>
      <c r="U927">
        <v>1.23317468487699</v>
      </c>
      <c r="V927">
        <v>462.074</v>
      </c>
      <c r="W927">
        <v>1.22318248751925</v>
      </c>
      <c r="X927">
        <v>462.074</v>
      </c>
      <c r="Y927">
        <v>1.22897444992027</v>
      </c>
      <c r="Z927">
        <v>462.074</v>
      </c>
      <c r="AA927">
        <v>1.23412435489107</v>
      </c>
      <c r="AB927">
        <v>462.074</v>
      </c>
      <c r="AC927">
        <v>1.23122056227486</v>
      </c>
      <c r="AE927">
        <v>462.074</v>
      </c>
      <c r="AF927">
        <v>-2046.07192846634</v>
      </c>
      <c r="AG927">
        <v>-2085.14527570322</v>
      </c>
      <c r="AH927">
        <v>-2056.98861381498</v>
      </c>
      <c r="AI927">
        <v>-2168.40730638157</v>
      </c>
      <c r="AJ927">
        <v>-2018.00022197381</v>
      </c>
    </row>
    <row r="928" spans="20:36">
      <c r="T928">
        <v>462.573</v>
      </c>
      <c r="U928">
        <v>1.23541142701135</v>
      </c>
      <c r="V928">
        <v>462.573</v>
      </c>
      <c r="W928">
        <v>1.21875407118591</v>
      </c>
      <c r="X928">
        <v>462.573</v>
      </c>
      <c r="Y928">
        <v>1.22655864565652</v>
      </c>
      <c r="Z928">
        <v>462.573</v>
      </c>
      <c r="AA928">
        <v>1.23576670829733</v>
      </c>
      <c r="AB928">
        <v>462.573</v>
      </c>
      <c r="AC928">
        <v>1.23020443144732</v>
      </c>
      <c r="AE928">
        <v>462.573</v>
      </c>
      <c r="AF928">
        <v>-2186.23417051434</v>
      </c>
      <c r="AG928">
        <v>-1980.72362577145</v>
      </c>
      <c r="AH928">
        <v>-1993.38894764045</v>
      </c>
      <c r="AI928">
        <v>-2104.64040249143</v>
      </c>
      <c r="AJ928">
        <v>-2041.5789495142</v>
      </c>
    </row>
    <row r="929" spans="20:36">
      <c r="T929">
        <v>463.072</v>
      </c>
      <c r="U929">
        <v>1.23613665823623</v>
      </c>
      <c r="V929">
        <v>463.072</v>
      </c>
      <c r="W929">
        <v>1.22285008843945</v>
      </c>
      <c r="X929">
        <v>463.072</v>
      </c>
      <c r="Y929">
        <v>1.22231862818888</v>
      </c>
      <c r="Z929">
        <v>463.072</v>
      </c>
      <c r="AA929">
        <v>1.22813495979727</v>
      </c>
      <c r="AB929">
        <v>463.072</v>
      </c>
      <c r="AC929">
        <v>1.23454026287736</v>
      </c>
      <c r="AE929">
        <v>463.072</v>
      </c>
      <c r="AF929">
        <v>-2216.81667463247</v>
      </c>
      <c r="AG929">
        <v>-2062.07514120346</v>
      </c>
      <c r="AH929">
        <v>-1887.19355213747</v>
      </c>
      <c r="AI929">
        <v>-1952.80534921317</v>
      </c>
      <c r="AJ929">
        <v>-1971.51676212956</v>
      </c>
    </row>
    <row r="930" spans="20:36">
      <c r="T930">
        <v>463.571</v>
      </c>
      <c r="U930">
        <v>1.23487963756269</v>
      </c>
      <c r="V930">
        <v>463.571</v>
      </c>
      <c r="W930">
        <v>1.22941665205921</v>
      </c>
      <c r="X930">
        <v>463.571</v>
      </c>
      <c r="Y930">
        <v>1.23633995841257</v>
      </c>
      <c r="Z930">
        <v>463.571</v>
      </c>
      <c r="AA930">
        <v>1.23503774290504</v>
      </c>
      <c r="AB930">
        <v>463.571</v>
      </c>
      <c r="AC930">
        <v>1.22680281366794</v>
      </c>
      <c r="AE930">
        <v>463.571</v>
      </c>
      <c r="AF930">
        <v>-2013.39897458463</v>
      </c>
      <c r="AG930">
        <v>-2147.88512076905</v>
      </c>
      <c r="AH930">
        <v>-1939.33294306881</v>
      </c>
      <c r="AI930">
        <v>-1965.61974796858</v>
      </c>
      <c r="AJ930">
        <v>-2035.28166279537</v>
      </c>
    </row>
    <row r="931" spans="20:36">
      <c r="T931">
        <v>464.07</v>
      </c>
      <c r="U931">
        <v>1.23522229160518</v>
      </c>
      <c r="V931">
        <v>464.07</v>
      </c>
      <c r="W931">
        <v>1.22436215399303</v>
      </c>
      <c r="X931">
        <v>464.07</v>
      </c>
      <c r="Y931">
        <v>1.2278359640204</v>
      </c>
      <c r="Z931">
        <v>464.07</v>
      </c>
      <c r="AA931">
        <v>1.23124320692101</v>
      </c>
      <c r="AB931">
        <v>464.07</v>
      </c>
      <c r="AC931">
        <v>1.23134789309742</v>
      </c>
      <c r="AE931">
        <v>464.07</v>
      </c>
      <c r="AF931">
        <v>-1966.62078874269</v>
      </c>
      <c r="AG931">
        <v>-2094.78235150578</v>
      </c>
      <c r="AH931">
        <v>-2094.58134797047</v>
      </c>
      <c r="AI931">
        <v>-1989.90333741599</v>
      </c>
      <c r="AJ931">
        <v>-2085.80914596864</v>
      </c>
    </row>
    <row r="932" spans="20:36">
      <c r="T932">
        <v>464.569</v>
      </c>
      <c r="U932">
        <v>1.23488671461789</v>
      </c>
      <c r="V932">
        <v>464.569</v>
      </c>
      <c r="W932">
        <v>1.2249131250354</v>
      </c>
      <c r="X932">
        <v>464.569</v>
      </c>
      <c r="Y932">
        <v>1.22737038107082</v>
      </c>
      <c r="Z932">
        <v>464.569</v>
      </c>
      <c r="AA932">
        <v>1.23323051907324</v>
      </c>
      <c r="AB932">
        <v>464.569</v>
      </c>
      <c r="AC932">
        <v>1.23303646687238</v>
      </c>
      <c r="AE932">
        <v>464.569</v>
      </c>
      <c r="AF932">
        <v>-1999.22592046822</v>
      </c>
      <c r="AG932">
        <v>-1977.34042294925</v>
      </c>
      <c r="AH932">
        <v>-2072.44861158102</v>
      </c>
      <c r="AI932">
        <v>-2087.52297657412</v>
      </c>
      <c r="AJ932">
        <v>-2113.23460333884</v>
      </c>
    </row>
    <row r="933" spans="20:36">
      <c r="T933">
        <v>465.068</v>
      </c>
      <c r="U933">
        <v>1.23938771075933</v>
      </c>
      <c r="V933">
        <v>465.068</v>
      </c>
      <c r="W933">
        <v>1.22323533576002</v>
      </c>
      <c r="X933">
        <v>465.068</v>
      </c>
      <c r="Y933">
        <v>1.22122153269132</v>
      </c>
      <c r="Z933">
        <v>465.068</v>
      </c>
      <c r="AA933">
        <v>1.22771486491779</v>
      </c>
      <c r="AB933">
        <v>465.068</v>
      </c>
      <c r="AC933">
        <v>1.23022371446505</v>
      </c>
      <c r="AE933">
        <v>465.068</v>
      </c>
      <c r="AF933">
        <v>-2120.36170136548</v>
      </c>
      <c r="AG933">
        <v>-1994.83839794895</v>
      </c>
      <c r="AH933">
        <v>-1956.85237222471</v>
      </c>
      <c r="AI933">
        <v>-2125.58171967129</v>
      </c>
      <c r="AJ933">
        <v>-1956.00959327788</v>
      </c>
    </row>
    <row r="934" spans="20:36">
      <c r="T934">
        <v>465.567</v>
      </c>
      <c r="U934">
        <v>1.23700696066216</v>
      </c>
      <c r="V934">
        <v>465.567</v>
      </c>
      <c r="W934">
        <v>1.2164013482358</v>
      </c>
      <c r="X934">
        <v>465.567</v>
      </c>
      <c r="Y934">
        <v>1.2238171704568</v>
      </c>
      <c r="Z934">
        <v>465.567</v>
      </c>
      <c r="AA934">
        <v>1.2263688351162</v>
      </c>
      <c r="AB934">
        <v>465.567</v>
      </c>
      <c r="AC934">
        <v>1.23510931582636</v>
      </c>
      <c r="AE934">
        <v>465.567</v>
      </c>
      <c r="AF934">
        <v>-2148.9461791835</v>
      </c>
      <c r="AG934">
        <v>-2111.31808944752</v>
      </c>
      <c r="AH934">
        <v>-1998.90502450468</v>
      </c>
      <c r="AI934">
        <v>-1919.2187437048</v>
      </c>
      <c r="AJ934">
        <v>-1909.13183844557</v>
      </c>
    </row>
    <row r="935" spans="20:36">
      <c r="T935">
        <v>466.066</v>
      </c>
      <c r="U935">
        <v>1.23509126497033</v>
      </c>
      <c r="V935">
        <v>466.066</v>
      </c>
      <c r="W935">
        <v>1.22622980223478</v>
      </c>
      <c r="X935">
        <v>466.066</v>
      </c>
      <c r="Y935">
        <v>1.22636589079658</v>
      </c>
      <c r="Z935">
        <v>466.066</v>
      </c>
      <c r="AA935">
        <v>1.23364213140173</v>
      </c>
      <c r="AB935">
        <v>466.066</v>
      </c>
      <c r="AC935">
        <v>1.23142220726996</v>
      </c>
      <c r="AE935">
        <v>466.066</v>
      </c>
      <c r="AF935">
        <v>-1994.42561537073</v>
      </c>
      <c r="AG935">
        <v>-2149.24533078248</v>
      </c>
      <c r="AH935">
        <v>-2009.74468538646</v>
      </c>
      <c r="AI935">
        <v>-1872.05817818668</v>
      </c>
      <c r="AJ935">
        <v>-2078.20800293718</v>
      </c>
    </row>
    <row r="936" spans="20:36">
      <c r="T936">
        <v>466.565</v>
      </c>
      <c r="U936">
        <v>1.22928424434387</v>
      </c>
      <c r="V936">
        <v>466.565</v>
      </c>
      <c r="W936">
        <v>1.2217975647105</v>
      </c>
      <c r="X936">
        <v>466.565</v>
      </c>
      <c r="Y936">
        <v>1.2201933937606</v>
      </c>
      <c r="Z936">
        <v>466.565</v>
      </c>
      <c r="AA936">
        <v>1.23514614545713</v>
      </c>
      <c r="AB936">
        <v>466.565</v>
      </c>
      <c r="AC936">
        <v>1.23466114473941</v>
      </c>
      <c r="AE936">
        <v>466.565</v>
      </c>
      <c r="AF936">
        <v>-1938.82350193267</v>
      </c>
      <c r="AG936">
        <v>-2044.60000353754</v>
      </c>
      <c r="AH936">
        <v>-1919.14311119813</v>
      </c>
      <c r="AI936">
        <v>-2071.59218005499</v>
      </c>
      <c r="AJ936">
        <v>-2238.819988449</v>
      </c>
    </row>
    <row r="937" spans="20:36">
      <c r="T937">
        <v>467.064</v>
      </c>
      <c r="U937">
        <v>1.23912130585342</v>
      </c>
      <c r="V937">
        <v>467.064</v>
      </c>
      <c r="W937">
        <v>1.2236060003866</v>
      </c>
      <c r="X937">
        <v>467.064</v>
      </c>
      <c r="Y937">
        <v>1.2200951241926</v>
      </c>
      <c r="Z937">
        <v>467.064</v>
      </c>
      <c r="AA937">
        <v>1.23596099997128</v>
      </c>
      <c r="AB937">
        <v>467.064</v>
      </c>
      <c r="AC937">
        <v>1.23991880919298</v>
      </c>
      <c r="AE937">
        <v>467.064</v>
      </c>
      <c r="AF937">
        <v>-1996.04622825863</v>
      </c>
      <c r="AG937">
        <v>-2022.6050952441</v>
      </c>
      <c r="AH937">
        <v>-2050.02806618752</v>
      </c>
      <c r="AI937">
        <v>-2201.68259281494</v>
      </c>
      <c r="AJ937">
        <v>-2029.04387411212</v>
      </c>
    </row>
    <row r="938" spans="20:36">
      <c r="T938">
        <v>467.563</v>
      </c>
      <c r="U938">
        <v>1.24204466483361</v>
      </c>
      <c r="V938">
        <v>467.563</v>
      </c>
      <c r="W938">
        <v>1.22590981260619</v>
      </c>
      <c r="X938">
        <v>467.563</v>
      </c>
      <c r="Y938">
        <v>1.2211087279264</v>
      </c>
      <c r="Z938">
        <v>467.563</v>
      </c>
      <c r="AA938">
        <v>1.22828685326634</v>
      </c>
      <c r="AB938">
        <v>467.563</v>
      </c>
      <c r="AC938">
        <v>1.23775200315236</v>
      </c>
      <c r="AE938">
        <v>467.563</v>
      </c>
      <c r="AF938">
        <v>-2127.12919322583</v>
      </c>
      <c r="AG938">
        <v>-2031.3413894008</v>
      </c>
      <c r="AH938">
        <v>-2055.75038977438</v>
      </c>
      <c r="AI938">
        <v>-2008.07673798486</v>
      </c>
      <c r="AJ938">
        <v>-1842.47144074171</v>
      </c>
    </row>
    <row r="939" spans="20:36">
      <c r="T939">
        <v>468.062</v>
      </c>
      <c r="U939">
        <v>1.23132128815599</v>
      </c>
      <c r="V939">
        <v>468.062</v>
      </c>
      <c r="W939">
        <v>1.22614105913398</v>
      </c>
      <c r="X939">
        <v>468.062</v>
      </c>
      <c r="Y939">
        <v>1.2230499531089</v>
      </c>
      <c r="Z939">
        <v>468.062</v>
      </c>
      <c r="AA939">
        <v>1.23589143739533</v>
      </c>
      <c r="AB939">
        <v>468.062</v>
      </c>
      <c r="AC939">
        <v>1.233216569394</v>
      </c>
      <c r="AE939">
        <v>468.062</v>
      </c>
      <c r="AF939">
        <v>-2121.95507209057</v>
      </c>
      <c r="AG939">
        <v>-2022.76127702782</v>
      </c>
      <c r="AH939">
        <v>-1944.28483387722</v>
      </c>
      <c r="AI939">
        <v>-1910.15380980104</v>
      </c>
      <c r="AJ939">
        <v>-1963.60267769099</v>
      </c>
    </row>
    <row r="940" spans="20:36">
      <c r="T940">
        <v>468.561</v>
      </c>
      <c r="U940">
        <v>1.23383338660062</v>
      </c>
      <c r="V940">
        <v>468.561</v>
      </c>
      <c r="W940">
        <v>1.2238591334192</v>
      </c>
      <c r="X940">
        <v>468.561</v>
      </c>
      <c r="Y940">
        <v>1.22452628196098</v>
      </c>
      <c r="Z940">
        <v>468.561</v>
      </c>
      <c r="AA940">
        <v>1.23032274868318</v>
      </c>
      <c r="AB940">
        <v>468.561</v>
      </c>
      <c r="AC940">
        <v>1.23228244043206</v>
      </c>
      <c r="AE940">
        <v>468.561</v>
      </c>
      <c r="AF940">
        <v>-1997.18990572427</v>
      </c>
      <c r="AG940">
        <v>-2048.21279702693</v>
      </c>
      <c r="AH940">
        <v>-1886.40413503284</v>
      </c>
      <c r="AI940">
        <v>-1961.05013653949</v>
      </c>
      <c r="AJ940">
        <v>-2125.34073969697</v>
      </c>
    </row>
    <row r="941" spans="20:36">
      <c r="T941">
        <v>469.06</v>
      </c>
      <c r="U941">
        <v>1.23721076643962</v>
      </c>
      <c r="V941">
        <v>469.06</v>
      </c>
      <c r="W941">
        <v>1.22959722297071</v>
      </c>
      <c r="X941">
        <v>469.06</v>
      </c>
      <c r="Y941">
        <v>1.21636969842151</v>
      </c>
      <c r="Z941">
        <v>469.06</v>
      </c>
      <c r="AA941">
        <v>1.23453460098509</v>
      </c>
      <c r="AB941">
        <v>469.06</v>
      </c>
      <c r="AC941">
        <v>1.23162749519655</v>
      </c>
      <c r="AE941">
        <v>469.06</v>
      </c>
      <c r="AF941">
        <v>-1968.62575118337</v>
      </c>
      <c r="AG941">
        <v>-2131.11997153182</v>
      </c>
      <c r="AH941">
        <v>-1942.52895100357</v>
      </c>
      <c r="AI941">
        <v>-2111.97353526914</v>
      </c>
      <c r="AJ941">
        <v>-2091.78604013588</v>
      </c>
    </row>
    <row r="942" spans="20:36">
      <c r="T942">
        <v>469.559</v>
      </c>
      <c r="U942">
        <v>1.23173495205933</v>
      </c>
      <c r="V942">
        <v>469.559</v>
      </c>
      <c r="W942">
        <v>1.22688628515715</v>
      </c>
      <c r="X942">
        <v>469.559</v>
      </c>
      <c r="Y942">
        <v>1.22646444568099</v>
      </c>
      <c r="Z942">
        <v>469.559</v>
      </c>
      <c r="AA942">
        <v>1.23706457230272</v>
      </c>
      <c r="AB942">
        <v>469.559</v>
      </c>
      <c r="AC942">
        <v>1.22858571362253</v>
      </c>
      <c r="AE942">
        <v>469.559</v>
      </c>
      <c r="AF942">
        <v>-2021.07313193992</v>
      </c>
      <c r="AG942">
        <v>-2160.96975524499</v>
      </c>
      <c r="AH942">
        <v>-2033.39968377875</v>
      </c>
      <c r="AI942">
        <v>-2069.69678150436</v>
      </c>
      <c r="AJ942">
        <v>-1994.43046567198</v>
      </c>
    </row>
    <row r="943" spans="20:36">
      <c r="T943">
        <v>470.058</v>
      </c>
      <c r="U943">
        <v>1.23832203923906</v>
      </c>
      <c r="V943">
        <v>470.058</v>
      </c>
      <c r="W943">
        <v>1.22366624492476</v>
      </c>
      <c r="X943">
        <v>470.058</v>
      </c>
      <c r="Y943">
        <v>1.22447576291952</v>
      </c>
      <c r="Z943">
        <v>470.058</v>
      </c>
      <c r="AA943">
        <v>1.23437493553838</v>
      </c>
      <c r="AB943">
        <v>470.058</v>
      </c>
      <c r="AC943">
        <v>1.22953536039196</v>
      </c>
      <c r="AE943">
        <v>470.058</v>
      </c>
      <c r="AF943">
        <v>-2134.59291759256</v>
      </c>
      <c r="AG943">
        <v>-2057.81348345271</v>
      </c>
      <c r="AH943">
        <v>-2007.72719961762</v>
      </c>
      <c r="AI943">
        <v>-1940.69944844415</v>
      </c>
      <c r="AJ943">
        <v>-1981.74850524697</v>
      </c>
    </row>
    <row r="944" spans="20:36">
      <c r="T944">
        <v>470.557</v>
      </c>
      <c r="U944">
        <v>1.23468621119578</v>
      </c>
      <c r="V944">
        <v>470.557</v>
      </c>
      <c r="W944">
        <v>1.22952935777867</v>
      </c>
      <c r="X944">
        <v>470.557</v>
      </c>
      <c r="Y944">
        <v>1.22081693671938</v>
      </c>
      <c r="Z944">
        <v>470.557</v>
      </c>
      <c r="AA944">
        <v>1.23637438727271</v>
      </c>
      <c r="AB944">
        <v>470.557</v>
      </c>
      <c r="AC944">
        <v>1.23086637677479</v>
      </c>
      <c r="AE944">
        <v>470.557</v>
      </c>
      <c r="AF944">
        <v>-2112.82497872168</v>
      </c>
      <c r="AG944">
        <v>-2025.05733489105</v>
      </c>
      <c r="AH944">
        <v>-1949.83499521857</v>
      </c>
      <c r="AI944">
        <v>-1977.66353858561</v>
      </c>
      <c r="AJ944">
        <v>-1976.03127932855</v>
      </c>
    </row>
    <row r="945" spans="20:36">
      <c r="T945">
        <v>471.056</v>
      </c>
      <c r="U945">
        <v>1.23328318049294</v>
      </c>
      <c r="V945">
        <v>471.056</v>
      </c>
      <c r="W945">
        <v>1.22035540098931</v>
      </c>
      <c r="X945">
        <v>471.056</v>
      </c>
      <c r="Y945">
        <v>1.21775780082391</v>
      </c>
      <c r="Z945">
        <v>471.056</v>
      </c>
      <c r="AA945">
        <v>1.23554666117108</v>
      </c>
      <c r="AB945">
        <v>471.056</v>
      </c>
      <c r="AC945">
        <v>1.23381640419163</v>
      </c>
      <c r="AE945">
        <v>471.056</v>
      </c>
      <c r="AF945">
        <v>-2000.46711959511</v>
      </c>
      <c r="AG945">
        <v>-2043.23621405045</v>
      </c>
      <c r="AH945">
        <v>-1918.08669657966</v>
      </c>
      <c r="AI945">
        <v>-2137.89065028969</v>
      </c>
      <c r="AJ945">
        <v>-2018.48797962513</v>
      </c>
    </row>
    <row r="946" spans="20:36">
      <c r="T946">
        <v>471.555</v>
      </c>
      <c r="U946">
        <v>1.23101545356174</v>
      </c>
      <c r="V946">
        <v>471.555</v>
      </c>
      <c r="W946">
        <v>1.22618122511154</v>
      </c>
      <c r="X946">
        <v>471.555</v>
      </c>
      <c r="Y946">
        <v>1.22289634123506</v>
      </c>
      <c r="Z946">
        <v>471.555</v>
      </c>
      <c r="AA946">
        <v>1.22643148357033</v>
      </c>
      <c r="AB946">
        <v>471.555</v>
      </c>
      <c r="AC946">
        <v>1.23039204934157</v>
      </c>
      <c r="AE946">
        <v>471.555</v>
      </c>
      <c r="AF946">
        <v>-2046.61420458262</v>
      </c>
      <c r="AG946">
        <v>-2084.53269371152</v>
      </c>
      <c r="AH946">
        <v>-1981.30660811055</v>
      </c>
      <c r="AI946">
        <v>-2103.48944231408</v>
      </c>
      <c r="AJ946">
        <v>-2039.08051566962</v>
      </c>
    </row>
    <row r="947" spans="20:36">
      <c r="T947">
        <v>472.054</v>
      </c>
      <c r="U947">
        <v>1.23161602114244</v>
      </c>
      <c r="V947">
        <v>472.054</v>
      </c>
      <c r="W947">
        <v>1.22464379041828</v>
      </c>
      <c r="X947">
        <v>472.054</v>
      </c>
      <c r="Y947">
        <v>1.22281414214376</v>
      </c>
      <c r="Z947">
        <v>472.054</v>
      </c>
      <c r="AA947">
        <v>1.23514030705352</v>
      </c>
      <c r="AB947">
        <v>472.054</v>
      </c>
      <c r="AC947">
        <v>1.22760625306375</v>
      </c>
      <c r="AE947">
        <v>472.054</v>
      </c>
      <c r="AF947">
        <v>-2060.16592099302</v>
      </c>
      <c r="AG947">
        <v>-2068.98992890328</v>
      </c>
      <c r="AH947">
        <v>-2017.41557658628</v>
      </c>
      <c r="AI947">
        <v>-1915.13679354682</v>
      </c>
      <c r="AJ947">
        <v>-1944.65978827293</v>
      </c>
    </row>
    <row r="948" spans="20:36">
      <c r="T948">
        <v>472.553</v>
      </c>
      <c r="U948">
        <v>1.23604004477798</v>
      </c>
      <c r="V948">
        <v>472.553</v>
      </c>
      <c r="W948">
        <v>1.22613299829343</v>
      </c>
      <c r="X948">
        <v>472.553</v>
      </c>
      <c r="Y948">
        <v>1.22244272757742</v>
      </c>
      <c r="Z948">
        <v>472.553</v>
      </c>
      <c r="AA948">
        <v>1.2264336852853</v>
      </c>
      <c r="AB948">
        <v>472.553</v>
      </c>
      <c r="AC948">
        <v>1.22699973473108</v>
      </c>
      <c r="AE948">
        <v>472.553</v>
      </c>
      <c r="AF948">
        <v>-2103.99808878207</v>
      </c>
      <c r="AG948">
        <v>-2004.62806093545</v>
      </c>
      <c r="AH948">
        <v>-2046.0569084135</v>
      </c>
      <c r="AI948">
        <v>-1846.94894507926</v>
      </c>
      <c r="AJ948">
        <v>-1895.88316784147</v>
      </c>
    </row>
    <row r="949" spans="20:36">
      <c r="T949">
        <v>473.052</v>
      </c>
      <c r="U949">
        <v>1.23056724669514</v>
      </c>
      <c r="V949">
        <v>473.052</v>
      </c>
      <c r="W949">
        <v>1.21923128480879</v>
      </c>
      <c r="X949">
        <v>473.052</v>
      </c>
      <c r="Y949">
        <v>1.2222031102929</v>
      </c>
      <c r="Z949">
        <v>473.052</v>
      </c>
      <c r="AA949">
        <v>1.23522332659826</v>
      </c>
      <c r="AB949">
        <v>473.052</v>
      </c>
      <c r="AC949">
        <v>1.23282415765847</v>
      </c>
      <c r="AE949">
        <v>473.052</v>
      </c>
      <c r="AF949">
        <v>-1981.64706154331</v>
      </c>
      <c r="AG949">
        <v>-2077.32522471693</v>
      </c>
      <c r="AH949">
        <v>-1985.77136159905</v>
      </c>
      <c r="AI949">
        <v>-2073.87637701236</v>
      </c>
      <c r="AJ949">
        <v>-2044.99969435149</v>
      </c>
    </row>
    <row r="950" spans="20:36">
      <c r="T950">
        <v>473.551</v>
      </c>
      <c r="U950">
        <v>1.23844392730617</v>
      </c>
      <c r="V950">
        <v>473.551</v>
      </c>
      <c r="W950">
        <v>1.21851920275943</v>
      </c>
      <c r="X950">
        <v>473.551</v>
      </c>
      <c r="Y950">
        <v>1.22026456573092</v>
      </c>
      <c r="Z950">
        <v>473.551</v>
      </c>
      <c r="AA950">
        <v>1.22593766477561</v>
      </c>
      <c r="AB950">
        <v>473.551</v>
      </c>
      <c r="AC950">
        <v>1.23360568857652</v>
      </c>
      <c r="AE950">
        <v>473.551</v>
      </c>
      <c r="AF950">
        <v>-2019.13601631571</v>
      </c>
      <c r="AG950">
        <v>-2069.59132645551</v>
      </c>
      <c r="AH950">
        <v>-1888.70746959081</v>
      </c>
      <c r="AI950">
        <v>-2167.06373232845</v>
      </c>
      <c r="AJ950">
        <v>-2082.74443396124</v>
      </c>
    </row>
    <row r="951" spans="20:36">
      <c r="T951">
        <v>474.05</v>
      </c>
      <c r="U951">
        <v>1.23377958754034</v>
      </c>
      <c r="V951">
        <v>474.05</v>
      </c>
      <c r="W951">
        <v>1.21562089165141</v>
      </c>
      <c r="X951">
        <v>474.05</v>
      </c>
      <c r="Y951">
        <v>1.22368667909481</v>
      </c>
      <c r="Z951">
        <v>474.05</v>
      </c>
      <c r="AA951">
        <v>1.22944959790596</v>
      </c>
      <c r="AB951">
        <v>474.05</v>
      </c>
      <c r="AC951">
        <v>1.23430786836611</v>
      </c>
      <c r="AE951">
        <v>474.05</v>
      </c>
      <c r="AF951">
        <v>-2071.25813183245</v>
      </c>
      <c r="AG951">
        <v>-2011.43513730017</v>
      </c>
      <c r="AH951">
        <v>-1923.82413599567</v>
      </c>
      <c r="AI951">
        <v>-2077.66013672085</v>
      </c>
      <c r="AJ951">
        <v>-2038.89166628519</v>
      </c>
    </row>
    <row r="952" spans="20:36">
      <c r="T952">
        <v>474.549</v>
      </c>
      <c r="U952">
        <v>1.23296573496339</v>
      </c>
      <c r="V952">
        <v>474.549</v>
      </c>
      <c r="W952">
        <v>1.22412381359962</v>
      </c>
      <c r="X952">
        <v>474.549</v>
      </c>
      <c r="Y952">
        <v>1.22416458540906</v>
      </c>
      <c r="Z952">
        <v>474.549</v>
      </c>
      <c r="AA952">
        <v>1.22594118750156</v>
      </c>
      <c r="AB952">
        <v>474.549</v>
      </c>
      <c r="AC952">
        <v>1.23515927660519</v>
      </c>
      <c r="AE952">
        <v>474.549</v>
      </c>
      <c r="AF952">
        <v>-2114.98036362998</v>
      </c>
      <c r="AG952">
        <v>-2015.59276746141</v>
      </c>
      <c r="AH952">
        <v>-1968.55825159721</v>
      </c>
      <c r="AI952">
        <v>-1899.58143634734</v>
      </c>
      <c r="AJ952">
        <v>-1951.41637809573</v>
      </c>
    </row>
    <row r="953" spans="20:36">
      <c r="T953">
        <v>475.048</v>
      </c>
      <c r="U953">
        <v>1.22536485642064</v>
      </c>
      <c r="V953">
        <v>475.048</v>
      </c>
      <c r="W953">
        <v>1.22387976010302</v>
      </c>
      <c r="X953">
        <v>475.048</v>
      </c>
      <c r="Y953">
        <v>1.22807404282071</v>
      </c>
      <c r="Z953">
        <v>475.048</v>
      </c>
      <c r="AA953">
        <v>1.22710502996072</v>
      </c>
      <c r="AB953">
        <v>475.048</v>
      </c>
      <c r="AC953">
        <v>1.2332947123957</v>
      </c>
      <c r="AE953">
        <v>475.048</v>
      </c>
      <c r="AF953">
        <v>-2023.88693987688</v>
      </c>
      <c r="AG953">
        <v>-2055.68930763621</v>
      </c>
      <c r="AH953">
        <v>-1963.74967033676</v>
      </c>
      <c r="AI953">
        <v>-1862.53747071284</v>
      </c>
      <c r="AJ953">
        <v>-1950.26213664397</v>
      </c>
    </row>
    <row r="954" spans="20:36">
      <c r="T954">
        <v>475.547</v>
      </c>
      <c r="U954">
        <v>1.22748220008285</v>
      </c>
      <c r="V954">
        <v>475.547</v>
      </c>
      <c r="W954">
        <v>1.22770791109349</v>
      </c>
      <c r="X954">
        <v>475.547</v>
      </c>
      <c r="Y954">
        <v>1.22222324392021</v>
      </c>
      <c r="Z954">
        <v>475.547</v>
      </c>
      <c r="AA954">
        <v>1.2184036253739</v>
      </c>
      <c r="AB954">
        <v>475.547</v>
      </c>
      <c r="AC954">
        <v>1.23172795167623</v>
      </c>
      <c r="AE954">
        <v>475.547</v>
      </c>
      <c r="AF954">
        <v>-2061.37184572382</v>
      </c>
      <c r="AG954">
        <v>-2106.12053753833</v>
      </c>
      <c r="AH954">
        <v>-1947.44126511009</v>
      </c>
      <c r="AI954">
        <v>-1957.94913800874</v>
      </c>
      <c r="AJ954">
        <v>-1966.58041712221</v>
      </c>
    </row>
    <row r="955" spans="20:36">
      <c r="T955">
        <v>476.046</v>
      </c>
      <c r="U955">
        <v>1.22670710482281</v>
      </c>
      <c r="V955">
        <v>476.046</v>
      </c>
      <c r="W955">
        <v>1.22608275020999</v>
      </c>
      <c r="X955">
        <v>476.046</v>
      </c>
      <c r="Y955">
        <v>1.23295632331485</v>
      </c>
      <c r="Z955">
        <v>476.046</v>
      </c>
      <c r="AA955">
        <v>1.21814315280561</v>
      </c>
      <c r="AB955">
        <v>476.046</v>
      </c>
      <c r="AC955">
        <v>1.23630284122812</v>
      </c>
      <c r="AE955">
        <v>476.046</v>
      </c>
      <c r="AF955">
        <v>-2068.78801633588</v>
      </c>
      <c r="AG955">
        <v>-1994.63852252224</v>
      </c>
      <c r="AH955">
        <v>-2027.63331653325</v>
      </c>
      <c r="AI955">
        <v>-2111.68852537394</v>
      </c>
      <c r="AJ955">
        <v>-2131.57892468299</v>
      </c>
    </row>
    <row r="956" spans="20:36">
      <c r="T956">
        <v>476.545</v>
      </c>
      <c r="U956">
        <v>1.23388526069447</v>
      </c>
      <c r="V956">
        <v>476.545</v>
      </c>
      <c r="W956">
        <v>1.23067714048494</v>
      </c>
      <c r="X956">
        <v>476.545</v>
      </c>
      <c r="Y956">
        <v>1.22841030006627</v>
      </c>
      <c r="Z956">
        <v>476.545</v>
      </c>
      <c r="AA956">
        <v>1.22426182400942</v>
      </c>
      <c r="AB956">
        <v>476.545</v>
      </c>
      <c r="AC956">
        <v>1.23041888088258</v>
      </c>
      <c r="AE956">
        <v>476.545</v>
      </c>
      <c r="AF956">
        <v>-2079.62327961317</v>
      </c>
      <c r="AG956">
        <v>-2056.46037029477</v>
      </c>
      <c r="AH956">
        <v>-2005.45388565526</v>
      </c>
      <c r="AI956">
        <v>-1980.66762392381</v>
      </c>
      <c r="AJ956">
        <v>-2071.08137948191</v>
      </c>
    </row>
    <row r="957" spans="20:36">
      <c r="T957">
        <v>477.044</v>
      </c>
      <c r="U957">
        <v>1.23393291427629</v>
      </c>
      <c r="V957">
        <v>477.044</v>
      </c>
      <c r="W957">
        <v>1.21788392858994</v>
      </c>
      <c r="X957">
        <v>477.044</v>
      </c>
      <c r="Y957">
        <v>1.22815390862993</v>
      </c>
      <c r="Z957">
        <v>477.044</v>
      </c>
      <c r="AA957">
        <v>1.22368031008202</v>
      </c>
      <c r="AB957">
        <v>477.044</v>
      </c>
      <c r="AC957">
        <v>1.23658284337844</v>
      </c>
      <c r="AE957">
        <v>477.044</v>
      </c>
      <c r="AF957">
        <v>-2105.25185994483</v>
      </c>
      <c r="AG957">
        <v>-2086.78949700002</v>
      </c>
      <c r="AH957">
        <v>-1955.83928595223</v>
      </c>
      <c r="AI957">
        <v>-1819.01917421043</v>
      </c>
      <c r="AJ957">
        <v>-1890.31084808615</v>
      </c>
    </row>
    <row r="958" spans="20:36">
      <c r="T958">
        <v>477.543</v>
      </c>
      <c r="U958">
        <v>1.23489441667308</v>
      </c>
      <c r="V958">
        <v>477.543</v>
      </c>
      <c r="W958">
        <v>1.22050403308672</v>
      </c>
      <c r="X958">
        <v>477.543</v>
      </c>
      <c r="Y958">
        <v>1.2230564511335</v>
      </c>
      <c r="Z958">
        <v>477.543</v>
      </c>
      <c r="AA958">
        <v>1.23107353097082</v>
      </c>
      <c r="AB958">
        <v>477.543</v>
      </c>
      <c r="AC958">
        <v>1.23356865250922</v>
      </c>
      <c r="AE958">
        <v>477.543</v>
      </c>
      <c r="AF958">
        <v>-2116.71582214801</v>
      </c>
      <c r="AG958">
        <v>-2148.77577446681</v>
      </c>
      <c r="AH958">
        <v>-1935.35797700721</v>
      </c>
      <c r="AI958">
        <v>-1940.69077502735</v>
      </c>
      <c r="AJ958">
        <v>-1907.43624582152</v>
      </c>
    </row>
    <row r="959" spans="20:36">
      <c r="T959">
        <v>478.042</v>
      </c>
      <c r="U959">
        <v>1.22929259396987</v>
      </c>
      <c r="V959">
        <v>478.042</v>
      </c>
      <c r="W959">
        <v>1.21759063331626</v>
      </c>
      <c r="X959">
        <v>478.042</v>
      </c>
      <c r="Y959">
        <v>1.22642177802218</v>
      </c>
      <c r="Z959">
        <v>478.042</v>
      </c>
      <c r="AA959">
        <v>1.22661809450347</v>
      </c>
      <c r="AB959">
        <v>478.042</v>
      </c>
      <c r="AC959">
        <v>1.23047905151124</v>
      </c>
      <c r="AE959">
        <v>478.042</v>
      </c>
      <c r="AF959">
        <v>-2101.94661522316</v>
      </c>
      <c r="AG959">
        <v>-2069.4045483071</v>
      </c>
      <c r="AH959">
        <v>-1931.97661512451</v>
      </c>
      <c r="AI959">
        <v>-2145.54293954619</v>
      </c>
      <c r="AJ959">
        <v>-2137.06478932219</v>
      </c>
    </row>
    <row r="960" spans="20:36">
      <c r="T960">
        <v>478.541</v>
      </c>
      <c r="U960">
        <v>1.22985306596921</v>
      </c>
      <c r="V960">
        <v>478.541</v>
      </c>
      <c r="W960">
        <v>1.22170717096368</v>
      </c>
      <c r="X960">
        <v>478.541</v>
      </c>
      <c r="Y960">
        <v>1.23122498507223</v>
      </c>
      <c r="Z960">
        <v>478.541</v>
      </c>
      <c r="AA960">
        <v>1.22917379395262</v>
      </c>
      <c r="AB960">
        <v>478.541</v>
      </c>
      <c r="AC960">
        <v>1.22808873985484</v>
      </c>
      <c r="AE960">
        <v>478.541</v>
      </c>
      <c r="AF960">
        <v>-2031.0182952594</v>
      </c>
      <c r="AG960">
        <v>-1985.77817450176</v>
      </c>
      <c r="AH960">
        <v>-2033.18320977347</v>
      </c>
      <c r="AI960">
        <v>-2093.32052517647</v>
      </c>
      <c r="AJ960">
        <v>-2073.39045703652</v>
      </c>
    </row>
    <row r="961" spans="20:36">
      <c r="T961">
        <v>479.04</v>
      </c>
      <c r="U961">
        <v>1.22838461426033</v>
      </c>
      <c r="V961">
        <v>479.04</v>
      </c>
      <c r="W961">
        <v>1.22120220901052</v>
      </c>
      <c r="X961">
        <v>479.04</v>
      </c>
      <c r="Y961">
        <v>1.22538525806967</v>
      </c>
      <c r="Z961">
        <v>479.04</v>
      </c>
      <c r="AA961">
        <v>1.22273183698623</v>
      </c>
      <c r="AB961">
        <v>479.04</v>
      </c>
      <c r="AC961">
        <v>1.22261388600542</v>
      </c>
      <c r="AE961">
        <v>479.04</v>
      </c>
      <c r="AF961">
        <v>-1956.66737619688</v>
      </c>
      <c r="AG961">
        <v>-2028.09492664354</v>
      </c>
      <c r="AH961">
        <v>-2047.08663003803</v>
      </c>
      <c r="AI961">
        <v>-1974.9927623083</v>
      </c>
      <c r="AJ961">
        <v>-1989.96569109799</v>
      </c>
    </row>
    <row r="962" spans="20:36">
      <c r="T962">
        <v>479.539</v>
      </c>
      <c r="U962">
        <v>1.23589044882711</v>
      </c>
      <c r="V962">
        <v>479.539</v>
      </c>
      <c r="W962">
        <v>1.22168559756693</v>
      </c>
      <c r="X962">
        <v>479.539</v>
      </c>
      <c r="Y962">
        <v>1.22803941859232</v>
      </c>
      <c r="Z962">
        <v>479.539</v>
      </c>
      <c r="AA962">
        <v>1.23245947047535</v>
      </c>
      <c r="AB962">
        <v>479.539</v>
      </c>
      <c r="AC962">
        <v>1.22587610981721</v>
      </c>
      <c r="AE962">
        <v>479.539</v>
      </c>
      <c r="AF962">
        <v>-2071.46264195274</v>
      </c>
      <c r="AG962">
        <v>-2114.04513996755</v>
      </c>
      <c r="AH962">
        <v>-1990.01310215835</v>
      </c>
      <c r="AI962">
        <v>-2056.83238618763</v>
      </c>
      <c r="AJ962">
        <v>-1965.48603289214</v>
      </c>
    </row>
    <row r="963" spans="20:36">
      <c r="T963">
        <v>480.038</v>
      </c>
      <c r="U963">
        <v>1.24222878839112</v>
      </c>
      <c r="V963">
        <v>480.038</v>
      </c>
      <c r="W963">
        <v>1.22432409847422</v>
      </c>
      <c r="X963">
        <v>480.038</v>
      </c>
      <c r="Y963">
        <v>1.22703542964046</v>
      </c>
      <c r="Z963">
        <v>480.038</v>
      </c>
      <c r="AA963">
        <v>1.23361257942321</v>
      </c>
      <c r="AB963">
        <v>480.038</v>
      </c>
      <c r="AC963">
        <v>1.21942951624102</v>
      </c>
      <c r="AE963">
        <v>480.038</v>
      </c>
      <c r="AF963">
        <v>-2197.95566656363</v>
      </c>
      <c r="AG963">
        <v>-2136.28559801293</v>
      </c>
      <c r="AH963">
        <v>-1958.8578420619</v>
      </c>
      <c r="AI963">
        <v>-2082.6386667969</v>
      </c>
      <c r="AJ963">
        <v>-2018.94033782603</v>
      </c>
    </row>
    <row r="964" spans="20:36">
      <c r="T964">
        <v>480.537</v>
      </c>
      <c r="U964">
        <v>1.22640058914021</v>
      </c>
      <c r="V964">
        <v>480.537</v>
      </c>
      <c r="W964">
        <v>1.22041831998186</v>
      </c>
      <c r="X964">
        <v>480.537</v>
      </c>
      <c r="Y964">
        <v>1.23302119238402</v>
      </c>
      <c r="Z964">
        <v>480.537</v>
      </c>
      <c r="AA964">
        <v>1.22483993897392</v>
      </c>
      <c r="AB964">
        <v>480.537</v>
      </c>
      <c r="AC964">
        <v>1.22009349050542</v>
      </c>
      <c r="AE964">
        <v>480.537</v>
      </c>
      <c r="AF964">
        <v>-2010.55076496979</v>
      </c>
      <c r="AG964">
        <v>-2090.97902290526</v>
      </c>
      <c r="AH964">
        <v>-2034.51974251637</v>
      </c>
      <c r="AI964">
        <v>-1913.07204271947</v>
      </c>
      <c r="AJ964">
        <v>-1957.34715114182</v>
      </c>
    </row>
    <row r="965" spans="20:36">
      <c r="T965">
        <v>481.036</v>
      </c>
      <c r="U965">
        <v>1.23438117005739</v>
      </c>
      <c r="V965">
        <v>481.036</v>
      </c>
      <c r="W965">
        <v>1.23323151829368</v>
      </c>
      <c r="X965">
        <v>481.036</v>
      </c>
      <c r="Y965">
        <v>1.2267867325342</v>
      </c>
      <c r="Z965">
        <v>481.036</v>
      </c>
      <c r="AA965">
        <v>1.22495156860473</v>
      </c>
      <c r="AB965">
        <v>481.036</v>
      </c>
      <c r="AC965">
        <v>1.22926171299902</v>
      </c>
      <c r="AE965">
        <v>481.036</v>
      </c>
      <c r="AF965">
        <v>-1933.05899252648</v>
      </c>
      <c r="AG965">
        <v>-2047.15192876729</v>
      </c>
      <c r="AH965">
        <v>-2047.72320503665</v>
      </c>
      <c r="AI965">
        <v>-1955.73972493563</v>
      </c>
      <c r="AJ965">
        <v>-1963.31355602824</v>
      </c>
    </row>
    <row r="966" spans="20:36">
      <c r="T966">
        <v>481.535</v>
      </c>
      <c r="U966">
        <v>1.22990958590672</v>
      </c>
      <c r="V966">
        <v>481.535</v>
      </c>
      <c r="W966">
        <v>1.21787577784714</v>
      </c>
      <c r="X966">
        <v>481.535</v>
      </c>
      <c r="Y966">
        <v>1.22954695957485</v>
      </c>
      <c r="Z966">
        <v>481.535</v>
      </c>
      <c r="AA966">
        <v>1.23572933979108</v>
      </c>
      <c r="AB966">
        <v>481.535</v>
      </c>
      <c r="AC966">
        <v>1.21999268749205</v>
      </c>
      <c r="AE966">
        <v>481.535</v>
      </c>
      <c r="AF966">
        <v>-1964.70593833504</v>
      </c>
      <c r="AG966">
        <v>-2030.1106705839</v>
      </c>
      <c r="AH966">
        <v>-1972.11483457402</v>
      </c>
      <c r="AI966">
        <v>-2093.58416881122</v>
      </c>
      <c r="AJ966">
        <v>-1990.85663105772</v>
      </c>
    </row>
    <row r="967" spans="20:36">
      <c r="T967">
        <v>482.034</v>
      </c>
      <c r="U967">
        <v>1.22110261341119</v>
      </c>
      <c r="V967">
        <v>482.034</v>
      </c>
      <c r="W967">
        <v>1.22850963135673</v>
      </c>
      <c r="X967">
        <v>482.034</v>
      </c>
      <c r="Y967">
        <v>1.22941959226235</v>
      </c>
      <c r="Z967">
        <v>482.034</v>
      </c>
      <c r="AA967">
        <v>1.22344241798809</v>
      </c>
      <c r="AB967">
        <v>482.034</v>
      </c>
      <c r="AC967">
        <v>1.22819832940659</v>
      </c>
      <c r="AE967">
        <v>482.034</v>
      </c>
      <c r="AF967">
        <v>-2118.4031796745</v>
      </c>
      <c r="AG967">
        <v>-2130.87283902692</v>
      </c>
      <c r="AH967">
        <v>-1914.75177982123</v>
      </c>
      <c r="AI967">
        <v>-2139.25983461121</v>
      </c>
      <c r="AJ967">
        <v>-2124.1834433614</v>
      </c>
    </row>
    <row r="968" spans="20:36">
      <c r="T968">
        <v>482.533</v>
      </c>
      <c r="U968">
        <v>1.22719873142871</v>
      </c>
      <c r="V968">
        <v>482.533</v>
      </c>
      <c r="W968">
        <v>1.23445089049572</v>
      </c>
      <c r="X968">
        <v>482.533</v>
      </c>
      <c r="Y968">
        <v>1.23361284806955</v>
      </c>
      <c r="Z968">
        <v>482.533</v>
      </c>
      <c r="AA968">
        <v>1.2295912482251</v>
      </c>
      <c r="AB968">
        <v>482.533</v>
      </c>
      <c r="AC968">
        <v>1.22520441165624</v>
      </c>
      <c r="AE968">
        <v>482.533</v>
      </c>
      <c r="AF968">
        <v>-2166.07656612841</v>
      </c>
      <c r="AG968">
        <v>-2121.47490968591</v>
      </c>
      <c r="AH968">
        <v>-2039.36692198174</v>
      </c>
      <c r="AI968">
        <v>-2011.96635848661</v>
      </c>
      <c r="AJ968">
        <v>-2097.52954479198</v>
      </c>
    </row>
    <row r="969" spans="20:36">
      <c r="T969">
        <v>483.032</v>
      </c>
      <c r="U969">
        <v>1.23344208501146</v>
      </c>
      <c r="V969">
        <v>483.032</v>
      </c>
      <c r="W969">
        <v>1.22727793075428</v>
      </c>
      <c r="X969">
        <v>483.032</v>
      </c>
      <c r="Y969">
        <v>1.22829586608892</v>
      </c>
      <c r="Z969">
        <v>483.032</v>
      </c>
      <c r="AA969">
        <v>1.23117885426951</v>
      </c>
      <c r="AB969">
        <v>483.032</v>
      </c>
      <c r="AC969">
        <v>1.21574040502179</v>
      </c>
      <c r="AE969">
        <v>483.032</v>
      </c>
      <c r="AF969">
        <v>-2073.85379628134</v>
      </c>
      <c r="AG969">
        <v>-2056.01566292154</v>
      </c>
      <c r="AH969">
        <v>-2110.11117479079</v>
      </c>
      <c r="AI969">
        <v>-1908.03986655946</v>
      </c>
      <c r="AJ969">
        <v>-1881.90036668432</v>
      </c>
    </row>
    <row r="970" spans="20:36">
      <c r="T970">
        <v>483.531</v>
      </c>
      <c r="U970">
        <v>1.23472485128915</v>
      </c>
      <c r="V970">
        <v>483.531</v>
      </c>
      <c r="W970">
        <v>1.22098922186766</v>
      </c>
      <c r="X970">
        <v>483.531</v>
      </c>
      <c r="Y970">
        <v>1.23212658945081</v>
      </c>
      <c r="Z970">
        <v>483.531</v>
      </c>
      <c r="AA970">
        <v>1.22795196515969</v>
      </c>
      <c r="AB970">
        <v>483.531</v>
      </c>
      <c r="AC970">
        <v>1.22851946240734</v>
      </c>
      <c r="AE970">
        <v>483.531</v>
      </c>
      <c r="AF970">
        <v>-1978.67138436648</v>
      </c>
      <c r="AG970">
        <v>-1974.21703244524</v>
      </c>
      <c r="AH970">
        <v>-2032.27778454069</v>
      </c>
      <c r="AI970">
        <v>-2015.3428340684</v>
      </c>
      <c r="AJ970">
        <v>-1947.7877049658</v>
      </c>
    </row>
    <row r="971" spans="20:36">
      <c r="T971">
        <v>484.03</v>
      </c>
      <c r="U971">
        <v>1.21944879483116</v>
      </c>
      <c r="V971">
        <v>484.03</v>
      </c>
      <c r="W971">
        <v>1.23152837416481</v>
      </c>
      <c r="X971">
        <v>484.03</v>
      </c>
      <c r="Y971">
        <v>1.2354851677808</v>
      </c>
      <c r="Z971">
        <v>484.03</v>
      </c>
      <c r="AA971">
        <v>1.23323431097684</v>
      </c>
      <c r="AB971">
        <v>484.03</v>
      </c>
      <c r="AC971">
        <v>1.22959199906272</v>
      </c>
      <c r="AE971">
        <v>484.03</v>
      </c>
      <c r="AF971">
        <v>-1837.99338538201</v>
      </c>
      <c r="AG971">
        <v>-2028.39459207536</v>
      </c>
      <c r="AH971">
        <v>-1991.77017169415</v>
      </c>
      <c r="AI971">
        <v>-2025.21074258583</v>
      </c>
      <c r="AJ971">
        <v>-1992.87161282823</v>
      </c>
    </row>
    <row r="972" spans="20:36">
      <c r="T972">
        <v>484.529</v>
      </c>
      <c r="U972">
        <v>1.23026493065888</v>
      </c>
      <c r="V972">
        <v>484.529</v>
      </c>
      <c r="W972">
        <v>1.23295613672306</v>
      </c>
      <c r="X972">
        <v>484.529</v>
      </c>
      <c r="Y972">
        <v>1.22686479662067</v>
      </c>
      <c r="Z972">
        <v>484.529</v>
      </c>
      <c r="AA972">
        <v>1.22443665330096</v>
      </c>
      <c r="AB972">
        <v>484.529</v>
      </c>
      <c r="AC972">
        <v>1.23236529775993</v>
      </c>
      <c r="AE972">
        <v>484.529</v>
      </c>
      <c r="AF972">
        <v>-2042.31631633465</v>
      </c>
      <c r="AG972">
        <v>-2163.80610959742</v>
      </c>
      <c r="AH972">
        <v>-1952.91233103097</v>
      </c>
      <c r="AI972">
        <v>-2040.79559291958</v>
      </c>
      <c r="AJ972">
        <v>-2098.04517702808</v>
      </c>
    </row>
    <row r="973" spans="20:36">
      <c r="T973">
        <v>485.028</v>
      </c>
      <c r="U973">
        <v>1.22870610282511</v>
      </c>
      <c r="V973">
        <v>485.028</v>
      </c>
      <c r="W973">
        <v>1.22796945353917</v>
      </c>
      <c r="X973">
        <v>485.028</v>
      </c>
      <c r="Y973">
        <v>1.22847229174215</v>
      </c>
      <c r="Z973">
        <v>485.028</v>
      </c>
      <c r="AA973">
        <v>1.23084805191943</v>
      </c>
      <c r="AB973">
        <v>485.028</v>
      </c>
      <c r="AC973">
        <v>1.22794057498629</v>
      </c>
      <c r="AE973">
        <v>485.028</v>
      </c>
      <c r="AF973">
        <v>-2130.84909342863</v>
      </c>
      <c r="AG973">
        <v>-2102.35658667528</v>
      </c>
      <c r="AH973">
        <v>-2042.55247855018</v>
      </c>
      <c r="AI973">
        <v>-1991.28977919148</v>
      </c>
      <c r="AJ973">
        <v>-2077.88455295192</v>
      </c>
    </row>
    <row r="974" spans="20:36">
      <c r="T974">
        <v>485.527</v>
      </c>
      <c r="U974">
        <v>1.22862179853005</v>
      </c>
      <c r="V974">
        <v>485.527</v>
      </c>
      <c r="W974">
        <v>1.23167893189973</v>
      </c>
      <c r="X974">
        <v>485.527</v>
      </c>
      <c r="Y974">
        <v>1.22678015607351</v>
      </c>
      <c r="Z974">
        <v>485.527</v>
      </c>
      <c r="AA974">
        <v>1.23144344035182</v>
      </c>
      <c r="AB974">
        <v>485.527</v>
      </c>
      <c r="AC974">
        <v>1.23411101169636</v>
      </c>
      <c r="AE974">
        <v>485.527</v>
      </c>
      <c r="AF974">
        <v>-2127.65756489984</v>
      </c>
      <c r="AG974">
        <v>-2033.48731111324</v>
      </c>
      <c r="AH974">
        <v>-2119.92504800397</v>
      </c>
      <c r="AI974">
        <v>-1983.5080924698</v>
      </c>
      <c r="AJ974">
        <v>-2023.04856711862</v>
      </c>
    </row>
    <row r="975" spans="20:36">
      <c r="T975">
        <v>486.026</v>
      </c>
      <c r="U975">
        <v>1.22848226298697</v>
      </c>
      <c r="V975">
        <v>486.026</v>
      </c>
      <c r="W975">
        <v>1.23044916639014</v>
      </c>
      <c r="X975">
        <v>486.026</v>
      </c>
      <c r="Y975">
        <v>1.22879274960114</v>
      </c>
      <c r="Z975">
        <v>486.026</v>
      </c>
      <c r="AA975">
        <v>1.22867488448022</v>
      </c>
      <c r="AB975">
        <v>486.026</v>
      </c>
      <c r="AC975">
        <v>1.22260440565773</v>
      </c>
      <c r="AE975">
        <v>486.026</v>
      </c>
      <c r="AF975">
        <v>-1972.16179837352</v>
      </c>
      <c r="AG975">
        <v>-2047.20114654621</v>
      </c>
      <c r="AH975">
        <v>-2056.27738816082</v>
      </c>
      <c r="AI975">
        <v>-1970.34928281031</v>
      </c>
      <c r="AJ975">
        <v>-1990.68102735814</v>
      </c>
    </row>
    <row r="976" spans="20:36">
      <c r="T976">
        <v>486.525</v>
      </c>
      <c r="U976">
        <v>1.22953049061661</v>
      </c>
      <c r="V976">
        <v>486.525</v>
      </c>
      <c r="W976">
        <v>1.22519818854214</v>
      </c>
      <c r="X976">
        <v>486.525</v>
      </c>
      <c r="Y976">
        <v>1.2312588560315</v>
      </c>
      <c r="Z976">
        <v>486.525</v>
      </c>
      <c r="AA976">
        <v>1.23534263814018</v>
      </c>
      <c r="AB976">
        <v>486.525</v>
      </c>
      <c r="AC976">
        <v>1.22707123564481</v>
      </c>
      <c r="AE976">
        <v>486.525</v>
      </c>
      <c r="AF976">
        <v>-1943.96377816916</v>
      </c>
      <c r="AG976">
        <v>-2055.36656749632</v>
      </c>
      <c r="AH976">
        <v>-1983.50529851067</v>
      </c>
      <c r="AI976">
        <v>-1993.74651506775</v>
      </c>
      <c r="AJ976">
        <v>-1939.3217927096</v>
      </c>
    </row>
    <row r="977" spans="20:36">
      <c r="T977">
        <v>487.024</v>
      </c>
      <c r="U977">
        <v>1.23157552514622</v>
      </c>
      <c r="V977">
        <v>487.024</v>
      </c>
      <c r="W977">
        <v>1.22548041552396</v>
      </c>
      <c r="X977">
        <v>487.024</v>
      </c>
      <c r="Y977">
        <v>1.23097287626664</v>
      </c>
      <c r="Z977">
        <v>487.024</v>
      </c>
      <c r="AA977">
        <v>1.22935052369999</v>
      </c>
      <c r="AB977">
        <v>487.024</v>
      </c>
      <c r="AC977">
        <v>1.22818090311495</v>
      </c>
      <c r="AE977">
        <v>487.024</v>
      </c>
      <c r="AF977">
        <v>-2070.5636956457</v>
      </c>
      <c r="AG977">
        <v>-2086.83591251184</v>
      </c>
      <c r="AH977">
        <v>-2017.54013712624</v>
      </c>
      <c r="AI977">
        <v>-2095.15469545504</v>
      </c>
      <c r="AJ977">
        <v>-2025.73568706726</v>
      </c>
    </row>
    <row r="978" spans="20:36">
      <c r="T978">
        <v>487.523</v>
      </c>
      <c r="U978">
        <v>1.23423481847558</v>
      </c>
      <c r="V978">
        <v>487.523</v>
      </c>
      <c r="W978">
        <v>1.23461237570532</v>
      </c>
      <c r="X978">
        <v>487.523</v>
      </c>
      <c r="Y978">
        <v>1.21338702790418</v>
      </c>
      <c r="Z978">
        <v>487.523</v>
      </c>
      <c r="AA978">
        <v>1.23034771649346</v>
      </c>
      <c r="AB978">
        <v>487.523</v>
      </c>
      <c r="AC978">
        <v>1.22713538396274</v>
      </c>
      <c r="AE978">
        <v>487.523</v>
      </c>
      <c r="AF978">
        <v>-2143.25378171879</v>
      </c>
      <c r="AG978">
        <v>-2127.13930568477</v>
      </c>
      <c r="AH978">
        <v>-1978.71935408881</v>
      </c>
      <c r="AI978">
        <v>-2058.98783454484</v>
      </c>
      <c r="AJ978">
        <v>-2127.21452769322</v>
      </c>
    </row>
    <row r="979" spans="20:36">
      <c r="T979">
        <v>488.022</v>
      </c>
      <c r="U979">
        <v>1.2285377343704</v>
      </c>
      <c r="V979">
        <v>488.022</v>
      </c>
      <c r="W979">
        <v>1.22572625144356</v>
      </c>
      <c r="X979">
        <v>488.022</v>
      </c>
      <c r="Y979">
        <v>1.23087984455029</v>
      </c>
      <c r="Z979">
        <v>488.022</v>
      </c>
      <c r="AA979">
        <v>1.23267560498777</v>
      </c>
      <c r="AB979">
        <v>488.022</v>
      </c>
      <c r="AC979">
        <v>1.22966732803448</v>
      </c>
      <c r="AE979">
        <v>488.022</v>
      </c>
      <c r="AF979">
        <v>-1991.29060324246</v>
      </c>
      <c r="AG979">
        <v>-2035.0666751993</v>
      </c>
      <c r="AH979">
        <v>-2059.93970935867</v>
      </c>
      <c r="AI979">
        <v>-2039.26473129927</v>
      </c>
      <c r="AJ979">
        <v>-1951.39777243327</v>
      </c>
    </row>
    <row r="980" spans="20:36">
      <c r="T980">
        <v>488.521</v>
      </c>
      <c r="U980">
        <v>1.22891454159786</v>
      </c>
      <c r="V980">
        <v>488.521</v>
      </c>
      <c r="W980">
        <v>1.23432023901044</v>
      </c>
      <c r="X980">
        <v>488.521</v>
      </c>
      <c r="Y980">
        <v>1.22864242584581</v>
      </c>
      <c r="Z980">
        <v>488.521</v>
      </c>
      <c r="AA980">
        <v>1.23518210425924</v>
      </c>
      <c r="AB980">
        <v>488.521</v>
      </c>
      <c r="AC980">
        <v>1.22043297188708</v>
      </c>
      <c r="AE980">
        <v>488.521</v>
      </c>
      <c r="AF980">
        <v>-1997.34417380466</v>
      </c>
      <c r="AG980">
        <v>-2020.13677599696</v>
      </c>
      <c r="AH980">
        <v>-2028.24157539806</v>
      </c>
      <c r="AI980">
        <v>-2022.35514141639</v>
      </c>
      <c r="AJ980">
        <v>-1965.06528202607</v>
      </c>
    </row>
    <row r="981" spans="20:36">
      <c r="T981">
        <v>489.02</v>
      </c>
      <c r="U981">
        <v>1.22972738588106</v>
      </c>
      <c r="V981">
        <v>489.02</v>
      </c>
      <c r="W981">
        <v>1.23501110809233</v>
      </c>
      <c r="X981">
        <v>489.02</v>
      </c>
      <c r="Y981">
        <v>1.2249882057392</v>
      </c>
      <c r="Z981">
        <v>489.02</v>
      </c>
      <c r="AA981">
        <v>1.23970760243377</v>
      </c>
      <c r="AB981">
        <v>489.02</v>
      </c>
      <c r="AC981">
        <v>1.2157349104622</v>
      </c>
      <c r="AE981">
        <v>489.02</v>
      </c>
      <c r="AF981">
        <v>-2070.5947067298</v>
      </c>
      <c r="AG981">
        <v>-2037.47994132827</v>
      </c>
      <c r="AH981">
        <v>-2020.48313490079</v>
      </c>
      <c r="AI981">
        <v>-2069.54389957651</v>
      </c>
      <c r="AJ981">
        <v>-2066.25157490283</v>
      </c>
    </row>
    <row r="982" spans="20:36">
      <c r="T982">
        <v>489.519</v>
      </c>
      <c r="U982">
        <v>1.2321456399755</v>
      </c>
      <c r="V982">
        <v>489.519</v>
      </c>
      <c r="W982">
        <v>1.22897836145285</v>
      </c>
      <c r="X982">
        <v>489.519</v>
      </c>
      <c r="Y982">
        <v>1.22636861210243</v>
      </c>
      <c r="Z982">
        <v>489.519</v>
      </c>
      <c r="AA982">
        <v>1.23351140782532</v>
      </c>
      <c r="AB982">
        <v>489.519</v>
      </c>
      <c r="AC982">
        <v>1.22375867146566</v>
      </c>
      <c r="AE982">
        <v>489.519</v>
      </c>
      <c r="AF982">
        <v>-2089.96512438141</v>
      </c>
      <c r="AG982">
        <v>-2143.96750164334</v>
      </c>
      <c r="AH982">
        <v>-1947.98546345958</v>
      </c>
      <c r="AI982">
        <v>-2081.26004027139</v>
      </c>
      <c r="AJ982">
        <v>-2008.94757365347</v>
      </c>
    </row>
    <row r="983" spans="20:36">
      <c r="T983">
        <v>490.018</v>
      </c>
      <c r="U983">
        <v>1.22263006735778</v>
      </c>
      <c r="V983">
        <v>490.018</v>
      </c>
      <c r="W983">
        <v>1.23515898754801</v>
      </c>
      <c r="X983">
        <v>490.018</v>
      </c>
      <c r="Y983">
        <v>1.22404296899186</v>
      </c>
      <c r="Z983">
        <v>490.018</v>
      </c>
      <c r="AA983">
        <v>1.23192518372759</v>
      </c>
      <c r="AB983">
        <v>490.018</v>
      </c>
      <c r="AC983">
        <v>1.22006654189075</v>
      </c>
      <c r="AE983">
        <v>490.018</v>
      </c>
      <c r="AF983">
        <v>-2043.49552655917</v>
      </c>
      <c r="AG983">
        <v>-2172.03678317689</v>
      </c>
      <c r="AH983">
        <v>-1984.14492265175</v>
      </c>
      <c r="AI983">
        <v>-2004.03710799943</v>
      </c>
      <c r="AJ983">
        <v>-1885.92123720129</v>
      </c>
    </row>
    <row r="984" spans="20:36">
      <c r="T984">
        <v>490.517</v>
      </c>
      <c r="U984">
        <v>1.22379390441777</v>
      </c>
      <c r="V984">
        <v>490.517</v>
      </c>
      <c r="W984">
        <v>1.22143177083446</v>
      </c>
      <c r="X984">
        <v>490.517</v>
      </c>
      <c r="Y984">
        <v>1.22481136744418</v>
      </c>
      <c r="Z984">
        <v>490.517</v>
      </c>
      <c r="AA984">
        <v>1.23604014858738</v>
      </c>
      <c r="AB984">
        <v>490.517</v>
      </c>
      <c r="AC984">
        <v>1.22578804413513</v>
      </c>
      <c r="AE984">
        <v>490.517</v>
      </c>
      <c r="AF984">
        <v>-2005.06474986467</v>
      </c>
      <c r="AG984">
        <v>-2153.65287478224</v>
      </c>
      <c r="AH984">
        <v>-2005.05171117718</v>
      </c>
      <c r="AI984">
        <v>-1949.74948791079</v>
      </c>
      <c r="AJ984">
        <v>-2087.49855440862</v>
      </c>
    </row>
    <row r="985" spans="20:36">
      <c r="T985">
        <v>491.016</v>
      </c>
      <c r="U985">
        <v>1.22496356755368</v>
      </c>
      <c r="V985">
        <v>491.016</v>
      </c>
      <c r="W985">
        <v>1.22986256351807</v>
      </c>
      <c r="X985">
        <v>491.016</v>
      </c>
      <c r="Y985">
        <v>1.22986395785238</v>
      </c>
      <c r="Z985">
        <v>491.016</v>
      </c>
      <c r="AA985">
        <v>1.23033167547478</v>
      </c>
      <c r="AB985">
        <v>491.016</v>
      </c>
      <c r="AC985">
        <v>1.22449109739474</v>
      </c>
      <c r="AE985">
        <v>491.016</v>
      </c>
      <c r="AF985">
        <v>-2056.60393626127</v>
      </c>
      <c r="AG985">
        <v>-2078.34933040833</v>
      </c>
      <c r="AH985">
        <v>-2024.4077052277</v>
      </c>
      <c r="AI985">
        <v>-1999.89586221647</v>
      </c>
      <c r="AJ985">
        <v>-2162.67743940682</v>
      </c>
    </row>
    <row r="986" spans="20:36">
      <c r="T986">
        <v>491.515</v>
      </c>
      <c r="U986">
        <v>1.23196746163712</v>
      </c>
      <c r="V986">
        <v>491.515</v>
      </c>
      <c r="W986">
        <v>1.22627557129456</v>
      </c>
      <c r="X986">
        <v>491.515</v>
      </c>
      <c r="Y986">
        <v>1.23116281511217</v>
      </c>
      <c r="Z986">
        <v>491.515</v>
      </c>
      <c r="AA986">
        <v>1.23393531006199</v>
      </c>
      <c r="AB986">
        <v>491.515</v>
      </c>
      <c r="AC986">
        <v>1.22217869906451</v>
      </c>
      <c r="AE986">
        <v>491.515</v>
      </c>
      <c r="AF986">
        <v>-2080.0060767419</v>
      </c>
      <c r="AG986">
        <v>-2040.77588367893</v>
      </c>
      <c r="AH986">
        <v>-1947.10268273471</v>
      </c>
      <c r="AI986">
        <v>-2027.86365379879</v>
      </c>
      <c r="AJ986">
        <v>-1925.71034889287</v>
      </c>
    </row>
    <row r="987" spans="20:36">
      <c r="T987">
        <v>492.014</v>
      </c>
      <c r="U987">
        <v>1.22383891115433</v>
      </c>
      <c r="V987">
        <v>492.014</v>
      </c>
      <c r="W987">
        <v>1.22533617006161</v>
      </c>
      <c r="X987">
        <v>492.014</v>
      </c>
      <c r="Y987">
        <v>1.22714587961609</v>
      </c>
      <c r="Z987">
        <v>492.014</v>
      </c>
      <c r="AA987">
        <v>1.2359506405758</v>
      </c>
      <c r="AB987">
        <v>492.014</v>
      </c>
      <c r="AC987">
        <v>1.22672703334564</v>
      </c>
      <c r="AE987">
        <v>492.014</v>
      </c>
      <c r="AF987">
        <v>-1982.98312601728</v>
      </c>
      <c r="AG987">
        <v>-2208.90582402479</v>
      </c>
      <c r="AH987">
        <v>-1983.19683679306</v>
      </c>
      <c r="AI987">
        <v>-2087.79290751</v>
      </c>
      <c r="AJ987">
        <v>-1837.25021476738</v>
      </c>
    </row>
    <row r="988" spans="20:36">
      <c r="T988">
        <v>492.513</v>
      </c>
      <c r="U988">
        <v>1.23023079630356</v>
      </c>
      <c r="V988">
        <v>492.513</v>
      </c>
      <c r="W988">
        <v>1.22034290414354</v>
      </c>
      <c r="X988">
        <v>492.513</v>
      </c>
      <c r="Y988">
        <v>1.23047812868169</v>
      </c>
      <c r="Z988">
        <v>492.513</v>
      </c>
      <c r="AA988">
        <v>1.24096822178559</v>
      </c>
      <c r="AB988">
        <v>492.513</v>
      </c>
      <c r="AC988">
        <v>1.22514432631015</v>
      </c>
      <c r="AE988">
        <v>492.513</v>
      </c>
      <c r="AF988">
        <v>-1976.79886971904</v>
      </c>
      <c r="AG988">
        <v>-2139.43453790174</v>
      </c>
      <c r="AH988">
        <v>-1985.0109888003</v>
      </c>
      <c r="AI988">
        <v>-2049.28201635682</v>
      </c>
      <c r="AJ988">
        <v>-1924.37061928638</v>
      </c>
    </row>
    <row r="989" spans="20:36">
      <c r="T989">
        <v>493.012</v>
      </c>
      <c r="U989">
        <v>1.22985461906224</v>
      </c>
      <c r="V989">
        <v>493.012</v>
      </c>
      <c r="W989">
        <v>1.22438823975818</v>
      </c>
      <c r="X989">
        <v>493.012</v>
      </c>
      <c r="Y989">
        <v>1.22271494440759</v>
      </c>
      <c r="Z989">
        <v>493.012</v>
      </c>
      <c r="AA989">
        <v>1.22999948644166</v>
      </c>
      <c r="AB989">
        <v>493.012</v>
      </c>
      <c r="AC989">
        <v>1.22945397650454</v>
      </c>
      <c r="AE989">
        <v>493.012</v>
      </c>
      <c r="AF989">
        <v>-2032.93886497517</v>
      </c>
      <c r="AG989">
        <v>-2026.07917408155</v>
      </c>
      <c r="AH989">
        <v>-1989.99238897636</v>
      </c>
      <c r="AI989">
        <v>-1993.88477645807</v>
      </c>
      <c r="AJ989">
        <v>-2127.44955415166</v>
      </c>
    </row>
    <row r="990" spans="20:36">
      <c r="T990">
        <v>493.511</v>
      </c>
      <c r="U990">
        <v>1.23360249998351</v>
      </c>
      <c r="V990">
        <v>493.511</v>
      </c>
      <c r="W990">
        <v>1.22921385741494</v>
      </c>
      <c r="X990">
        <v>493.511</v>
      </c>
      <c r="Y990">
        <v>1.22577747093004</v>
      </c>
      <c r="Z990">
        <v>493.511</v>
      </c>
      <c r="AA990">
        <v>1.22894998907488</v>
      </c>
      <c r="AB990">
        <v>493.511</v>
      </c>
      <c r="AC990">
        <v>1.23143570081162</v>
      </c>
      <c r="AE990">
        <v>493.511</v>
      </c>
      <c r="AF990">
        <v>-2042.96690553187</v>
      </c>
      <c r="AG990">
        <v>-2056.84785678623</v>
      </c>
      <c r="AH990">
        <v>-2033.12088735478</v>
      </c>
      <c r="AI990">
        <v>-2073.96704409348</v>
      </c>
      <c r="AJ990">
        <v>-2144.91488468913</v>
      </c>
    </row>
    <row r="991" spans="20:36">
      <c r="T991">
        <v>494.01</v>
      </c>
      <c r="U991">
        <v>1.22595420164268</v>
      </c>
      <c r="V991">
        <v>494.01</v>
      </c>
      <c r="W991">
        <v>1.22592696789449</v>
      </c>
      <c r="X991">
        <v>494.01</v>
      </c>
      <c r="Y991">
        <v>1.22974397680774</v>
      </c>
      <c r="Z991">
        <v>494.01</v>
      </c>
      <c r="AA991">
        <v>1.23178480082836</v>
      </c>
      <c r="AB991">
        <v>494.01</v>
      </c>
      <c r="AC991">
        <v>1.23010356561997</v>
      </c>
      <c r="AE991">
        <v>494.01</v>
      </c>
      <c r="AF991">
        <v>-1971.1470763959</v>
      </c>
      <c r="AG991">
        <v>-2104.54018818898</v>
      </c>
      <c r="AH991">
        <v>-1972.03272235552</v>
      </c>
      <c r="AI991">
        <v>-1986.48914874167</v>
      </c>
      <c r="AJ991">
        <v>-2014.439432712</v>
      </c>
    </row>
    <row r="992" spans="20:36">
      <c r="T992">
        <v>494.509</v>
      </c>
      <c r="U992">
        <v>1.22833923511605</v>
      </c>
      <c r="V992">
        <v>494.509</v>
      </c>
      <c r="W992">
        <v>1.21972335390586</v>
      </c>
      <c r="X992">
        <v>494.509</v>
      </c>
      <c r="Y992">
        <v>1.22944268631703</v>
      </c>
      <c r="Z992">
        <v>494.509</v>
      </c>
      <c r="AA992">
        <v>1.2319022858443</v>
      </c>
      <c r="AB992">
        <v>494.509</v>
      </c>
      <c r="AC992">
        <v>1.22646071112616</v>
      </c>
      <c r="AE992">
        <v>494.509</v>
      </c>
      <c r="AF992">
        <v>-2057.70722145595</v>
      </c>
      <c r="AG992">
        <v>-2109.11859601226</v>
      </c>
      <c r="AH992">
        <v>-1898.55726811156</v>
      </c>
      <c r="AI992">
        <v>-1984.95910207383</v>
      </c>
      <c r="AJ992">
        <v>-1964.3812300613</v>
      </c>
    </row>
    <row r="993" spans="14:36">
      <c r="T993">
        <v>495.008</v>
      </c>
      <c r="U993">
        <v>1.23287405893049</v>
      </c>
      <c r="V993">
        <v>495.008</v>
      </c>
      <c r="W993">
        <v>1.22776563564706</v>
      </c>
      <c r="X993">
        <v>495.008</v>
      </c>
      <c r="Y993">
        <v>1.22728587467511</v>
      </c>
      <c r="Z993">
        <v>495.008</v>
      </c>
      <c r="AA993">
        <v>1.23765753300049</v>
      </c>
      <c r="AB993">
        <v>495.008</v>
      </c>
      <c r="AC993">
        <v>1.22975054784708</v>
      </c>
      <c r="AE993">
        <v>495.008</v>
      </c>
      <c r="AF993">
        <v>-2057.46798349593</v>
      </c>
      <c r="AG993">
        <v>-2108.52142693949</v>
      </c>
      <c r="AH993">
        <v>-1953.51340417862</v>
      </c>
      <c r="AI993">
        <v>-2119.10044187932</v>
      </c>
      <c r="AJ993">
        <v>-1995.67668405245</v>
      </c>
    </row>
    <row r="994" spans="14:36">
      <c r="T994">
        <v>495.507</v>
      </c>
      <c r="U994">
        <v>1.228822266007</v>
      </c>
      <c r="V994">
        <v>495.507</v>
      </c>
      <c r="W994">
        <v>1.23397060887321</v>
      </c>
      <c r="X994">
        <v>495.507</v>
      </c>
      <c r="Y994">
        <v>1.23521162579951</v>
      </c>
      <c r="Z994">
        <v>495.507</v>
      </c>
      <c r="AA994">
        <v>1.23412769548526</v>
      </c>
      <c r="AB994">
        <v>495.507</v>
      </c>
      <c r="AC994">
        <v>1.23912525301474</v>
      </c>
      <c r="AE994">
        <v>495.507</v>
      </c>
      <c r="AF994">
        <v>-1988.49560081456</v>
      </c>
      <c r="AG994">
        <v>-2157.36271352331</v>
      </c>
      <c r="AH994">
        <v>-2104.15321135108</v>
      </c>
      <c r="AI994">
        <v>-2156.01580228706</v>
      </c>
      <c r="AJ994">
        <v>-2069.34386004371</v>
      </c>
    </row>
    <row r="995" spans="14:36">
      <c r="T995">
        <v>496.006</v>
      </c>
      <c r="U995">
        <v>1.23527692347357</v>
      </c>
      <c r="V995">
        <v>496.006</v>
      </c>
      <c r="W995">
        <v>1.22214209654493</v>
      </c>
      <c r="X995">
        <v>496.006</v>
      </c>
      <c r="Y995">
        <v>1.23356173054479</v>
      </c>
      <c r="Z995">
        <v>496.006</v>
      </c>
      <c r="AA995">
        <v>1.23651308843699</v>
      </c>
      <c r="AB995">
        <v>496.006</v>
      </c>
      <c r="AC995">
        <v>1.23316262648973</v>
      </c>
      <c r="AE995">
        <v>496.006</v>
      </c>
      <c r="AF995">
        <v>-1967.83298751808</v>
      </c>
      <c r="AG995">
        <v>-2076.17638952862</v>
      </c>
      <c r="AH995">
        <v>-2056.69534305326</v>
      </c>
      <c r="AI995">
        <v>-1920.73351206748</v>
      </c>
      <c r="AJ995">
        <v>-2064.96509577733</v>
      </c>
    </row>
    <row r="996" spans="14:36">
      <c r="N996" t="s">
        <v>171</v>
      </c>
      <c r="T996">
        <v>496.505</v>
      </c>
      <c r="U996">
        <v>1.23128938559588</v>
      </c>
      <c r="V996">
        <v>496.505</v>
      </c>
      <c r="W996">
        <v>1.22744566149675</v>
      </c>
      <c r="X996">
        <v>496.505</v>
      </c>
      <c r="Y996">
        <v>1.22064565784877</v>
      </c>
      <c r="Z996">
        <v>496.505</v>
      </c>
      <c r="AA996">
        <v>1.23719871072617</v>
      </c>
      <c r="AB996">
        <v>496.505</v>
      </c>
      <c r="AC996">
        <v>1.2279735891852</v>
      </c>
      <c r="AE996">
        <v>496.505</v>
      </c>
      <c r="AF996">
        <v>-2089.60076875961</v>
      </c>
      <c r="AG996">
        <v>-2083.34218089171</v>
      </c>
      <c r="AH996">
        <v>-1830.49600670557</v>
      </c>
      <c r="AI996">
        <v>-1965.9287924194</v>
      </c>
      <c r="AJ996">
        <v>-1995.24363831523</v>
      </c>
    </row>
    <row r="997" spans="14:36">
      <c r="N997" t="s">
        <v>172</v>
      </c>
      <c r="T997">
        <v>497.004</v>
      </c>
      <c r="U997">
        <v>1.23196174544561</v>
      </c>
      <c r="V997">
        <v>497.004</v>
      </c>
      <c r="W997">
        <v>1.22378874492885</v>
      </c>
      <c r="X997">
        <v>497.004</v>
      </c>
      <c r="Y997">
        <v>1.23094420790147</v>
      </c>
      <c r="Z997">
        <v>497.004</v>
      </c>
      <c r="AA997">
        <v>1.2293240992472</v>
      </c>
      <c r="AB997">
        <v>497.004</v>
      </c>
      <c r="AC997">
        <v>1.22883232452201</v>
      </c>
      <c r="AE997">
        <v>497.004</v>
      </c>
      <c r="AF997">
        <v>-2100.85003546357</v>
      </c>
      <c r="AG997">
        <v>-2079.80236075807</v>
      </c>
      <c r="AH997">
        <v>-1867.77063728154</v>
      </c>
      <c r="AI997">
        <v>-1964.44456571992</v>
      </c>
      <c r="AJ997">
        <v>-2057.51706296362</v>
      </c>
    </row>
    <row r="998" spans="14:36">
      <c r="N998" t="s">
        <v>173</v>
      </c>
      <c r="T998">
        <v>497.503</v>
      </c>
      <c r="U998">
        <v>1.22659686713218</v>
      </c>
      <c r="V998">
        <v>497.503</v>
      </c>
      <c r="W998">
        <v>1.22325826123632</v>
      </c>
      <c r="X998">
        <v>497.503</v>
      </c>
      <c r="Y998">
        <v>1.23065660470807</v>
      </c>
      <c r="Z998">
        <v>497.503</v>
      </c>
      <c r="AA998">
        <v>1.23887154456488</v>
      </c>
      <c r="AB998">
        <v>497.503</v>
      </c>
      <c r="AC998">
        <v>1.22950117218353</v>
      </c>
      <c r="AE998">
        <v>497.503</v>
      </c>
      <c r="AF998">
        <v>-2040.51758459903</v>
      </c>
      <c r="AG998">
        <v>-2047.19511657982</v>
      </c>
      <c r="AH998">
        <v>-2103.15648638416</v>
      </c>
      <c r="AI998">
        <v>-2112.26313675654</v>
      </c>
      <c r="AJ998">
        <v>-2030.92455981448</v>
      </c>
    </row>
    <row r="999" spans="14:36">
      <c r="N999" t="s">
        <v>174</v>
      </c>
      <c r="T999">
        <v>498.002</v>
      </c>
      <c r="U999">
        <v>1.23094214197646</v>
      </c>
      <c r="V999">
        <v>498.002</v>
      </c>
      <c r="W999">
        <v>1.22624207545289</v>
      </c>
      <c r="X999">
        <v>498.002</v>
      </c>
      <c r="Y999">
        <v>1.22741479217773</v>
      </c>
      <c r="Z999">
        <v>498.002</v>
      </c>
      <c r="AA999">
        <v>1.23935529992496</v>
      </c>
      <c r="AB999">
        <v>498.002</v>
      </c>
      <c r="AC999">
        <v>1.23040152698015</v>
      </c>
      <c r="AE999">
        <v>498.002</v>
      </c>
      <c r="AF999">
        <v>-2056.90837935924</v>
      </c>
      <c r="AG999">
        <v>-2010.6945399824</v>
      </c>
      <c r="AH999">
        <v>-2157.62506849146</v>
      </c>
      <c r="AI999">
        <v>-2115.00808615386</v>
      </c>
      <c r="AJ999">
        <v>-2012.51393048821</v>
      </c>
    </row>
    <row r="1000" spans="14:36">
      <c r="N1000" t="s">
        <v>175</v>
      </c>
      <c r="T1000">
        <v>498.501</v>
      </c>
      <c r="U1000">
        <v>1.2257908378141</v>
      </c>
      <c r="V1000">
        <v>498.501</v>
      </c>
      <c r="W1000">
        <v>1.22531563621185</v>
      </c>
      <c r="X1000">
        <v>498.501</v>
      </c>
      <c r="Y1000">
        <v>1.22931587649411</v>
      </c>
      <c r="Z1000">
        <v>498.501</v>
      </c>
      <c r="AA1000">
        <v>1.23816176024587</v>
      </c>
      <c r="AB1000">
        <v>498.501</v>
      </c>
      <c r="AC1000">
        <v>1.23608213184829</v>
      </c>
      <c r="AE1000">
        <v>498.501</v>
      </c>
      <c r="AF1000">
        <v>-2049.46756480024</v>
      </c>
      <c r="AG1000">
        <v>-2088.51556720721</v>
      </c>
      <c r="AH1000">
        <v>-1969.33261032033</v>
      </c>
      <c r="AI1000">
        <v>-2008.27579550235</v>
      </c>
      <c r="AJ1000">
        <v>-2057.71466099864</v>
      </c>
    </row>
    <row r="1001" spans="14:36">
      <c r="T1001">
        <v>499</v>
      </c>
      <c r="U1001">
        <v>1.22833977377739</v>
      </c>
      <c r="V1001">
        <v>499</v>
      </c>
      <c r="W1001">
        <v>1.23165152988072</v>
      </c>
      <c r="X1001">
        <v>499</v>
      </c>
      <c r="Y1001">
        <v>1.2322983716834</v>
      </c>
      <c r="Z1001">
        <v>499</v>
      </c>
      <c r="AA1001">
        <v>1.23508085160887</v>
      </c>
      <c r="AB1001">
        <v>499</v>
      </c>
      <c r="AC1001">
        <v>1.24291633750534</v>
      </c>
      <c r="AE1001">
        <v>499</v>
      </c>
      <c r="AF1001">
        <v>-1980.39085135983</v>
      </c>
      <c r="AG1001">
        <v>-2145.77399594283</v>
      </c>
      <c r="AH1001">
        <v>-1939.89315483443</v>
      </c>
      <c r="AI1001">
        <v>-2018.26272384094</v>
      </c>
      <c r="AJ1001">
        <v>-2122.29907730031</v>
      </c>
    </row>
    <row r="1002" spans="14:36">
      <c r="T1002">
        <v>499.499</v>
      </c>
      <c r="U1002">
        <v>1.23904816492209</v>
      </c>
      <c r="V1002">
        <v>499.499</v>
      </c>
      <c r="W1002">
        <v>1.23232177532885</v>
      </c>
      <c r="X1002">
        <v>499.499</v>
      </c>
      <c r="Y1002">
        <v>1.23384117338747</v>
      </c>
      <c r="Z1002">
        <v>499.499</v>
      </c>
      <c r="AA1002">
        <v>1.23552775936381</v>
      </c>
      <c r="AB1002">
        <v>499.499</v>
      </c>
      <c r="AC1002">
        <v>1.2338849216708</v>
      </c>
      <c r="AE1002">
        <v>499.499</v>
      </c>
      <c r="AF1002">
        <v>-2045.30677890872</v>
      </c>
      <c r="AG1002">
        <v>-2047.10731732536</v>
      </c>
      <c r="AH1002">
        <v>-2010.27920950393</v>
      </c>
      <c r="AI1002">
        <v>-2035.18383201828</v>
      </c>
      <c r="AJ1002">
        <v>-1993.54627736738</v>
      </c>
    </row>
    <row r="1003" spans="14:36">
      <c r="T1003">
        <v>499.998</v>
      </c>
      <c r="U1003">
        <v>1.23319311058533</v>
      </c>
      <c r="V1003">
        <v>499.998</v>
      </c>
      <c r="W1003">
        <v>1.22568713167174</v>
      </c>
      <c r="X1003">
        <v>499.998</v>
      </c>
      <c r="Y1003">
        <v>1.22815299416193</v>
      </c>
      <c r="Z1003">
        <v>499.998</v>
      </c>
      <c r="AA1003">
        <v>1.23769681344035</v>
      </c>
      <c r="AB1003">
        <v>499.998</v>
      </c>
      <c r="AC1003">
        <v>1.2255324188476</v>
      </c>
      <c r="AE1003">
        <v>499.998</v>
      </c>
      <c r="AF1003">
        <v>-2091.35332024961</v>
      </c>
      <c r="AG1003">
        <v>-1935.84122479362</v>
      </c>
      <c r="AH1003">
        <v>-2034.61861500262</v>
      </c>
      <c r="AI1003">
        <v>-2033.11914088332</v>
      </c>
      <c r="AJ1003">
        <v>-2011.26309638269</v>
      </c>
    </row>
    <row r="1004" spans="14:36">
      <c r="T1004">
        <v>500</v>
      </c>
      <c r="U1004">
        <v>1.23306243769672</v>
      </c>
      <c r="V1004">
        <v>500</v>
      </c>
      <c r="W1004">
        <v>1.2257429877902</v>
      </c>
      <c r="X1004">
        <v>500</v>
      </c>
      <c r="Y1004">
        <v>1.22818829039361</v>
      </c>
      <c r="Z1004">
        <v>500</v>
      </c>
      <c r="AA1004">
        <v>1.23734716700332</v>
      </c>
      <c r="AB1004">
        <v>500</v>
      </c>
      <c r="AC1004">
        <v>1.22530170458822</v>
      </c>
      <c r="AE1004">
        <v>500</v>
      </c>
      <c r="AF1004">
        <v>-2093.52960944192</v>
      </c>
      <c r="AG1004">
        <v>-1938.86855794799</v>
      </c>
      <c r="AH1004">
        <v>-2035.41504084871</v>
      </c>
      <c r="AI1004">
        <v>-2033.51486457436</v>
      </c>
      <c r="AJ1004">
        <v>-2012.87491943795</v>
      </c>
    </row>
    <row r="1005" spans="14:36">
      <c r="U1005">
        <f>AVEDEV(U603:U1004)</f>
        <v>0.00396850037852843</v>
      </c>
      <c r="W1005">
        <f t="shared" ref="W1005:AD1005" si="10">AVEDEV(W603:W1004)</f>
        <v>0.00435704030076128</v>
      </c>
      <c r="Y1005">
        <f t="shared" si="10"/>
        <v>0.00338461737880873</v>
      </c>
      <c r="AA1005">
        <f t="shared" si="10"/>
        <v>0.00418151458775826</v>
      </c>
      <c r="AC1005">
        <f t="shared" si="10"/>
        <v>0.00392879486401295</v>
      </c>
      <c r="AD1005" t="e">
        <f t="shared" si="10"/>
        <v>#NUM!</v>
      </c>
      <c r="AF1005">
        <f>AVEDEV(AF803:AF1004)</f>
        <v>61.3036268943602</v>
      </c>
      <c r="AG1005">
        <f t="shared" ref="AG1005:AJ1005" si="11">AVEDEV(AG803:AG1004)</f>
        <v>55.768227711261</v>
      </c>
      <c r="AH1005">
        <f t="shared" si="11"/>
        <v>58.7201649459613</v>
      </c>
      <c r="AI1005">
        <f t="shared" si="11"/>
        <v>63.2043887476003</v>
      </c>
      <c r="AJ1005">
        <f t="shared" si="11"/>
        <v>59.836750514995</v>
      </c>
    </row>
    <row r="1006" spans="14:36">
      <c r="U1006">
        <f>AVERAGE(U603:U1004)</f>
        <v>1.22944053991394</v>
      </c>
      <c r="W1006">
        <f t="shared" ref="W1006:AC1006" si="12">AVERAGE(W603:W1004)</f>
        <v>1.22698025038582</v>
      </c>
      <c r="Y1006">
        <f t="shared" si="12"/>
        <v>1.22775548014197</v>
      </c>
      <c r="AA1006">
        <f t="shared" si="12"/>
        <v>1.23339143162847</v>
      </c>
      <c r="AC1006">
        <f t="shared" si="12"/>
        <v>1.2303456097189</v>
      </c>
      <c r="AF1006">
        <f>AVERAGE(AF803:AF1004)</f>
        <v>-2036.53612442827</v>
      </c>
      <c r="AG1006">
        <f t="shared" ref="AG1006:AJ1006" si="13">AVERAGE(AG803:AG1004)</f>
        <v>-2073.04658123975</v>
      </c>
      <c r="AH1006">
        <f t="shared" si="13"/>
        <v>-1998.33193664459</v>
      </c>
      <c r="AI1006">
        <f t="shared" si="13"/>
        <v>-2035.20801514293</v>
      </c>
      <c r="AJ1006">
        <f t="shared" si="13"/>
        <v>-2017.79535150883</v>
      </c>
    </row>
  </sheetData>
  <mergeCells count="5">
    <mergeCell ref="CK1:CY1"/>
    <mergeCell ref="DC1:DL1"/>
    <mergeCell ref="DM1:DO1"/>
    <mergeCell ref="D2:O2"/>
    <mergeCell ref="DQ3:DQ8"/>
  </mergeCells>
  <pageMargins left="0.7" right="0.7" top="0.75" bottom="0.75" header="0.3" footer="0.3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F1:EN1012"/>
  <sheetViews>
    <sheetView tabSelected="1" topLeftCell="DW1" workbookViewId="0">
      <selection activeCell="EN1" sqref="EJ$1:EJ$1048576 EN$1:EN$1048576"/>
    </sheetView>
  </sheetViews>
  <sheetFormatPr defaultColWidth="9" defaultRowHeight="13.8"/>
  <cols>
    <col min="5" max="5" width="6.12962962962963" customWidth="1"/>
    <col min="6" max="6" width="12.1296296296296" customWidth="1"/>
    <col min="7" max="7" width="12.6296296296296" customWidth="1"/>
    <col min="17" max="17" width="14" customWidth="1"/>
    <col min="18" max="18" width="13.5" customWidth="1"/>
    <col min="19" max="19" width="10.3796296296296" customWidth="1"/>
    <col min="122" max="123" width="12.5555555555556" customWidth="1"/>
    <col min="124" max="124" width="11.7777777777778"/>
    <col min="125" max="125" width="18.3333333333333" customWidth="1"/>
    <col min="126" max="126" width="12.8888888888889"/>
    <col min="132" max="132" width="12.8888888888889"/>
    <col min="138" max="138" width="12.8888888888889"/>
    <col min="144" max="144" width="12.8888888888889"/>
  </cols>
  <sheetData>
    <row r="1" spans="6:144">
      <c r="X1" s="11" t="s">
        <v>152</v>
      </c>
      <c r="Y1" s="11"/>
      <c r="Z1" s="11"/>
      <c r="AA1" s="11"/>
      <c r="AB1" s="11"/>
      <c r="AC1" s="11"/>
      <c r="AD1" s="11"/>
      <c r="AE1" s="11"/>
      <c r="AF1" s="11"/>
      <c r="AG1" s="11"/>
      <c r="AJ1" s="11" t="s">
        <v>102</v>
      </c>
      <c r="AK1" s="11">
        <v>10</v>
      </c>
      <c r="AL1" s="11"/>
      <c r="AM1" s="11">
        <v>20</v>
      </c>
      <c r="AN1" s="11"/>
      <c r="AO1" s="11">
        <v>30</v>
      </c>
      <c r="AP1" s="11"/>
      <c r="AQ1" s="11">
        <v>40</v>
      </c>
      <c r="AR1" s="11"/>
      <c r="AS1" s="11"/>
      <c r="AV1" t="s">
        <v>73</v>
      </c>
      <c r="AW1" s="6" t="s">
        <v>63</v>
      </c>
      <c r="AX1" s="6"/>
      <c r="AY1" s="6"/>
      <c r="AZ1" s="6"/>
      <c r="BA1" s="6"/>
      <c r="BB1" s="6"/>
      <c r="BC1" s="6"/>
      <c r="BD1" s="6"/>
      <c r="BE1" s="6"/>
      <c r="BF1" s="6"/>
      <c r="BG1" s="7" t="s">
        <v>64</v>
      </c>
      <c r="BH1" s="7"/>
      <c r="BI1" s="7"/>
      <c r="BN1" s="2" t="s">
        <v>156</v>
      </c>
      <c r="BO1" s="2"/>
      <c r="BP1" s="2"/>
      <c r="BQ1" s="2"/>
      <c r="CS1" s="4">
        <v>0.02</v>
      </c>
      <c r="CT1" s="4" t="s">
        <v>177</v>
      </c>
      <c r="CU1" s="4"/>
      <c r="CV1" s="4"/>
      <c r="CW1" s="4" t="s">
        <v>178</v>
      </c>
      <c r="CX1" s="4">
        <v>0.04</v>
      </c>
      <c r="CY1" s="4" t="s">
        <v>177</v>
      </c>
      <c r="CZ1" s="4"/>
      <c r="DA1" s="4" t="s">
        <v>178</v>
      </c>
      <c r="DB1" s="4">
        <v>0.06</v>
      </c>
      <c r="DC1" s="4" t="s">
        <v>177</v>
      </c>
      <c r="DD1" s="4"/>
      <c r="DE1" s="4" t="s">
        <v>178</v>
      </c>
      <c r="DF1" s="4">
        <v>0.08</v>
      </c>
      <c r="DG1" s="4" t="s">
        <v>177</v>
      </c>
      <c r="DH1" s="4"/>
      <c r="DI1" s="4" t="s">
        <v>178</v>
      </c>
      <c r="DJ1" s="4">
        <v>0.1</v>
      </c>
      <c r="DK1" s="4" t="s">
        <v>177</v>
      </c>
      <c r="DL1" s="4"/>
      <c r="DM1" s="4" t="s">
        <v>178</v>
      </c>
      <c r="EJ1">
        <v>0.2367</v>
      </c>
      <c r="EK1">
        <v>0.92515</v>
      </c>
      <c r="EL1">
        <v>0.85756</v>
      </c>
      <c r="EM1">
        <v>0.86601</v>
      </c>
      <c r="EN1">
        <f>AVERAGE(EK1:EM1)</f>
        <v>0.882906666666667</v>
      </c>
    </row>
    <row r="2" spans="6:144">
      <c r="F2" s="5" t="s">
        <v>159</v>
      </c>
      <c r="G2" s="5"/>
      <c r="H2" s="5"/>
      <c r="I2" s="5"/>
      <c r="J2" s="5"/>
      <c r="K2" s="5"/>
      <c r="L2" s="5"/>
      <c r="M2" s="5"/>
      <c r="N2" s="5"/>
      <c r="O2" s="5"/>
      <c r="P2" s="5"/>
      <c r="Q2" s="5"/>
      <c r="AK2" t="s">
        <v>70</v>
      </c>
      <c r="AL2" t="s">
        <v>64</v>
      </c>
      <c r="AM2" t="s">
        <v>70</v>
      </c>
      <c r="AN2" t="s">
        <v>64</v>
      </c>
      <c r="AO2" t="s">
        <v>70</v>
      </c>
      <c r="AP2" t="s">
        <v>64</v>
      </c>
      <c r="AQ2" t="s">
        <v>70</v>
      </c>
      <c r="AR2" t="s">
        <v>64</v>
      </c>
      <c r="AS2" t="s">
        <v>70</v>
      </c>
      <c r="AT2" t="s">
        <v>64</v>
      </c>
      <c r="AV2" t="s">
        <v>43</v>
      </c>
      <c r="AW2" t="s">
        <v>80</v>
      </c>
      <c r="AX2" t="s">
        <v>81</v>
      </c>
      <c r="AY2" t="s">
        <v>82</v>
      </c>
      <c r="AZ2" t="s">
        <v>83</v>
      </c>
      <c r="BA2" t="s">
        <v>84</v>
      </c>
      <c r="BB2" t="s">
        <v>85</v>
      </c>
      <c r="BC2" t="s">
        <v>86</v>
      </c>
      <c r="BD2" t="s">
        <v>87</v>
      </c>
      <c r="BE2" t="s">
        <v>88</v>
      </c>
      <c r="BF2" t="s">
        <v>89</v>
      </c>
      <c r="BG2" t="s">
        <v>80</v>
      </c>
      <c r="BH2" t="s">
        <v>81</v>
      </c>
      <c r="BI2" t="s">
        <v>82</v>
      </c>
      <c r="BJ2" t="s">
        <v>90</v>
      </c>
      <c r="BO2" t="s">
        <v>79</v>
      </c>
      <c r="BP2" t="s">
        <v>162</v>
      </c>
      <c r="BQ2" t="s">
        <v>163</v>
      </c>
      <c r="BR2" t="s">
        <v>164</v>
      </c>
      <c r="BS2" t="s">
        <v>4</v>
      </c>
      <c r="BX2" t="s">
        <v>179</v>
      </c>
      <c r="BY2" t="s">
        <v>180</v>
      </c>
      <c r="BZ2" t="s">
        <v>164</v>
      </c>
      <c r="CA2" t="s">
        <v>70</v>
      </c>
      <c r="CB2" t="s">
        <v>4</v>
      </c>
      <c r="CD2" t="s">
        <v>181</v>
      </c>
      <c r="CS2" t="s">
        <v>104</v>
      </c>
      <c r="CT2" t="s">
        <v>105</v>
      </c>
      <c r="CV2" t="s">
        <v>104</v>
      </c>
      <c r="CW2" t="s">
        <v>105</v>
      </c>
      <c r="CX2" t="s">
        <v>104</v>
      </c>
      <c r="CY2" t="s">
        <v>105</v>
      </c>
      <c r="CZ2" t="s">
        <v>104</v>
      </c>
      <c r="DA2" t="s">
        <v>105</v>
      </c>
      <c r="DB2" t="s">
        <v>104</v>
      </c>
      <c r="DC2" t="s">
        <v>105</v>
      </c>
      <c r="DD2" t="s">
        <v>104</v>
      </c>
      <c r="DE2" t="s">
        <v>105</v>
      </c>
      <c r="DF2" t="s">
        <v>104</v>
      </c>
      <c r="DG2" t="s">
        <v>105</v>
      </c>
      <c r="DH2" t="s">
        <v>104</v>
      </c>
      <c r="DI2" t="s">
        <v>105</v>
      </c>
      <c r="DJ2" t="s">
        <v>104</v>
      </c>
      <c r="DK2" t="s">
        <v>105</v>
      </c>
      <c r="DL2" t="s">
        <v>104</v>
      </c>
      <c r="DM2" t="s">
        <v>105</v>
      </c>
      <c r="DR2">
        <v>0.24496</v>
      </c>
      <c r="DS2">
        <v>1.07657</v>
      </c>
      <c r="DT2">
        <v>2.53663</v>
      </c>
      <c r="DU2">
        <v>0</v>
      </c>
      <c r="DV2">
        <f>AVERAGE(DS2:DU2)</f>
        <v>1.2044</v>
      </c>
      <c r="DX2">
        <v>0.25675</v>
      </c>
      <c r="DY2">
        <v>0.93641</v>
      </c>
      <c r="DZ2">
        <v>0.56678</v>
      </c>
      <c r="EA2">
        <v>1.07349</v>
      </c>
      <c r="EB2">
        <f>AVERAGE(DY2:EA2)</f>
        <v>0.858893333333333</v>
      </c>
      <c r="ED2">
        <v>0.26656</v>
      </c>
      <c r="EE2">
        <v>0.52673</v>
      </c>
      <c r="EF2">
        <v>1.19439</v>
      </c>
      <c r="EG2">
        <v>0.59373</v>
      </c>
      <c r="EH2">
        <f>AVERAGE(EE2:EG2)</f>
        <v>0.771616666666667</v>
      </c>
      <c r="EJ2">
        <v>0.71009</v>
      </c>
      <c r="EK2">
        <v>0.93043</v>
      </c>
      <c r="EL2">
        <v>0.69175</v>
      </c>
      <c r="EM2">
        <v>0.81743</v>
      </c>
      <c r="EN2">
        <f t="shared" ref="EN2:EN33" si="0">AVERAGE(EK2:EM2)</f>
        <v>0.813203333333333</v>
      </c>
    </row>
    <row r="3" ht="41.4" spans="6:144">
      <c r="F3" s="8" t="s">
        <v>182</v>
      </c>
      <c r="G3" s="8" t="s">
        <v>183</v>
      </c>
      <c r="H3" s="5" t="s">
        <v>69</v>
      </c>
      <c r="I3" s="5" t="s">
        <v>20</v>
      </c>
      <c r="J3" s="5" t="s">
        <v>42</v>
      </c>
      <c r="K3" s="5" t="s">
        <v>70</v>
      </c>
      <c r="L3" s="5" t="s">
        <v>43</v>
      </c>
      <c r="M3" s="5" t="s">
        <v>21</v>
      </c>
      <c r="N3" s="5" t="s">
        <v>14</v>
      </c>
      <c r="O3" s="5" t="s">
        <v>22</v>
      </c>
      <c r="P3" s="5" t="s">
        <v>7</v>
      </c>
      <c r="Q3" s="5" t="s">
        <v>44</v>
      </c>
      <c r="R3" s="8" t="s">
        <v>71</v>
      </c>
      <c r="S3" s="8" t="s">
        <v>184</v>
      </c>
      <c r="T3" s="8"/>
      <c r="X3">
        <v>0.499</v>
      </c>
      <c r="Y3">
        <v>1.04237847248491</v>
      </c>
      <c r="Z3">
        <v>0.499</v>
      </c>
      <c r="AA3">
        <v>1.06239896107779</v>
      </c>
      <c r="AB3">
        <v>0.499</v>
      </c>
      <c r="AC3">
        <v>1.0317227590833</v>
      </c>
      <c r="AD3">
        <v>0.499</v>
      </c>
      <c r="AE3">
        <v>1.02657007098817</v>
      </c>
      <c r="AF3">
        <v>0.499</v>
      </c>
      <c r="AG3">
        <v>1.03242594189951</v>
      </c>
      <c r="AJ3" t="s">
        <v>99</v>
      </c>
      <c r="AK3" t="s">
        <v>102</v>
      </c>
      <c r="AL3" t="s">
        <v>102</v>
      </c>
      <c r="AM3" t="s">
        <v>102</v>
      </c>
      <c r="AN3" t="s">
        <v>102</v>
      </c>
      <c r="AO3" t="s">
        <v>102</v>
      </c>
      <c r="AP3" t="s">
        <v>102</v>
      </c>
      <c r="AQ3" t="s">
        <v>102</v>
      </c>
      <c r="AR3" t="s">
        <v>102</v>
      </c>
      <c r="AS3" t="s">
        <v>102</v>
      </c>
      <c r="AT3" t="s">
        <v>102</v>
      </c>
      <c r="AV3">
        <v>0.02</v>
      </c>
      <c r="AW3">
        <v>0.009336</v>
      </c>
      <c r="AX3">
        <f>AW3/6*10000</f>
        <v>15.56</v>
      </c>
      <c r="AY3">
        <v>0.9976</v>
      </c>
      <c r="AZ3">
        <v>10</v>
      </c>
      <c r="BA3" s="5">
        <v>33.96033</v>
      </c>
      <c r="BB3" s="5">
        <f>BA3^3*10^-30</f>
        <v>3.91665848958788e-26</v>
      </c>
      <c r="BC3" s="5">
        <f>AZ3/BB3</f>
        <v>2.55319681983614e+26</v>
      </c>
      <c r="BD3" s="9">
        <v>2.567e-38</v>
      </c>
      <c r="BE3" s="5">
        <f>1.3806E-23*298</f>
        <v>4.114188e-21</v>
      </c>
      <c r="BF3" s="10">
        <f>BC3*BD3*AX3/BE3*0.00000000000001</f>
        <v>0.000247876652793313</v>
      </c>
      <c r="BG3">
        <v>0.01641</v>
      </c>
      <c r="BH3">
        <f>BG3/6*10000</f>
        <v>27.35</v>
      </c>
      <c r="BI3">
        <v>0.9991</v>
      </c>
      <c r="BJ3">
        <f>AX3/(AX3+BH3)</f>
        <v>0.362619436028898</v>
      </c>
      <c r="BK3" s="5" t="s">
        <v>185</v>
      </c>
      <c r="BN3">
        <v>0.02</v>
      </c>
      <c r="BO3">
        <v>-15426.73286</v>
      </c>
      <c r="BP3">
        <v>1961.97117</v>
      </c>
      <c r="BQ3">
        <v>-369.455582</v>
      </c>
      <c r="BR3">
        <v>-14360.677241</v>
      </c>
      <c r="BS3">
        <f>BO3-BP3-BQ3-BR3</f>
        <v>-2658.571207</v>
      </c>
      <c r="BX3">
        <v>0.02</v>
      </c>
      <c r="BY3">
        <v>-14754.167045</v>
      </c>
      <c r="BZ3">
        <v>-14360.677241</v>
      </c>
      <c r="CA3">
        <v>-210.380919</v>
      </c>
      <c r="CB3">
        <f>BY3-BZ3-CA3</f>
        <v>-183.108885000001</v>
      </c>
      <c r="CC3">
        <v>10</v>
      </c>
      <c r="CD3">
        <f>CB3/CC3</f>
        <v>-18.3108885000001</v>
      </c>
      <c r="CS3">
        <v>0.025</v>
      </c>
      <c r="CT3">
        <v>0</v>
      </c>
      <c r="CV3">
        <v>0.025</v>
      </c>
      <c r="CW3">
        <v>0</v>
      </c>
      <c r="CX3">
        <v>0.025</v>
      </c>
      <c r="CY3">
        <v>0</v>
      </c>
      <c r="CZ3">
        <v>0.025</v>
      </c>
      <c r="DA3">
        <v>0</v>
      </c>
      <c r="DB3">
        <v>0.025</v>
      </c>
      <c r="DC3">
        <v>0</v>
      </c>
      <c r="DD3">
        <v>0.025</v>
      </c>
      <c r="DE3">
        <v>0</v>
      </c>
      <c r="DF3">
        <v>0.025</v>
      </c>
      <c r="DG3">
        <v>0</v>
      </c>
      <c r="DH3">
        <v>0.025</v>
      </c>
      <c r="DI3">
        <v>0</v>
      </c>
      <c r="DJ3">
        <v>0.025</v>
      </c>
      <c r="DK3">
        <v>0</v>
      </c>
      <c r="DL3">
        <v>0.025</v>
      </c>
      <c r="DM3">
        <v>0</v>
      </c>
      <c r="DR3">
        <v>0.73489</v>
      </c>
      <c r="DS3">
        <v>0.65611</v>
      </c>
      <c r="DT3">
        <v>2.17624</v>
      </c>
      <c r="DU3" s="12">
        <v>0.06007</v>
      </c>
      <c r="DV3">
        <f t="shared" ref="DV3:DV34" si="1">AVERAGE(DS3:DU3)</f>
        <v>0.96414</v>
      </c>
      <c r="DX3">
        <v>0.77024</v>
      </c>
      <c r="DY3">
        <v>0.87789</v>
      </c>
      <c r="DZ3">
        <v>0.65919</v>
      </c>
      <c r="EA3">
        <v>1.04114</v>
      </c>
      <c r="EB3">
        <f t="shared" ref="EB3:EB34" si="2">AVERAGE(DY3:EA3)</f>
        <v>0.859406666666667</v>
      </c>
      <c r="ED3">
        <v>0.79967</v>
      </c>
      <c r="EE3">
        <v>0.47591</v>
      </c>
      <c r="EF3">
        <v>0.98993</v>
      </c>
      <c r="EG3">
        <v>0.57987</v>
      </c>
      <c r="EH3">
        <f t="shared" ref="EH3:EH34" si="3">AVERAGE(EE3:EG3)</f>
        <v>0.681903333333333</v>
      </c>
      <c r="EJ3">
        <v>1.18348</v>
      </c>
      <c r="EK3">
        <v>0.80686</v>
      </c>
      <c r="EL3">
        <v>0.62733</v>
      </c>
      <c r="EM3">
        <v>0.78891</v>
      </c>
      <c r="EN3">
        <f t="shared" si="0"/>
        <v>0.741033333333333</v>
      </c>
    </row>
    <row r="4" spans="6:144">
      <c r="F4" s="5">
        <v>0.02</v>
      </c>
      <c r="G4" s="5">
        <v>10</v>
      </c>
      <c r="H4" s="5">
        <v>33.96033</v>
      </c>
      <c r="I4" s="5">
        <v>1200</v>
      </c>
      <c r="J4" s="5">
        <v>2110</v>
      </c>
      <c r="K4" s="5">
        <v>10</v>
      </c>
      <c r="L4" s="5">
        <v>10</v>
      </c>
      <c r="M4" s="5">
        <v>665</v>
      </c>
      <c r="N4" s="5">
        <v>60</v>
      </c>
      <c r="O4" s="5">
        <v>20</v>
      </c>
      <c r="P4" s="5">
        <v>10</v>
      </c>
      <c r="Q4" s="5">
        <v>29805.4</v>
      </c>
      <c r="R4">
        <v>1.27170505401378</v>
      </c>
      <c r="S4">
        <v>0.00419548407348253</v>
      </c>
      <c r="X4">
        <v>0.998</v>
      </c>
      <c r="Y4">
        <v>1.05705513783961</v>
      </c>
      <c r="Z4">
        <v>0.998</v>
      </c>
      <c r="AA4">
        <v>1.06843760084732</v>
      </c>
      <c r="AB4">
        <v>0.998</v>
      </c>
      <c r="AC4">
        <v>1.06447387793884</v>
      </c>
      <c r="AD4">
        <v>0.998</v>
      </c>
      <c r="AE4">
        <v>1.04429270517156</v>
      </c>
      <c r="AF4">
        <v>0.998</v>
      </c>
      <c r="AG4">
        <v>1.05211891478941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V4">
        <v>0.04</v>
      </c>
      <c r="AW4">
        <v>0.009731</v>
      </c>
      <c r="AX4">
        <f t="shared" ref="AX4:AX7" si="4">AW4/6*10000</f>
        <v>16.2183333333333</v>
      </c>
      <c r="AY4">
        <v>0.9975</v>
      </c>
      <c r="AZ4">
        <v>20</v>
      </c>
      <c r="BA4" s="5">
        <v>34.453354</v>
      </c>
      <c r="BB4" s="5">
        <f t="shared" ref="BB4:BB7" si="5">BA4^3*10^-30</f>
        <v>4.08972888944095e-26</v>
      </c>
      <c r="BC4" s="5">
        <f t="shared" ref="BC4:BC7" si="6">AZ4/BB4</f>
        <v>4.8902997095081e+26</v>
      </c>
      <c r="BD4" s="9">
        <v>2.567e-38</v>
      </c>
      <c r="BE4" s="5">
        <f t="shared" ref="BE4:BE7" si="7">1.3806E-23*298</f>
        <v>4.114188e-21</v>
      </c>
      <c r="BF4" s="10">
        <f t="shared" ref="BF4:BF7" si="8">BC4*BD4*AX4/BE4*0.00000000000001</f>
        <v>0.000494861234330097</v>
      </c>
      <c r="BG4">
        <v>0.01687</v>
      </c>
      <c r="BH4">
        <f t="shared" ref="BH4:BH7" si="9">BG4/6*10000</f>
        <v>28.1166666666667</v>
      </c>
      <c r="BI4">
        <v>0.9993</v>
      </c>
      <c r="BJ4">
        <f t="shared" ref="BJ4:BJ7" si="10">AX4/(AX4+BH4)</f>
        <v>0.365813315288899</v>
      </c>
      <c r="BK4" s="5"/>
      <c r="BN4">
        <v>0.04</v>
      </c>
      <c r="BO4">
        <v>-16782.129073</v>
      </c>
      <c r="BP4">
        <v>2022.301606</v>
      </c>
      <c r="BQ4">
        <v>-1010.304392</v>
      </c>
      <c r="BR4">
        <v>-14358.571755</v>
      </c>
      <c r="BS4">
        <f t="shared" ref="BS4:BS7" si="11">BO4-BP4-BQ4-BR4</f>
        <v>-3435.554532</v>
      </c>
      <c r="BX4">
        <v>0.04</v>
      </c>
      <c r="BY4">
        <v>-14950.027431</v>
      </c>
      <c r="BZ4">
        <v>-14358.571755</v>
      </c>
      <c r="CA4">
        <v>-216.93093</v>
      </c>
      <c r="CB4">
        <f t="shared" ref="CB4:CB7" si="12">BY4-BZ4-CA4</f>
        <v>-374.524746</v>
      </c>
      <c r="CC4">
        <v>20</v>
      </c>
      <c r="CD4">
        <f t="shared" ref="CD4:CD7" si="13">CB4/CC4</f>
        <v>-18.7262373</v>
      </c>
      <c r="CG4" t="s">
        <v>179</v>
      </c>
      <c r="CH4" t="s">
        <v>180</v>
      </c>
      <c r="CI4" t="s">
        <v>186</v>
      </c>
      <c r="CJ4" t="s">
        <v>187</v>
      </c>
      <c r="CK4" t="s">
        <v>188</v>
      </c>
      <c r="CS4">
        <v>0.075</v>
      </c>
      <c r="CT4">
        <v>0</v>
      </c>
      <c r="CV4">
        <v>0.075</v>
      </c>
      <c r="CW4">
        <v>0</v>
      </c>
      <c r="CX4">
        <v>0.075</v>
      </c>
      <c r="CY4">
        <v>0</v>
      </c>
      <c r="CZ4">
        <v>0.075</v>
      </c>
      <c r="DA4">
        <v>0</v>
      </c>
      <c r="DB4">
        <v>0.075</v>
      </c>
      <c r="DC4">
        <v>0</v>
      </c>
      <c r="DD4">
        <v>0.075</v>
      </c>
      <c r="DE4">
        <v>0</v>
      </c>
      <c r="DF4">
        <v>0.075</v>
      </c>
      <c r="DG4">
        <v>0</v>
      </c>
      <c r="DH4">
        <v>0.075</v>
      </c>
      <c r="DI4">
        <v>0</v>
      </c>
      <c r="DJ4">
        <v>0.075</v>
      </c>
      <c r="DK4">
        <v>0</v>
      </c>
      <c r="DL4">
        <v>0.075</v>
      </c>
      <c r="DM4">
        <v>0</v>
      </c>
      <c r="DR4">
        <v>1.22482</v>
      </c>
      <c r="DS4">
        <v>0.45743</v>
      </c>
      <c r="DT4">
        <v>2.05611</v>
      </c>
      <c r="DU4">
        <v>0.30495</v>
      </c>
      <c r="DV4">
        <f t="shared" si="1"/>
        <v>0.939496666666667</v>
      </c>
      <c r="DX4">
        <v>1.28373</v>
      </c>
      <c r="DY4">
        <v>0.80088</v>
      </c>
      <c r="DZ4">
        <v>0.78394</v>
      </c>
      <c r="EA4">
        <v>0.94565</v>
      </c>
      <c r="EB4">
        <f t="shared" si="2"/>
        <v>0.84349</v>
      </c>
      <c r="ED4">
        <v>1.33279</v>
      </c>
      <c r="EE4">
        <v>0.33383</v>
      </c>
      <c r="EF4">
        <v>0.95875</v>
      </c>
      <c r="EG4">
        <v>0.40891</v>
      </c>
      <c r="EH4">
        <f t="shared" si="3"/>
        <v>0.567163333333333</v>
      </c>
      <c r="EJ4">
        <v>1.65687</v>
      </c>
      <c r="EK4">
        <v>0.6833</v>
      </c>
      <c r="EL4">
        <v>0.61465</v>
      </c>
      <c r="EM4">
        <v>0.87657</v>
      </c>
      <c r="EN4">
        <f t="shared" si="0"/>
        <v>0.72484</v>
      </c>
    </row>
    <row r="5" spans="6:144">
      <c r="F5" s="5">
        <v>0.04</v>
      </c>
      <c r="G5" s="5">
        <v>20</v>
      </c>
      <c r="H5" s="5">
        <v>34.453354</v>
      </c>
      <c r="I5" s="5">
        <v>1220</v>
      </c>
      <c r="J5" s="5">
        <v>2110</v>
      </c>
      <c r="K5" s="5">
        <v>20</v>
      </c>
      <c r="L5" s="5">
        <v>20</v>
      </c>
      <c r="M5" s="5">
        <v>705</v>
      </c>
      <c r="N5" s="5">
        <v>120</v>
      </c>
      <c r="O5" s="5">
        <v>40</v>
      </c>
      <c r="P5" s="5">
        <v>10</v>
      </c>
      <c r="Q5" s="5">
        <v>32676.2</v>
      </c>
      <c r="R5">
        <v>1.31622373417206</v>
      </c>
      <c r="S5">
        <v>0.0065871552229798</v>
      </c>
      <c r="X5">
        <v>1.497</v>
      </c>
      <c r="Y5">
        <v>1.06607126203895</v>
      </c>
      <c r="Z5">
        <v>1.497</v>
      </c>
      <c r="AA5">
        <v>1.07703805879309</v>
      </c>
      <c r="AB5">
        <v>1.497</v>
      </c>
      <c r="AC5">
        <v>1.0898569997751</v>
      </c>
      <c r="AD5">
        <v>1.497</v>
      </c>
      <c r="AE5">
        <v>1.05972082678291</v>
      </c>
      <c r="AF5">
        <v>1.497</v>
      </c>
      <c r="AG5">
        <v>1.06647555001704</v>
      </c>
      <c r="AJ5">
        <v>5</v>
      </c>
      <c r="AK5">
        <v>0.46924699</v>
      </c>
      <c r="AL5">
        <v>0.86870183</v>
      </c>
      <c r="AM5">
        <v>0.4453353</v>
      </c>
      <c r="AN5">
        <v>0.73777361</v>
      </c>
      <c r="AO5">
        <v>0.4926679</v>
      </c>
      <c r="AP5">
        <v>0.76939906</v>
      </c>
      <c r="AQ5">
        <v>0.46924142</v>
      </c>
      <c r="AR5">
        <v>0.72513669</v>
      </c>
      <c r="AS5">
        <v>0.45638257</v>
      </c>
      <c r="AT5">
        <v>0.72034279</v>
      </c>
      <c r="AV5">
        <v>0.06</v>
      </c>
      <c r="AW5">
        <v>0.01768</v>
      </c>
      <c r="AX5">
        <f t="shared" si="4"/>
        <v>29.4666666666667</v>
      </c>
      <c r="AY5">
        <v>0.999</v>
      </c>
      <c r="AZ5">
        <v>30</v>
      </c>
      <c r="BA5" s="5">
        <v>35.336931</v>
      </c>
      <c r="BB5" s="5">
        <f t="shared" si="5"/>
        <v>4.41251795366189e-26</v>
      </c>
      <c r="BC5" s="5">
        <f t="shared" si="6"/>
        <v>6.79883919228099e+26</v>
      </c>
      <c r="BD5" s="9">
        <v>2.567e-38</v>
      </c>
      <c r="BE5" s="5">
        <f t="shared" si="7"/>
        <v>4.114188e-21</v>
      </c>
      <c r="BF5" s="10">
        <f t="shared" si="8"/>
        <v>0.0012499928104583</v>
      </c>
      <c r="BG5">
        <v>0.02385</v>
      </c>
      <c r="BH5">
        <f t="shared" si="9"/>
        <v>39.75</v>
      </c>
      <c r="BI5">
        <v>0.9994</v>
      </c>
      <c r="BJ5">
        <f t="shared" si="10"/>
        <v>0.425716349626776</v>
      </c>
      <c r="BK5" s="5"/>
      <c r="BN5">
        <v>0.06</v>
      </c>
      <c r="BO5">
        <v>-17853.309541</v>
      </c>
      <c r="BP5">
        <v>2290.727555</v>
      </c>
      <c r="BQ5">
        <v>-2107.029864</v>
      </c>
      <c r="BR5">
        <v>-14319.037908</v>
      </c>
      <c r="BS5">
        <f t="shared" si="11"/>
        <v>-3717.969324</v>
      </c>
      <c r="BX5">
        <v>0.06</v>
      </c>
      <c r="BY5">
        <v>-14934.880663</v>
      </c>
      <c r="BZ5">
        <v>-14319.037908</v>
      </c>
      <c r="CA5">
        <v>-231.791967</v>
      </c>
      <c r="CB5">
        <f t="shared" si="12"/>
        <v>-384.050788</v>
      </c>
      <c r="CC5">
        <v>30</v>
      </c>
      <c r="CD5">
        <f t="shared" si="13"/>
        <v>-12.8016929333333</v>
      </c>
      <c r="CG5">
        <v>0.02</v>
      </c>
      <c r="CH5">
        <v>-183.108885000001</v>
      </c>
      <c r="CI5">
        <v>-711.797187</v>
      </c>
      <c r="CJ5">
        <v>-618.272813</v>
      </c>
      <c r="CK5">
        <v>-68.0729190000002</v>
      </c>
      <c r="CS5">
        <v>0.125</v>
      </c>
      <c r="CT5">
        <v>0</v>
      </c>
      <c r="CV5">
        <v>0.125</v>
      </c>
      <c r="CW5">
        <v>0</v>
      </c>
      <c r="CX5">
        <v>0.125</v>
      </c>
      <c r="CY5">
        <v>0</v>
      </c>
      <c r="CZ5">
        <v>0.125</v>
      </c>
      <c r="DA5">
        <v>0</v>
      </c>
      <c r="DB5">
        <v>0.125</v>
      </c>
      <c r="DC5">
        <v>0</v>
      </c>
      <c r="DD5">
        <v>0.125</v>
      </c>
      <c r="DE5">
        <v>0</v>
      </c>
      <c r="DF5">
        <v>0.125</v>
      </c>
      <c r="DG5">
        <v>0</v>
      </c>
      <c r="DH5">
        <v>0.125</v>
      </c>
      <c r="DI5">
        <v>0</v>
      </c>
      <c r="DJ5">
        <v>0.125</v>
      </c>
      <c r="DK5">
        <v>0</v>
      </c>
      <c r="DL5">
        <v>0.125</v>
      </c>
      <c r="DM5">
        <v>0</v>
      </c>
      <c r="DR5">
        <v>1.71474</v>
      </c>
      <c r="DS5">
        <v>0.59142</v>
      </c>
      <c r="DT5">
        <v>1.58482</v>
      </c>
      <c r="DU5">
        <v>0.35578</v>
      </c>
      <c r="DV5">
        <f t="shared" si="1"/>
        <v>0.844006666666667</v>
      </c>
      <c r="DX5">
        <v>1.79723</v>
      </c>
      <c r="DY5">
        <v>0.85171</v>
      </c>
      <c r="DZ5">
        <v>1.05347</v>
      </c>
      <c r="EA5">
        <v>1.22904</v>
      </c>
      <c r="EB5">
        <f t="shared" si="2"/>
        <v>1.04474</v>
      </c>
      <c r="ED5">
        <v>1.86591</v>
      </c>
      <c r="EE5">
        <v>0.3038</v>
      </c>
      <c r="EF5">
        <v>0.89175</v>
      </c>
      <c r="EG5">
        <v>0.48284</v>
      </c>
      <c r="EH5">
        <f t="shared" si="3"/>
        <v>0.559463333333333</v>
      </c>
      <c r="EJ5">
        <v>2.13026</v>
      </c>
      <c r="EK5">
        <v>0.82904</v>
      </c>
      <c r="EL5">
        <v>0.58931</v>
      </c>
      <c r="EM5">
        <v>1.04132</v>
      </c>
      <c r="EN5">
        <f t="shared" si="0"/>
        <v>0.81989</v>
      </c>
    </row>
    <row r="6" spans="6:144">
      <c r="F6" s="5">
        <v>0.06</v>
      </c>
      <c r="G6" s="5">
        <v>30</v>
      </c>
      <c r="H6" s="5">
        <v>35.336931</v>
      </c>
      <c r="I6" s="5">
        <v>1240</v>
      </c>
      <c r="J6" s="5">
        <v>2110</v>
      </c>
      <c r="K6" s="5">
        <v>30</v>
      </c>
      <c r="L6" s="5">
        <v>30</v>
      </c>
      <c r="M6" s="5">
        <v>745</v>
      </c>
      <c r="N6" s="5">
        <v>180</v>
      </c>
      <c r="O6" s="5">
        <v>60</v>
      </c>
      <c r="P6" s="5">
        <v>10</v>
      </c>
      <c r="Q6" s="5">
        <v>35546.9</v>
      </c>
      <c r="R6">
        <v>1.33553932587235</v>
      </c>
      <c r="S6">
        <v>0.00542858496246342</v>
      </c>
      <c r="X6">
        <v>1.996</v>
      </c>
      <c r="Y6">
        <v>1.06553371914538</v>
      </c>
      <c r="Z6">
        <v>1.996</v>
      </c>
      <c r="AA6">
        <v>1.08916335911177</v>
      </c>
      <c r="AB6">
        <v>1.996</v>
      </c>
      <c r="AC6">
        <v>1.08820272303437</v>
      </c>
      <c r="AD6">
        <v>1.996</v>
      </c>
      <c r="AE6">
        <v>1.06929207981518</v>
      </c>
      <c r="AF6">
        <v>1.996</v>
      </c>
      <c r="AG6">
        <v>1.06773594681754</v>
      </c>
      <c r="AJ6">
        <v>10</v>
      </c>
      <c r="AK6">
        <v>0.53960505</v>
      </c>
      <c r="AL6">
        <v>0.99835771</v>
      </c>
      <c r="AM6">
        <v>0.52223895</v>
      </c>
      <c r="AN6">
        <v>0.86341346</v>
      </c>
      <c r="AO6">
        <v>0.56514799</v>
      </c>
      <c r="AP6">
        <v>0.8826591</v>
      </c>
      <c r="AQ6">
        <v>0.53262215</v>
      </c>
      <c r="AR6">
        <v>0.83491889</v>
      </c>
      <c r="AS6">
        <v>0.52997199</v>
      </c>
      <c r="AT6">
        <v>0.8312248</v>
      </c>
      <c r="AV6">
        <v>0.08</v>
      </c>
      <c r="AW6">
        <v>0.006893</v>
      </c>
      <c r="AX6">
        <f t="shared" si="4"/>
        <v>11.4883333333333</v>
      </c>
      <c r="AY6">
        <v>0.9629</v>
      </c>
      <c r="AZ6">
        <v>40</v>
      </c>
      <c r="BA6" s="5">
        <v>36.957165</v>
      </c>
      <c r="BB6" s="5">
        <f t="shared" si="5"/>
        <v>5.04772802433367e-26</v>
      </c>
      <c r="BC6" s="5">
        <f t="shared" si="6"/>
        <v>7.92435721718192e+26</v>
      </c>
      <c r="BD6" s="9">
        <v>2.567e-38</v>
      </c>
      <c r="BE6" s="5">
        <f t="shared" si="7"/>
        <v>4.114188e-21</v>
      </c>
      <c r="BF6" s="10">
        <f t="shared" si="8"/>
        <v>0.000568018928494338</v>
      </c>
      <c r="BG6">
        <v>0.00901</v>
      </c>
      <c r="BH6">
        <f t="shared" si="9"/>
        <v>15.0166666666667</v>
      </c>
      <c r="BI6">
        <v>0.9866</v>
      </c>
      <c r="BJ6">
        <f t="shared" si="10"/>
        <v>0.43344023140288</v>
      </c>
      <c r="BK6" s="5"/>
      <c r="BN6">
        <v>0.08</v>
      </c>
      <c r="BO6">
        <v>-18878.759014</v>
      </c>
      <c r="BP6">
        <v>2506.733397</v>
      </c>
      <c r="BQ6">
        <v>-2549.684774</v>
      </c>
      <c r="BR6">
        <v>-14251.294367</v>
      </c>
      <c r="BS6">
        <f t="shared" si="11"/>
        <v>-4584.51327</v>
      </c>
      <c r="BX6">
        <v>0.08</v>
      </c>
      <c r="BY6">
        <v>-15402.387331</v>
      </c>
      <c r="BZ6">
        <v>-14251.294367</v>
      </c>
      <c r="CA6">
        <v>-505.597972</v>
      </c>
      <c r="CB6">
        <f t="shared" si="12"/>
        <v>-645.494991999999</v>
      </c>
      <c r="CC6">
        <v>40</v>
      </c>
      <c r="CD6">
        <f t="shared" si="13"/>
        <v>-16.1373748</v>
      </c>
      <c r="CG6">
        <v>0.04</v>
      </c>
      <c r="CH6">
        <v>-374.524746</v>
      </c>
      <c r="CI6">
        <v>-1190.878012</v>
      </c>
      <c r="CJ6">
        <v>-1835.974267</v>
      </c>
      <c r="CK6">
        <v>-120.716885999998</v>
      </c>
      <c r="CS6">
        <v>0.175</v>
      </c>
      <c r="CT6">
        <v>0</v>
      </c>
      <c r="CV6">
        <v>0.175</v>
      </c>
      <c r="CW6">
        <v>0</v>
      </c>
      <c r="CX6">
        <v>0.175</v>
      </c>
      <c r="CY6">
        <v>0</v>
      </c>
      <c r="CZ6">
        <v>0.175</v>
      </c>
      <c r="DA6">
        <v>0</v>
      </c>
      <c r="DB6">
        <v>0.175</v>
      </c>
      <c r="DC6">
        <v>0</v>
      </c>
      <c r="DD6">
        <v>0.175</v>
      </c>
      <c r="DE6">
        <v>0</v>
      </c>
      <c r="DF6">
        <v>0.175</v>
      </c>
      <c r="DG6">
        <v>0</v>
      </c>
      <c r="DH6">
        <v>0.175</v>
      </c>
      <c r="DI6">
        <v>0</v>
      </c>
      <c r="DJ6">
        <v>0.175</v>
      </c>
      <c r="DK6">
        <v>0</v>
      </c>
      <c r="DL6">
        <v>0.175</v>
      </c>
      <c r="DM6">
        <v>0</v>
      </c>
      <c r="DR6">
        <v>2.20467</v>
      </c>
      <c r="DS6">
        <v>0.52211</v>
      </c>
      <c r="DT6">
        <v>1.4231</v>
      </c>
      <c r="DU6">
        <v>0.36502</v>
      </c>
      <c r="DV6">
        <f t="shared" si="1"/>
        <v>0.770076666666667</v>
      </c>
      <c r="DX6">
        <v>2.31072</v>
      </c>
      <c r="DY6">
        <v>0.89329</v>
      </c>
      <c r="DZ6">
        <v>1.22442</v>
      </c>
      <c r="EA6">
        <v>1.25215</v>
      </c>
      <c r="EB6">
        <f t="shared" si="2"/>
        <v>1.12328666666667</v>
      </c>
      <c r="ED6">
        <v>2.39902</v>
      </c>
      <c r="EE6">
        <v>0.33729</v>
      </c>
      <c r="EF6">
        <v>0.88828</v>
      </c>
      <c r="EG6">
        <v>0.56139</v>
      </c>
      <c r="EH6">
        <f t="shared" si="3"/>
        <v>0.595653333333333</v>
      </c>
      <c r="EJ6">
        <v>2.60365</v>
      </c>
      <c r="EK6">
        <v>0.98323</v>
      </c>
      <c r="EL6">
        <v>0.58191</v>
      </c>
      <c r="EM6">
        <v>1.11947</v>
      </c>
      <c r="EN6">
        <f t="shared" si="0"/>
        <v>0.89487</v>
      </c>
    </row>
    <row r="7" spans="6:144">
      <c r="F7" s="5">
        <v>0.08</v>
      </c>
      <c r="G7" s="5">
        <v>40</v>
      </c>
      <c r="H7" s="5">
        <v>36.957165</v>
      </c>
      <c r="I7" s="5">
        <v>1260</v>
      </c>
      <c r="J7" s="5">
        <v>2110</v>
      </c>
      <c r="K7" s="5">
        <v>40</v>
      </c>
      <c r="L7" s="5">
        <v>40</v>
      </c>
      <c r="M7" s="5">
        <v>785</v>
      </c>
      <c r="N7" s="5">
        <v>240</v>
      </c>
      <c r="O7" s="5">
        <v>80</v>
      </c>
      <c r="P7" s="5">
        <v>10</v>
      </c>
      <c r="Q7" s="5">
        <v>38417.6</v>
      </c>
      <c r="R7">
        <v>1.26659332346727</v>
      </c>
      <c r="S7">
        <v>0.00395812202427916</v>
      </c>
      <c r="X7">
        <v>2.495</v>
      </c>
      <c r="Y7">
        <v>1.0728509351772</v>
      </c>
      <c r="Z7">
        <v>2.495</v>
      </c>
      <c r="AA7">
        <v>1.08863065876448</v>
      </c>
      <c r="AB7">
        <v>2.495</v>
      </c>
      <c r="AC7">
        <v>1.09936378134663</v>
      </c>
      <c r="AD7">
        <v>2.495</v>
      </c>
      <c r="AE7">
        <v>1.0661415607954</v>
      </c>
      <c r="AF7">
        <v>2.495</v>
      </c>
      <c r="AG7">
        <v>1.06740186545572</v>
      </c>
      <c r="AJ7">
        <v>15</v>
      </c>
      <c r="AK7">
        <v>0.62536306</v>
      </c>
      <c r="AL7">
        <v>1.14501762</v>
      </c>
      <c r="AM7">
        <v>0.57464743</v>
      </c>
      <c r="AN7">
        <v>0.96011511</v>
      </c>
      <c r="AO7">
        <v>0.63182915</v>
      </c>
      <c r="AP7">
        <v>0.97610426</v>
      </c>
      <c r="AQ7">
        <v>0.5967147</v>
      </c>
      <c r="AR7">
        <v>0.93818351</v>
      </c>
      <c r="AS7">
        <v>0.59851994</v>
      </c>
      <c r="AT7">
        <v>0.91854703</v>
      </c>
      <c r="AV7">
        <v>0.1</v>
      </c>
      <c r="AW7">
        <v>0.01875</v>
      </c>
      <c r="AX7">
        <f t="shared" si="4"/>
        <v>31.25</v>
      </c>
      <c r="AY7">
        <v>0.9979</v>
      </c>
      <c r="AZ7">
        <v>50</v>
      </c>
      <c r="BA7" s="5">
        <v>37.179691</v>
      </c>
      <c r="BB7" s="5">
        <f t="shared" si="5"/>
        <v>5.13945808019751e-26</v>
      </c>
      <c r="BC7" s="5">
        <f t="shared" si="6"/>
        <v>9.72865216911711e+26</v>
      </c>
      <c r="BD7" s="9">
        <v>2.567e-38</v>
      </c>
      <c r="BE7" s="5">
        <f t="shared" si="7"/>
        <v>4.114188e-21</v>
      </c>
      <c r="BF7" s="10">
        <f t="shared" si="8"/>
        <v>0.00189689998656202</v>
      </c>
      <c r="BG7">
        <v>0.02479</v>
      </c>
      <c r="BH7">
        <f t="shared" si="9"/>
        <v>41.3166666666667</v>
      </c>
      <c r="BI7">
        <v>0.998</v>
      </c>
      <c r="BJ7">
        <f t="shared" si="10"/>
        <v>0.430638493339458</v>
      </c>
      <c r="BK7" s="5"/>
      <c r="BN7">
        <v>0.1</v>
      </c>
      <c r="BO7">
        <v>-20137.096051</v>
      </c>
      <c r="BP7">
        <v>2582.444156</v>
      </c>
      <c r="BQ7">
        <v>-3417.47023</v>
      </c>
      <c r="BR7">
        <v>-14232.501284</v>
      </c>
      <c r="BS7">
        <f t="shared" si="11"/>
        <v>-5069.568693</v>
      </c>
      <c r="BX7">
        <v>0.1</v>
      </c>
      <c r="BY7">
        <v>-15817.304021</v>
      </c>
      <c r="BZ7">
        <v>-14232.501284</v>
      </c>
      <c r="CA7">
        <v>-816.567749</v>
      </c>
      <c r="CB7">
        <f t="shared" si="12"/>
        <v>-768.234988</v>
      </c>
      <c r="CC7">
        <v>50</v>
      </c>
      <c r="CD7">
        <f t="shared" si="13"/>
        <v>-15.36469976</v>
      </c>
      <c r="CG7">
        <v>0.06</v>
      </c>
      <c r="CH7">
        <v>-384.050788</v>
      </c>
      <c r="CI7">
        <v>-1384.048976</v>
      </c>
      <c r="CJ7">
        <v>-3631.902645</v>
      </c>
      <c r="CK7">
        <v>120.497185</v>
      </c>
      <c r="CS7">
        <v>0.225</v>
      </c>
      <c r="CT7">
        <v>0</v>
      </c>
      <c r="CV7">
        <v>0.225</v>
      </c>
      <c r="CW7">
        <v>0</v>
      </c>
      <c r="CX7">
        <v>0.225</v>
      </c>
      <c r="CY7">
        <v>0</v>
      </c>
      <c r="CZ7">
        <v>0.225</v>
      </c>
      <c r="DA7">
        <v>0</v>
      </c>
      <c r="DB7">
        <v>0.225</v>
      </c>
      <c r="DC7">
        <v>0</v>
      </c>
      <c r="DD7">
        <v>0.225</v>
      </c>
      <c r="DE7">
        <v>0</v>
      </c>
      <c r="DF7">
        <v>0.225</v>
      </c>
      <c r="DG7">
        <v>0</v>
      </c>
      <c r="DH7">
        <v>0.225</v>
      </c>
      <c r="DI7">
        <v>0</v>
      </c>
      <c r="DJ7">
        <v>0.225</v>
      </c>
      <c r="DK7">
        <v>0</v>
      </c>
      <c r="DL7">
        <v>0.225</v>
      </c>
      <c r="DM7">
        <v>0</v>
      </c>
      <c r="DR7">
        <v>2.6946</v>
      </c>
      <c r="DS7">
        <v>1.06271</v>
      </c>
      <c r="DT7">
        <v>1.13201</v>
      </c>
      <c r="DU7">
        <v>0.73003</v>
      </c>
      <c r="DV7">
        <f t="shared" si="1"/>
        <v>0.974916666666667</v>
      </c>
      <c r="DX7">
        <v>2.82421</v>
      </c>
      <c r="DY7">
        <v>0.81012</v>
      </c>
      <c r="DZ7">
        <v>1.54169</v>
      </c>
      <c r="EA7">
        <v>1.27371</v>
      </c>
      <c r="EB7">
        <f t="shared" si="2"/>
        <v>1.20850666666667</v>
      </c>
      <c r="ED7">
        <v>2.93214</v>
      </c>
      <c r="EE7">
        <v>0.33036</v>
      </c>
      <c r="EF7">
        <v>0.99917</v>
      </c>
      <c r="EG7">
        <v>0.53828</v>
      </c>
      <c r="EH7">
        <f t="shared" si="3"/>
        <v>0.622603333333333</v>
      </c>
      <c r="EJ7">
        <v>3.07704</v>
      </c>
      <c r="EK7">
        <v>1.18812</v>
      </c>
      <c r="EL7">
        <v>0.55657</v>
      </c>
      <c r="EM7">
        <v>1.16277</v>
      </c>
      <c r="EN7">
        <f t="shared" si="0"/>
        <v>0.969153333333333</v>
      </c>
    </row>
    <row r="8" spans="6:144">
      <c r="F8" s="5">
        <v>0.1</v>
      </c>
      <c r="G8" s="5">
        <v>50</v>
      </c>
      <c r="H8" s="5">
        <v>37.179691</v>
      </c>
      <c r="I8" s="5">
        <v>1280</v>
      </c>
      <c r="J8" s="5">
        <v>2110</v>
      </c>
      <c r="K8" s="5">
        <v>50</v>
      </c>
      <c r="L8" s="5">
        <v>50</v>
      </c>
      <c r="M8" s="5">
        <v>825</v>
      </c>
      <c r="N8" s="5">
        <v>300</v>
      </c>
      <c r="O8" s="5">
        <v>100</v>
      </c>
      <c r="P8" s="5">
        <v>10</v>
      </c>
      <c r="Q8" s="5">
        <v>41288.3</v>
      </c>
      <c r="R8">
        <v>1.33578016773473</v>
      </c>
      <c r="S8">
        <v>0.00534632971634358</v>
      </c>
      <c r="X8">
        <v>2.994</v>
      </c>
      <c r="Y8">
        <v>1.08266420267591</v>
      </c>
      <c r="Z8">
        <v>2.994</v>
      </c>
      <c r="AA8">
        <v>1.0945693755771</v>
      </c>
      <c r="AB8">
        <v>2.994</v>
      </c>
      <c r="AC8">
        <v>1.09627343596242</v>
      </c>
      <c r="AD8">
        <v>2.994</v>
      </c>
      <c r="AE8">
        <v>1.06436653100678</v>
      </c>
      <c r="AF8">
        <v>2.994</v>
      </c>
      <c r="AG8">
        <v>1.0783339524542</v>
      </c>
      <c r="AJ8">
        <v>20</v>
      </c>
      <c r="AK8">
        <v>0.68246811</v>
      </c>
      <c r="AL8">
        <v>1.24057437</v>
      </c>
      <c r="AM8">
        <v>0.61612221</v>
      </c>
      <c r="AN8">
        <v>1.03806477</v>
      </c>
      <c r="AO8">
        <v>0.71694359</v>
      </c>
      <c r="AP8">
        <v>1.08462543</v>
      </c>
      <c r="AQ8">
        <v>0.64475064</v>
      </c>
      <c r="AR8">
        <v>1.01831897</v>
      </c>
      <c r="AS8">
        <v>0.65726524</v>
      </c>
      <c r="AT8">
        <v>1.00258305</v>
      </c>
      <c r="BA8" s="5"/>
      <c r="BB8" s="5"/>
      <c r="BC8" s="5"/>
      <c r="BD8" s="9"/>
      <c r="BE8" s="5"/>
      <c r="BF8" s="10"/>
      <c r="BK8" s="5"/>
      <c r="CG8">
        <v>0.08</v>
      </c>
      <c r="CH8">
        <v>-645.494991999999</v>
      </c>
      <c r="CI8">
        <v>-2003.579447</v>
      </c>
      <c r="CJ8">
        <v>-4170.450122</v>
      </c>
      <c r="CK8">
        <v>-50.7461500000009</v>
      </c>
      <c r="CS8">
        <v>0.275</v>
      </c>
      <c r="CT8">
        <v>0</v>
      </c>
      <c r="CV8">
        <v>0.275</v>
      </c>
      <c r="CW8">
        <v>0</v>
      </c>
      <c r="CX8">
        <v>0.275</v>
      </c>
      <c r="CY8">
        <v>0</v>
      </c>
      <c r="CZ8">
        <v>0.275</v>
      </c>
      <c r="DA8">
        <v>0</v>
      </c>
      <c r="DB8">
        <v>0.275</v>
      </c>
      <c r="DC8">
        <v>0</v>
      </c>
      <c r="DD8">
        <v>0.275</v>
      </c>
      <c r="DE8">
        <v>0</v>
      </c>
      <c r="DF8">
        <v>0.275</v>
      </c>
      <c r="DG8">
        <v>0</v>
      </c>
      <c r="DH8">
        <v>0.275</v>
      </c>
      <c r="DI8">
        <v>0</v>
      </c>
      <c r="DJ8">
        <v>0.275</v>
      </c>
      <c r="DK8">
        <v>0</v>
      </c>
      <c r="DL8">
        <v>0.275</v>
      </c>
      <c r="DM8">
        <v>0</v>
      </c>
      <c r="DR8">
        <v>3.18452</v>
      </c>
      <c r="DS8">
        <v>1.46007</v>
      </c>
      <c r="DT8">
        <v>0.82244</v>
      </c>
      <c r="DU8">
        <v>0.97492</v>
      </c>
      <c r="DV8">
        <f t="shared" si="1"/>
        <v>1.08581</v>
      </c>
      <c r="DX8">
        <v>3.33771</v>
      </c>
      <c r="DY8">
        <v>0.77008</v>
      </c>
      <c r="DZ8">
        <v>1.55402</v>
      </c>
      <c r="EA8">
        <v>1.2429</v>
      </c>
      <c r="EB8">
        <f t="shared" si="2"/>
        <v>1.189</v>
      </c>
      <c r="ED8">
        <v>3.46525</v>
      </c>
      <c r="EE8">
        <v>0.39967</v>
      </c>
      <c r="EF8">
        <v>1.2637</v>
      </c>
      <c r="EG8">
        <v>0.63762</v>
      </c>
      <c r="EH8">
        <f t="shared" si="3"/>
        <v>0.766996666666667</v>
      </c>
      <c r="EJ8">
        <v>3.55043</v>
      </c>
      <c r="EK8">
        <v>1.22825</v>
      </c>
      <c r="EL8">
        <v>0.39393</v>
      </c>
      <c r="EM8">
        <v>0.90614</v>
      </c>
      <c r="EN8">
        <f t="shared" si="0"/>
        <v>0.842773333333333</v>
      </c>
    </row>
    <row r="9" spans="6:144">
      <c r="X9">
        <v>3.493</v>
      </c>
      <c r="Y9">
        <v>1.08084325156863</v>
      </c>
      <c r="Z9">
        <v>3.493</v>
      </c>
      <c r="AA9">
        <v>1.09491933618172</v>
      </c>
      <c r="AB9">
        <v>3.493</v>
      </c>
      <c r="AC9">
        <v>1.09389527609795</v>
      </c>
      <c r="AD9">
        <v>3.493</v>
      </c>
      <c r="AE9">
        <v>1.06295834451763</v>
      </c>
      <c r="AF9">
        <v>3.493</v>
      </c>
      <c r="AG9">
        <v>1.08426719729668</v>
      </c>
      <c r="AJ9">
        <v>25</v>
      </c>
      <c r="AK9">
        <v>0.72952208</v>
      </c>
      <c r="AL9">
        <v>1.35760507</v>
      </c>
      <c r="AM9">
        <v>0.65091123</v>
      </c>
      <c r="AN9">
        <v>1.11787772</v>
      </c>
      <c r="AO9">
        <v>0.77065699</v>
      </c>
      <c r="AP9">
        <v>1.1628225</v>
      </c>
      <c r="AQ9">
        <v>0.68234679</v>
      </c>
      <c r="AR9">
        <v>1.07400399</v>
      </c>
      <c r="AS9">
        <v>0.70596026</v>
      </c>
      <c r="AT9">
        <v>1.07229936</v>
      </c>
      <c r="CG9">
        <v>0.1</v>
      </c>
      <c r="CH9">
        <v>-768.234988</v>
      </c>
      <c r="CI9">
        <v>-2042.412977</v>
      </c>
      <c r="CJ9">
        <v>-5266.575604</v>
      </c>
      <c r="CK9">
        <v>-165.839017</v>
      </c>
      <c r="CS9">
        <v>0.325</v>
      </c>
      <c r="CT9">
        <v>0</v>
      </c>
      <c r="CV9">
        <v>0.325</v>
      </c>
      <c r="CW9">
        <v>0</v>
      </c>
      <c r="CX9">
        <v>0.325</v>
      </c>
      <c r="CY9">
        <v>0</v>
      </c>
      <c r="CZ9">
        <v>0.325</v>
      </c>
      <c r="DA9">
        <v>0</v>
      </c>
      <c r="DB9">
        <v>0.325</v>
      </c>
      <c r="DC9">
        <v>0</v>
      </c>
      <c r="DD9">
        <v>0.325</v>
      </c>
      <c r="DE9">
        <v>0</v>
      </c>
      <c r="DF9">
        <v>0.325</v>
      </c>
      <c r="DG9">
        <v>0</v>
      </c>
      <c r="DH9">
        <v>0.325</v>
      </c>
      <c r="DI9">
        <v>0</v>
      </c>
      <c r="DJ9">
        <v>0.325</v>
      </c>
      <c r="DK9">
        <v>0</v>
      </c>
      <c r="DL9">
        <v>0.325</v>
      </c>
      <c r="DM9">
        <v>0</v>
      </c>
      <c r="DR9">
        <v>3.67445</v>
      </c>
      <c r="DS9">
        <v>1.76502</v>
      </c>
      <c r="DT9">
        <v>0.59142</v>
      </c>
      <c r="DU9">
        <v>0.76238</v>
      </c>
      <c r="DV9">
        <f t="shared" si="1"/>
        <v>1.03960666666667</v>
      </c>
      <c r="DX9">
        <v>3.8512</v>
      </c>
      <c r="DY9">
        <v>0.51441</v>
      </c>
      <c r="DZ9">
        <v>1.79736</v>
      </c>
      <c r="EA9">
        <v>1.29835</v>
      </c>
      <c r="EB9">
        <f t="shared" si="2"/>
        <v>1.20337333333333</v>
      </c>
      <c r="ED9">
        <v>3.99837</v>
      </c>
      <c r="EE9">
        <v>0.41007</v>
      </c>
      <c r="EF9">
        <v>1.28911</v>
      </c>
      <c r="EG9">
        <v>0.62723</v>
      </c>
      <c r="EH9">
        <f t="shared" si="3"/>
        <v>0.77547</v>
      </c>
      <c r="EJ9">
        <v>4.02382</v>
      </c>
      <c r="EK9">
        <v>1.09729</v>
      </c>
      <c r="EL9">
        <v>0.35063</v>
      </c>
      <c r="EM9">
        <v>0.76462</v>
      </c>
      <c r="EN9">
        <f t="shared" si="0"/>
        <v>0.737513333333333</v>
      </c>
    </row>
    <row r="10" spans="6:144">
      <c r="X10">
        <v>3.992</v>
      </c>
      <c r="Y10">
        <v>1.08320673470066</v>
      </c>
      <c r="Z10">
        <v>3.992</v>
      </c>
      <c r="AA10">
        <v>1.10626353477502</v>
      </c>
      <c r="AB10">
        <v>3.992</v>
      </c>
      <c r="AC10">
        <v>1.0963586734649</v>
      </c>
      <c r="AD10">
        <v>3.992</v>
      </c>
      <c r="AE10">
        <v>1.07066867235936</v>
      </c>
      <c r="AF10">
        <v>3.992</v>
      </c>
      <c r="AG10">
        <v>1.09163691202263</v>
      </c>
      <c r="AJ10">
        <v>30</v>
      </c>
      <c r="AK10">
        <v>0.773614</v>
      </c>
      <c r="AL10">
        <v>1.43770609</v>
      </c>
      <c r="AM10">
        <v>0.69972972</v>
      </c>
      <c r="AN10">
        <v>1.18951179</v>
      </c>
      <c r="AO10">
        <v>0.85799219</v>
      </c>
      <c r="AP10">
        <v>1.24279588</v>
      </c>
      <c r="AQ10">
        <v>0.71835524</v>
      </c>
      <c r="AR10">
        <v>1.15693355</v>
      </c>
      <c r="AS10">
        <v>0.77124284</v>
      </c>
      <c r="AT10">
        <v>1.15669958</v>
      </c>
      <c r="CS10">
        <v>0.375</v>
      </c>
      <c r="CT10">
        <v>0</v>
      </c>
      <c r="CV10">
        <v>0.375</v>
      </c>
      <c r="CW10">
        <v>0</v>
      </c>
      <c r="CX10">
        <v>0.375</v>
      </c>
      <c r="CY10">
        <v>0</v>
      </c>
      <c r="CZ10">
        <v>0.375</v>
      </c>
      <c r="DA10">
        <v>0</v>
      </c>
      <c r="DB10">
        <v>0.375</v>
      </c>
      <c r="DC10">
        <v>0</v>
      </c>
      <c r="DD10">
        <v>0.375</v>
      </c>
      <c r="DE10">
        <v>0</v>
      </c>
      <c r="DF10">
        <v>0.375</v>
      </c>
      <c r="DG10">
        <v>0</v>
      </c>
      <c r="DH10">
        <v>0.375</v>
      </c>
      <c r="DI10">
        <v>0</v>
      </c>
      <c r="DJ10">
        <v>0.375</v>
      </c>
      <c r="DK10">
        <v>0</v>
      </c>
      <c r="DL10">
        <v>0.375</v>
      </c>
      <c r="DM10">
        <v>0</v>
      </c>
      <c r="DR10">
        <v>4.16438</v>
      </c>
      <c r="DS10">
        <v>2.03762</v>
      </c>
      <c r="DT10">
        <v>0.32805</v>
      </c>
      <c r="DU10">
        <v>0.67459</v>
      </c>
      <c r="DV10">
        <f t="shared" si="1"/>
        <v>1.01342</v>
      </c>
      <c r="DX10">
        <v>4.36469</v>
      </c>
      <c r="DY10">
        <v>0.70539</v>
      </c>
      <c r="DZ10">
        <v>1.81122</v>
      </c>
      <c r="EA10">
        <v>1.09505</v>
      </c>
      <c r="EB10">
        <f t="shared" si="2"/>
        <v>1.20388666666667</v>
      </c>
      <c r="ED10">
        <v>4.53149</v>
      </c>
      <c r="EE10">
        <v>0.5071</v>
      </c>
      <c r="EF10">
        <v>1.09274</v>
      </c>
      <c r="EG10">
        <v>0.63185</v>
      </c>
      <c r="EH10">
        <f t="shared" si="3"/>
        <v>0.743896666666667</v>
      </c>
      <c r="EJ10">
        <v>4.49722</v>
      </c>
      <c r="EK10">
        <v>0.87657</v>
      </c>
      <c r="EL10">
        <v>0.35696</v>
      </c>
      <c r="EM10">
        <v>0.74878</v>
      </c>
      <c r="EN10">
        <f t="shared" si="0"/>
        <v>0.66077</v>
      </c>
    </row>
    <row r="11" spans="6:144">
      <c r="X11">
        <v>4.491</v>
      </c>
      <c r="Y11">
        <v>1.08284291282234</v>
      </c>
      <c r="Z11">
        <v>4.491</v>
      </c>
      <c r="AA11">
        <v>1.1036026867505</v>
      </c>
      <c r="AB11">
        <v>4.491</v>
      </c>
      <c r="AC11">
        <v>1.10048827683409</v>
      </c>
      <c r="AD11">
        <v>4.491</v>
      </c>
      <c r="AE11">
        <v>1.07011115963206</v>
      </c>
      <c r="AF11">
        <v>4.491</v>
      </c>
      <c r="AG11">
        <v>1.09142305608684</v>
      </c>
      <c r="AJ11">
        <v>35</v>
      </c>
      <c r="AK11">
        <v>0.82744325</v>
      </c>
      <c r="AL11">
        <v>1.51974278</v>
      </c>
      <c r="AM11">
        <v>0.75234683</v>
      </c>
      <c r="AN11">
        <v>1.26968714</v>
      </c>
      <c r="AO11">
        <v>0.94279283</v>
      </c>
      <c r="AP11">
        <v>1.3502611</v>
      </c>
      <c r="AQ11">
        <v>0.76268664</v>
      </c>
      <c r="AR11">
        <v>1.22068113</v>
      </c>
      <c r="AS11">
        <v>0.83184466</v>
      </c>
      <c r="AT11">
        <v>1.24088346</v>
      </c>
      <c r="BX11" t="s">
        <v>179</v>
      </c>
      <c r="BY11" t="s">
        <v>186</v>
      </c>
      <c r="BZ11" t="s">
        <v>139</v>
      </c>
      <c r="CA11" t="s">
        <v>70</v>
      </c>
      <c r="CB11" t="s">
        <v>4</v>
      </c>
      <c r="CD11" t="s">
        <v>181</v>
      </c>
      <c r="CS11">
        <v>0.425</v>
      </c>
      <c r="CT11">
        <v>0</v>
      </c>
      <c r="CV11">
        <v>0.425</v>
      </c>
      <c r="CW11">
        <v>0</v>
      </c>
      <c r="CX11">
        <v>0.425</v>
      </c>
      <c r="CY11">
        <v>0</v>
      </c>
      <c r="CZ11">
        <v>0.425</v>
      </c>
      <c r="DA11">
        <v>0</v>
      </c>
      <c r="DB11">
        <v>0.425</v>
      </c>
      <c r="DC11">
        <v>0</v>
      </c>
      <c r="DD11">
        <v>0.425</v>
      </c>
      <c r="DE11">
        <v>0</v>
      </c>
      <c r="DF11">
        <v>0.425</v>
      </c>
      <c r="DG11">
        <v>0</v>
      </c>
      <c r="DH11">
        <v>0.425</v>
      </c>
      <c r="DI11">
        <v>0</v>
      </c>
      <c r="DJ11">
        <v>0.425</v>
      </c>
      <c r="DK11">
        <v>0</v>
      </c>
      <c r="DL11">
        <v>0.425</v>
      </c>
      <c r="DM11">
        <v>0</v>
      </c>
      <c r="DR11">
        <v>4.6543</v>
      </c>
      <c r="DS11">
        <v>2.46733</v>
      </c>
      <c r="DT11">
        <v>0.37888</v>
      </c>
      <c r="DU11">
        <v>0.65611</v>
      </c>
      <c r="DV11">
        <f t="shared" si="1"/>
        <v>1.16744</v>
      </c>
      <c r="DX11">
        <v>4.87819</v>
      </c>
      <c r="DY11">
        <v>0.71617</v>
      </c>
      <c r="DZ11">
        <v>1.90671</v>
      </c>
      <c r="EA11">
        <v>0.86557</v>
      </c>
      <c r="EB11">
        <f t="shared" si="2"/>
        <v>1.16281666666667</v>
      </c>
      <c r="ED11">
        <v>5.0646</v>
      </c>
      <c r="EE11">
        <v>0.78086</v>
      </c>
      <c r="EF11">
        <v>0.82129</v>
      </c>
      <c r="EG11">
        <v>0.82013</v>
      </c>
      <c r="EH11">
        <f t="shared" si="3"/>
        <v>0.807426666666667</v>
      </c>
      <c r="EJ11">
        <v>4.97061</v>
      </c>
      <c r="EK11">
        <v>0.77835</v>
      </c>
      <c r="EL11">
        <v>0.50587</v>
      </c>
      <c r="EM11">
        <v>0.85756</v>
      </c>
      <c r="EN11">
        <f t="shared" si="0"/>
        <v>0.713926666666667</v>
      </c>
    </row>
    <row r="12" spans="6:144">
      <c r="X12">
        <v>4.99</v>
      </c>
      <c r="Y12">
        <v>1.07407046129435</v>
      </c>
      <c r="Z12">
        <v>4.99</v>
      </c>
      <c r="AA12">
        <v>1.09787956460315</v>
      </c>
      <c r="AB12">
        <v>4.99</v>
      </c>
      <c r="AC12">
        <v>1.097868596095</v>
      </c>
      <c r="AD12">
        <v>4.99</v>
      </c>
      <c r="AE12">
        <v>1.0735124945214</v>
      </c>
      <c r="AF12">
        <v>4.99</v>
      </c>
      <c r="AG12">
        <v>1.09304273679936</v>
      </c>
      <c r="AJ12">
        <v>40</v>
      </c>
      <c r="AK12">
        <v>0.89109176</v>
      </c>
      <c r="AL12">
        <v>1.59839005</v>
      </c>
      <c r="AM12">
        <v>0.78030344</v>
      </c>
      <c r="AN12">
        <v>1.33574897</v>
      </c>
      <c r="AO12">
        <v>1.00109068</v>
      </c>
      <c r="AP12">
        <v>1.45561173</v>
      </c>
      <c r="AQ12">
        <v>0.81384706</v>
      </c>
      <c r="AR12">
        <v>1.29536483</v>
      </c>
      <c r="AS12">
        <v>0.90236347</v>
      </c>
      <c r="AT12">
        <v>1.33290093</v>
      </c>
      <c r="BX12">
        <v>0.02</v>
      </c>
      <c r="BY12">
        <v>1039.793064</v>
      </c>
      <c r="BZ12">
        <v>1961.97117</v>
      </c>
      <c r="CA12">
        <v>-210.380919</v>
      </c>
      <c r="CB12">
        <f t="shared" ref="CB12:CB16" si="14">BY12-BZ12-CA12</f>
        <v>-711.797187</v>
      </c>
      <c r="CC12">
        <v>10</v>
      </c>
      <c r="CD12">
        <f>CB12/CC12</f>
        <v>-71.1797187</v>
      </c>
      <c r="CS12">
        <v>0.475</v>
      </c>
      <c r="CT12">
        <v>0</v>
      </c>
      <c r="CV12">
        <v>0.475</v>
      </c>
      <c r="CW12">
        <v>0</v>
      </c>
      <c r="CX12">
        <v>0.475</v>
      </c>
      <c r="CY12">
        <v>0</v>
      </c>
      <c r="CZ12">
        <v>0.475</v>
      </c>
      <c r="DA12">
        <v>0</v>
      </c>
      <c r="DB12">
        <v>0.475</v>
      </c>
      <c r="DC12">
        <v>0</v>
      </c>
      <c r="DD12">
        <v>0.475</v>
      </c>
      <c r="DE12">
        <v>0</v>
      </c>
      <c r="DF12">
        <v>0.475</v>
      </c>
      <c r="DG12">
        <v>0</v>
      </c>
      <c r="DH12">
        <v>0.475</v>
      </c>
      <c r="DI12">
        <v>0</v>
      </c>
      <c r="DJ12">
        <v>0.475</v>
      </c>
      <c r="DK12">
        <v>0</v>
      </c>
      <c r="DL12">
        <v>0.475</v>
      </c>
      <c r="DM12">
        <v>0</v>
      </c>
      <c r="DR12">
        <v>5.14423</v>
      </c>
      <c r="DS12">
        <v>2.97558</v>
      </c>
      <c r="DT12">
        <v>0.43894</v>
      </c>
      <c r="DU12">
        <v>1.09043</v>
      </c>
      <c r="DV12">
        <f t="shared" si="1"/>
        <v>1.50165</v>
      </c>
      <c r="DX12">
        <v>5.39168</v>
      </c>
      <c r="DY12">
        <v>0.75622</v>
      </c>
      <c r="DZ12">
        <v>1.88515</v>
      </c>
      <c r="EA12">
        <v>0.69615</v>
      </c>
      <c r="EB12">
        <f t="shared" si="2"/>
        <v>1.11250666666667</v>
      </c>
      <c r="ED12">
        <v>5.59772</v>
      </c>
      <c r="EE12">
        <v>0.95066</v>
      </c>
      <c r="EF12">
        <v>0.64802</v>
      </c>
      <c r="EG12">
        <v>0.82475</v>
      </c>
      <c r="EH12">
        <f t="shared" si="3"/>
        <v>0.80781</v>
      </c>
      <c r="EJ12">
        <v>5.444</v>
      </c>
      <c r="EK12">
        <v>0.88185</v>
      </c>
      <c r="EL12">
        <v>0.6305</v>
      </c>
      <c r="EM12">
        <v>0.81954</v>
      </c>
      <c r="EN12">
        <f t="shared" si="0"/>
        <v>0.777296666666667</v>
      </c>
    </row>
    <row r="13" spans="6:144">
      <c r="X13">
        <v>5.489</v>
      </c>
      <c r="Y13">
        <v>1.07927588171995</v>
      </c>
      <c r="Z13">
        <v>5.489</v>
      </c>
      <c r="AA13">
        <v>1.10586292246484</v>
      </c>
      <c r="AB13">
        <v>5.489</v>
      </c>
      <c r="AC13">
        <v>1.11241607996737</v>
      </c>
      <c r="AD13">
        <v>5.489</v>
      </c>
      <c r="AE13">
        <v>1.08198133717107</v>
      </c>
      <c r="AF13">
        <v>5.489</v>
      </c>
      <c r="AG13">
        <v>1.09527240876171</v>
      </c>
      <c r="AJ13">
        <v>45</v>
      </c>
      <c r="AK13">
        <v>0.94737359</v>
      </c>
      <c r="AL13">
        <v>1.73118281</v>
      </c>
      <c r="AM13">
        <v>0.8269115</v>
      </c>
      <c r="AN13">
        <v>1.40405082</v>
      </c>
      <c r="AO13">
        <v>1.09770822</v>
      </c>
      <c r="AP13">
        <v>1.56394697</v>
      </c>
      <c r="AQ13">
        <v>0.84803343</v>
      </c>
      <c r="AR13">
        <v>1.33403823</v>
      </c>
      <c r="AS13">
        <v>0.97269373</v>
      </c>
      <c r="AT13">
        <v>1.42657155</v>
      </c>
      <c r="BX13">
        <v>0.04</v>
      </c>
      <c r="BY13">
        <v>614.492664</v>
      </c>
      <c r="BZ13">
        <v>2022.301606</v>
      </c>
      <c r="CA13">
        <v>-216.93093</v>
      </c>
      <c r="CB13">
        <f t="shared" si="14"/>
        <v>-1190.878012</v>
      </c>
      <c r="CC13">
        <v>20</v>
      </c>
      <c r="CD13">
        <f>CB13/CC13</f>
        <v>-59.5439006</v>
      </c>
      <c r="CS13">
        <v>0.525</v>
      </c>
      <c r="CT13">
        <v>0</v>
      </c>
      <c r="CV13">
        <v>0.525</v>
      </c>
      <c r="CW13">
        <v>0</v>
      </c>
      <c r="CX13">
        <v>0.525</v>
      </c>
      <c r="CY13">
        <v>0</v>
      </c>
      <c r="CZ13">
        <v>0.525</v>
      </c>
      <c r="DA13">
        <v>0</v>
      </c>
      <c r="DB13">
        <v>0.525</v>
      </c>
      <c r="DC13">
        <v>0</v>
      </c>
      <c r="DD13">
        <v>0.525</v>
      </c>
      <c r="DE13">
        <v>0</v>
      </c>
      <c r="DF13">
        <v>0.525</v>
      </c>
      <c r="DG13">
        <v>0</v>
      </c>
      <c r="DH13">
        <v>0.525</v>
      </c>
      <c r="DI13">
        <v>0</v>
      </c>
      <c r="DJ13">
        <v>0.525</v>
      </c>
      <c r="DK13">
        <v>0</v>
      </c>
      <c r="DL13">
        <v>0.525</v>
      </c>
      <c r="DM13">
        <v>0</v>
      </c>
      <c r="DR13">
        <v>5.63415</v>
      </c>
      <c r="DS13">
        <v>3.31287</v>
      </c>
      <c r="DT13">
        <v>0.45281</v>
      </c>
      <c r="DU13">
        <v>1.08581</v>
      </c>
      <c r="DV13">
        <f t="shared" si="1"/>
        <v>1.61716333333333</v>
      </c>
      <c r="DX13">
        <v>5.90517</v>
      </c>
      <c r="DY13">
        <v>1.14125</v>
      </c>
      <c r="DZ13">
        <v>1.60484</v>
      </c>
      <c r="EA13">
        <v>0.68075</v>
      </c>
      <c r="EB13">
        <f t="shared" si="2"/>
        <v>1.14228</v>
      </c>
      <c r="ED13">
        <v>6.13083</v>
      </c>
      <c r="EE13">
        <v>0.92756</v>
      </c>
      <c r="EF13">
        <v>0.54868</v>
      </c>
      <c r="EG13">
        <v>0.87442</v>
      </c>
      <c r="EH13">
        <f t="shared" si="3"/>
        <v>0.783553333333333</v>
      </c>
      <c r="EJ13">
        <v>5.91739</v>
      </c>
      <c r="EK13">
        <v>0.89558</v>
      </c>
      <c r="EL13">
        <v>0.7266</v>
      </c>
      <c r="EM13">
        <v>0.87868</v>
      </c>
      <c r="EN13">
        <f t="shared" si="0"/>
        <v>0.83362</v>
      </c>
    </row>
    <row r="14" spans="6:144">
      <c r="X14">
        <v>5.988</v>
      </c>
      <c r="Y14">
        <v>1.08015494149223</v>
      </c>
      <c r="Z14">
        <v>5.988</v>
      </c>
      <c r="AA14">
        <v>1.10930554733352</v>
      </c>
      <c r="AB14">
        <v>5.988</v>
      </c>
      <c r="AC14">
        <v>1.11253011132708</v>
      </c>
      <c r="AD14">
        <v>5.988</v>
      </c>
      <c r="AE14">
        <v>1.08734405776717</v>
      </c>
      <c r="AF14">
        <v>5.988</v>
      </c>
      <c r="AG14">
        <v>1.10011235172448</v>
      </c>
      <c r="AJ14">
        <v>50</v>
      </c>
      <c r="AK14">
        <v>1.00400951</v>
      </c>
      <c r="AL14">
        <v>1.8256105</v>
      </c>
      <c r="AM14">
        <v>0.84612059</v>
      </c>
      <c r="AN14">
        <v>1.45876091</v>
      </c>
      <c r="AO14">
        <v>1.19849861</v>
      </c>
      <c r="AP14">
        <v>1.67868366</v>
      </c>
      <c r="AQ14">
        <v>0.86798813</v>
      </c>
      <c r="AR14">
        <v>1.36929129</v>
      </c>
      <c r="AS14">
        <v>1.03997684</v>
      </c>
      <c r="AT14">
        <v>1.52109172</v>
      </c>
      <c r="BX14">
        <v>0.06</v>
      </c>
      <c r="BY14">
        <v>674.886612</v>
      </c>
      <c r="BZ14">
        <v>2290.727555</v>
      </c>
      <c r="CA14">
        <v>-231.791967</v>
      </c>
      <c r="CB14">
        <f t="shared" si="14"/>
        <v>-1384.048976</v>
      </c>
      <c r="CC14">
        <v>30</v>
      </c>
      <c r="CD14">
        <f>CB14/CC14</f>
        <v>-46.1349658666667</v>
      </c>
      <c r="CS14">
        <v>0.575</v>
      </c>
      <c r="CT14">
        <v>0</v>
      </c>
      <c r="CV14">
        <v>0.575</v>
      </c>
      <c r="CW14">
        <v>0</v>
      </c>
      <c r="CX14">
        <v>0.575</v>
      </c>
      <c r="CY14">
        <v>0</v>
      </c>
      <c r="CZ14">
        <v>0.575</v>
      </c>
      <c r="DA14">
        <v>0</v>
      </c>
      <c r="DB14">
        <v>0.575</v>
      </c>
      <c r="DC14">
        <v>0</v>
      </c>
      <c r="DD14">
        <v>0.575</v>
      </c>
      <c r="DE14">
        <v>0</v>
      </c>
      <c r="DF14">
        <v>0.575</v>
      </c>
      <c r="DG14">
        <v>0</v>
      </c>
      <c r="DH14">
        <v>0.575</v>
      </c>
      <c r="DI14">
        <v>0</v>
      </c>
      <c r="DJ14">
        <v>0.575</v>
      </c>
      <c r="DK14">
        <v>0</v>
      </c>
      <c r="DL14">
        <v>0.575</v>
      </c>
      <c r="DM14">
        <v>0</v>
      </c>
      <c r="DR14">
        <v>6.12408</v>
      </c>
      <c r="DS14">
        <v>2.92937</v>
      </c>
      <c r="DT14">
        <v>0.55908</v>
      </c>
      <c r="DU14">
        <v>1.25215</v>
      </c>
      <c r="DV14">
        <f t="shared" si="1"/>
        <v>1.5802</v>
      </c>
      <c r="DX14">
        <v>6.41867</v>
      </c>
      <c r="DY14">
        <v>1.11969</v>
      </c>
      <c r="DZ14">
        <v>1.28757</v>
      </c>
      <c r="EA14">
        <v>0.45897</v>
      </c>
      <c r="EB14">
        <f t="shared" si="2"/>
        <v>0.95541</v>
      </c>
      <c r="ED14">
        <v>6.66395</v>
      </c>
      <c r="EE14">
        <v>1.16667</v>
      </c>
      <c r="EF14">
        <v>0.70347</v>
      </c>
      <c r="EG14">
        <v>1.03267</v>
      </c>
      <c r="EH14">
        <f t="shared" si="3"/>
        <v>0.967603333333333</v>
      </c>
      <c r="EJ14">
        <v>6.39078</v>
      </c>
      <c r="EK14">
        <v>0.91459</v>
      </c>
      <c r="EL14">
        <v>0.85545</v>
      </c>
      <c r="EM14">
        <v>0.88818</v>
      </c>
      <c r="EN14">
        <f t="shared" si="0"/>
        <v>0.886073333333333</v>
      </c>
    </row>
    <row r="15" spans="6:144">
      <c r="X15">
        <v>6.487</v>
      </c>
      <c r="Y15">
        <v>1.09617066994579</v>
      </c>
      <c r="Z15">
        <v>6.487</v>
      </c>
      <c r="AA15">
        <v>1.12687158033123</v>
      </c>
      <c r="AB15">
        <v>6.487</v>
      </c>
      <c r="AC15">
        <v>1.1154025315537</v>
      </c>
      <c r="AD15">
        <v>6.487</v>
      </c>
      <c r="AE15">
        <v>1.07964195558706</v>
      </c>
      <c r="AF15">
        <v>6.487</v>
      </c>
      <c r="AG15">
        <v>1.10230008540156</v>
      </c>
      <c r="AJ15">
        <v>55</v>
      </c>
      <c r="AK15">
        <v>1.07013177</v>
      </c>
      <c r="AL15">
        <v>1.91186273</v>
      </c>
      <c r="AM15">
        <v>0.8729861</v>
      </c>
      <c r="AN15">
        <v>1.51255396</v>
      </c>
      <c r="AO15">
        <v>1.28318128</v>
      </c>
      <c r="AP15">
        <v>1.77150516</v>
      </c>
      <c r="AQ15">
        <v>0.90504027</v>
      </c>
      <c r="AR15">
        <v>1.43545197</v>
      </c>
      <c r="AS15">
        <v>1.09894445</v>
      </c>
      <c r="AT15">
        <v>1.58230532</v>
      </c>
      <c r="BX15">
        <v>0.08</v>
      </c>
      <c r="BY15">
        <v>-2.444022</v>
      </c>
      <c r="BZ15">
        <v>2506.733397</v>
      </c>
      <c r="CA15">
        <v>-505.597972</v>
      </c>
      <c r="CB15">
        <f t="shared" si="14"/>
        <v>-2003.579447</v>
      </c>
      <c r="CC15">
        <v>40</v>
      </c>
      <c r="CD15">
        <f>CB15/CC15</f>
        <v>-50.089486175</v>
      </c>
      <c r="CS15">
        <v>0.625</v>
      </c>
      <c r="CT15">
        <v>0</v>
      </c>
      <c r="CV15">
        <v>0.625</v>
      </c>
      <c r="CW15">
        <v>0</v>
      </c>
      <c r="CX15">
        <v>0.625</v>
      </c>
      <c r="CY15">
        <v>0</v>
      </c>
      <c r="CZ15">
        <v>0.625</v>
      </c>
      <c r="DA15">
        <v>0</v>
      </c>
      <c r="DB15">
        <v>0.625</v>
      </c>
      <c r="DC15">
        <v>0</v>
      </c>
      <c r="DD15">
        <v>0.625</v>
      </c>
      <c r="DE15">
        <v>0</v>
      </c>
      <c r="DF15">
        <v>0.625</v>
      </c>
      <c r="DG15">
        <v>0</v>
      </c>
      <c r="DH15">
        <v>0.625</v>
      </c>
      <c r="DI15">
        <v>0</v>
      </c>
      <c r="DJ15">
        <v>0.625</v>
      </c>
      <c r="DK15">
        <v>0</v>
      </c>
      <c r="DL15">
        <v>0.625</v>
      </c>
      <c r="DM15">
        <v>0</v>
      </c>
      <c r="DR15">
        <v>6.61401</v>
      </c>
      <c r="DS15">
        <v>2.27789</v>
      </c>
      <c r="DT15">
        <v>0.64224</v>
      </c>
      <c r="DU15">
        <v>1.55248</v>
      </c>
      <c r="DV15">
        <f t="shared" si="1"/>
        <v>1.49087</v>
      </c>
      <c r="DX15">
        <v>6.93216</v>
      </c>
      <c r="DY15">
        <v>1.23674</v>
      </c>
      <c r="DZ15">
        <v>0.81474</v>
      </c>
      <c r="EA15">
        <v>0.2033</v>
      </c>
      <c r="EB15">
        <f t="shared" si="2"/>
        <v>0.751593333333333</v>
      </c>
      <c r="ED15">
        <v>7.19706</v>
      </c>
      <c r="EE15">
        <v>1.15396</v>
      </c>
      <c r="EF15">
        <v>1.04653</v>
      </c>
      <c r="EG15">
        <v>0.9033</v>
      </c>
      <c r="EH15">
        <f t="shared" si="3"/>
        <v>1.03459666666667</v>
      </c>
      <c r="EJ15">
        <v>6.86417</v>
      </c>
      <c r="EK15">
        <v>0.9505</v>
      </c>
      <c r="EL15">
        <v>0.90825</v>
      </c>
      <c r="EM15">
        <v>0.88607</v>
      </c>
      <c r="EN15">
        <f t="shared" si="0"/>
        <v>0.91494</v>
      </c>
    </row>
    <row r="16" spans="6:144">
      <c r="X16">
        <v>6.986</v>
      </c>
      <c r="Y16">
        <v>1.0983826255263</v>
      </c>
      <c r="Z16">
        <v>6.986</v>
      </c>
      <c r="AA16">
        <v>1.12292854465458</v>
      </c>
      <c r="AB16">
        <v>6.986</v>
      </c>
      <c r="AC16">
        <v>1.10806912556219</v>
      </c>
      <c r="AD16">
        <v>6.986</v>
      </c>
      <c r="AE16">
        <v>1.0747551634437</v>
      </c>
      <c r="AF16">
        <v>6.986</v>
      </c>
      <c r="AG16">
        <v>1.09804156692613</v>
      </c>
      <c r="AJ16">
        <v>60</v>
      </c>
      <c r="AK16">
        <v>1.12359013</v>
      </c>
      <c r="AL16">
        <v>2.01078365</v>
      </c>
      <c r="AM16">
        <v>0.9238717</v>
      </c>
      <c r="AN16">
        <v>1.57364897</v>
      </c>
      <c r="AO16">
        <v>1.35422308</v>
      </c>
      <c r="AP16">
        <v>1.86622301</v>
      </c>
      <c r="AQ16">
        <v>0.92745274</v>
      </c>
      <c r="AR16">
        <v>1.46258891</v>
      </c>
      <c r="AS16">
        <v>1.13973953</v>
      </c>
      <c r="AT16">
        <v>1.64096351</v>
      </c>
      <c r="BX16">
        <v>0.1</v>
      </c>
      <c r="BY16">
        <v>-276.53657</v>
      </c>
      <c r="BZ16">
        <v>2582.444156</v>
      </c>
      <c r="CA16">
        <v>-816.567749</v>
      </c>
      <c r="CB16">
        <f t="shared" si="14"/>
        <v>-2042.412977</v>
      </c>
      <c r="CC16">
        <v>50</v>
      </c>
      <c r="CD16">
        <f>CB16/CC16</f>
        <v>-40.84825954</v>
      </c>
      <c r="CS16">
        <v>0.675</v>
      </c>
      <c r="CT16">
        <v>0</v>
      </c>
      <c r="CV16">
        <v>0.675</v>
      </c>
      <c r="CW16">
        <v>0</v>
      </c>
      <c r="CX16">
        <v>0.675</v>
      </c>
      <c r="CY16">
        <v>0</v>
      </c>
      <c r="CZ16">
        <v>0.675</v>
      </c>
      <c r="DA16">
        <v>0</v>
      </c>
      <c r="DB16">
        <v>0.675</v>
      </c>
      <c r="DC16">
        <v>0</v>
      </c>
      <c r="DD16">
        <v>0.675</v>
      </c>
      <c r="DE16">
        <v>0</v>
      </c>
      <c r="DF16">
        <v>0.675</v>
      </c>
      <c r="DG16">
        <v>0</v>
      </c>
      <c r="DH16">
        <v>0.675</v>
      </c>
      <c r="DI16">
        <v>0</v>
      </c>
      <c r="DJ16">
        <v>0.675</v>
      </c>
      <c r="DK16">
        <v>0</v>
      </c>
      <c r="DL16">
        <v>0.675</v>
      </c>
      <c r="DM16">
        <v>0</v>
      </c>
      <c r="DR16">
        <v>7.10393</v>
      </c>
      <c r="DS16">
        <v>2.04686</v>
      </c>
      <c r="DT16">
        <v>0.75776</v>
      </c>
      <c r="DU16">
        <v>1.18746</v>
      </c>
      <c r="DV16">
        <f t="shared" si="1"/>
        <v>1.33069333333333</v>
      </c>
      <c r="DX16">
        <v>7.44565</v>
      </c>
      <c r="DY16">
        <v>1.11661</v>
      </c>
      <c r="DZ16">
        <v>0.85479</v>
      </c>
      <c r="EA16">
        <v>0.15248</v>
      </c>
      <c r="EB16">
        <f t="shared" si="2"/>
        <v>0.70796</v>
      </c>
      <c r="ED16">
        <v>7.73018</v>
      </c>
      <c r="EE16">
        <v>1.12855</v>
      </c>
      <c r="EF16">
        <v>1.30413</v>
      </c>
      <c r="EG16">
        <v>0.58911</v>
      </c>
      <c r="EH16">
        <f t="shared" si="3"/>
        <v>1.00726333333333</v>
      </c>
      <c r="EJ16">
        <v>7.33756</v>
      </c>
      <c r="EK16">
        <v>0.96106</v>
      </c>
      <c r="EL16">
        <v>0.94733</v>
      </c>
      <c r="EM16">
        <v>0.86284</v>
      </c>
      <c r="EN16">
        <f t="shared" si="0"/>
        <v>0.923743333333333</v>
      </c>
    </row>
    <row r="17" spans="24:144">
      <c r="X17">
        <v>7.485</v>
      </c>
      <c r="Y17">
        <v>1.09400564441307</v>
      </c>
      <c r="Z17">
        <v>7.485</v>
      </c>
      <c r="AA17">
        <v>1.11817061217401</v>
      </c>
      <c r="AB17">
        <v>7.485</v>
      </c>
      <c r="AC17">
        <v>1.11887361010204</v>
      </c>
      <c r="AD17">
        <v>7.485</v>
      </c>
      <c r="AE17">
        <v>1.07007517030186</v>
      </c>
      <c r="AF17">
        <v>7.485</v>
      </c>
      <c r="AG17">
        <v>1.09782891947187</v>
      </c>
      <c r="AJ17">
        <v>65</v>
      </c>
      <c r="AK17">
        <v>1.1966372</v>
      </c>
      <c r="AL17">
        <v>2.09685899</v>
      </c>
      <c r="AM17">
        <v>0.95160881</v>
      </c>
      <c r="AN17">
        <v>1.62617266</v>
      </c>
      <c r="AO17">
        <v>1.4323194</v>
      </c>
      <c r="AP17">
        <v>1.97537295</v>
      </c>
      <c r="AQ17">
        <v>0.96681244</v>
      </c>
      <c r="AR17">
        <v>1.5219791</v>
      </c>
      <c r="AS17">
        <v>1.1927475</v>
      </c>
      <c r="AT17">
        <v>1.71539199</v>
      </c>
      <c r="CS17">
        <v>0.725</v>
      </c>
      <c r="CT17">
        <v>0</v>
      </c>
      <c r="CV17">
        <v>0.725</v>
      </c>
      <c r="CW17">
        <v>0</v>
      </c>
      <c r="CX17">
        <v>0.725</v>
      </c>
      <c r="CY17">
        <v>0</v>
      </c>
      <c r="CZ17">
        <v>0.725</v>
      </c>
      <c r="DA17">
        <v>0</v>
      </c>
      <c r="DB17">
        <v>0.725</v>
      </c>
      <c r="DC17">
        <v>0</v>
      </c>
      <c r="DD17">
        <v>0.725</v>
      </c>
      <c r="DE17">
        <v>0</v>
      </c>
      <c r="DF17">
        <v>0.725</v>
      </c>
      <c r="DG17">
        <v>0</v>
      </c>
      <c r="DH17">
        <v>0.725</v>
      </c>
      <c r="DI17">
        <v>0</v>
      </c>
      <c r="DJ17">
        <v>0.725</v>
      </c>
      <c r="DK17">
        <v>0</v>
      </c>
      <c r="DL17">
        <v>0.725</v>
      </c>
      <c r="DM17">
        <v>0</v>
      </c>
      <c r="DR17">
        <v>7.59386</v>
      </c>
      <c r="DS17">
        <v>1.51089</v>
      </c>
      <c r="DT17">
        <v>0.56832</v>
      </c>
      <c r="DU17">
        <v>1.25677</v>
      </c>
      <c r="DV17">
        <f t="shared" si="1"/>
        <v>1.11199333333333</v>
      </c>
      <c r="DX17">
        <v>7.95915</v>
      </c>
      <c r="DY17">
        <v>1.10583</v>
      </c>
      <c r="DZ17">
        <v>0.84554</v>
      </c>
      <c r="EA17">
        <v>0.09087</v>
      </c>
      <c r="EB17">
        <f t="shared" si="2"/>
        <v>0.680746666666667</v>
      </c>
      <c r="ED17">
        <v>8.2633</v>
      </c>
      <c r="EE17">
        <v>1.04538</v>
      </c>
      <c r="EF17">
        <v>1.53746</v>
      </c>
      <c r="EG17">
        <v>0.84092</v>
      </c>
      <c r="EH17">
        <f t="shared" si="3"/>
        <v>1.14125333333333</v>
      </c>
      <c r="EJ17">
        <v>7.81095</v>
      </c>
      <c r="EK17">
        <v>1.01175</v>
      </c>
      <c r="EL17">
        <v>0.89663</v>
      </c>
      <c r="EM17">
        <v>0.85439</v>
      </c>
      <c r="EN17">
        <f t="shared" si="0"/>
        <v>0.920923333333333</v>
      </c>
    </row>
    <row r="18" spans="24:144">
      <c r="X18">
        <v>7.984</v>
      </c>
      <c r="Y18">
        <v>1.09414432272316</v>
      </c>
      <c r="Z18">
        <v>7.984</v>
      </c>
      <c r="AA18">
        <v>1.11904668488776</v>
      </c>
      <c r="AB18">
        <v>7.984</v>
      </c>
      <c r="AC18">
        <v>1.11897609283792</v>
      </c>
      <c r="AD18">
        <v>7.984</v>
      </c>
      <c r="AE18">
        <v>1.08344752537478</v>
      </c>
      <c r="AF18">
        <v>7.984</v>
      </c>
      <c r="AG18">
        <v>1.09750532766925</v>
      </c>
      <c r="AJ18">
        <v>70</v>
      </c>
      <c r="AK18">
        <v>1.2362369</v>
      </c>
      <c r="AL18">
        <v>2.17551972</v>
      </c>
      <c r="AM18">
        <v>0.98406042</v>
      </c>
      <c r="AN18">
        <v>1.70263722</v>
      </c>
      <c r="AO18">
        <v>1.5283063</v>
      </c>
      <c r="AP18">
        <v>2.07498686</v>
      </c>
      <c r="AQ18">
        <v>1.00010045</v>
      </c>
      <c r="AR18">
        <v>1.57863842</v>
      </c>
      <c r="AS18">
        <v>1.23076952</v>
      </c>
      <c r="AT18">
        <v>1.77826822</v>
      </c>
      <c r="CS18">
        <v>0.775</v>
      </c>
      <c r="CT18">
        <v>0</v>
      </c>
      <c r="CV18">
        <v>0.775</v>
      </c>
      <c r="CW18">
        <v>0</v>
      </c>
      <c r="CX18">
        <v>0.775</v>
      </c>
      <c r="CY18">
        <v>0</v>
      </c>
      <c r="CZ18">
        <v>0.775</v>
      </c>
      <c r="DA18">
        <v>0</v>
      </c>
      <c r="DB18">
        <v>0.775</v>
      </c>
      <c r="DC18">
        <v>0</v>
      </c>
      <c r="DD18">
        <v>0.775</v>
      </c>
      <c r="DE18">
        <v>0</v>
      </c>
      <c r="DF18">
        <v>0.775</v>
      </c>
      <c r="DG18">
        <v>0</v>
      </c>
      <c r="DH18">
        <v>0.775</v>
      </c>
      <c r="DI18">
        <v>0</v>
      </c>
      <c r="DJ18">
        <v>0.775</v>
      </c>
      <c r="DK18">
        <v>0</v>
      </c>
      <c r="DL18">
        <v>0.775</v>
      </c>
      <c r="DM18">
        <v>0</v>
      </c>
      <c r="DR18">
        <v>8.08379</v>
      </c>
      <c r="DS18">
        <v>0.90099</v>
      </c>
      <c r="DT18">
        <v>0.60066</v>
      </c>
      <c r="DU18">
        <v>1.05347</v>
      </c>
      <c r="DV18">
        <f t="shared" si="1"/>
        <v>0.851706666666667</v>
      </c>
      <c r="DX18">
        <v>8.47264</v>
      </c>
      <c r="DY18">
        <v>1.19362</v>
      </c>
      <c r="DZ18">
        <v>0.91793</v>
      </c>
      <c r="EA18">
        <v>0.04928</v>
      </c>
      <c r="EB18">
        <f t="shared" si="2"/>
        <v>0.720276666666667</v>
      </c>
      <c r="ED18">
        <v>8.79641</v>
      </c>
      <c r="EE18">
        <v>0.85017</v>
      </c>
      <c r="EF18">
        <v>1.35264</v>
      </c>
      <c r="EG18">
        <v>0.85825</v>
      </c>
      <c r="EH18">
        <f t="shared" si="3"/>
        <v>1.02035333333333</v>
      </c>
      <c r="EJ18">
        <v>8.28434</v>
      </c>
      <c r="EK18">
        <v>1.00964</v>
      </c>
      <c r="EL18">
        <v>0.84594</v>
      </c>
      <c r="EM18">
        <v>0.86389</v>
      </c>
      <c r="EN18">
        <f t="shared" si="0"/>
        <v>0.90649</v>
      </c>
    </row>
    <row r="19" spans="24:144">
      <c r="X19">
        <v>8.483</v>
      </c>
      <c r="Y19">
        <v>1.1062863233633</v>
      </c>
      <c r="Z19">
        <v>8.483</v>
      </c>
      <c r="AA19">
        <v>1.11688637545203</v>
      </c>
      <c r="AB19">
        <v>8.483</v>
      </c>
      <c r="AC19">
        <v>1.11110129678933</v>
      </c>
      <c r="AD19">
        <v>8.483</v>
      </c>
      <c r="AE19">
        <v>1.08654547738088</v>
      </c>
      <c r="AF19">
        <v>8.483</v>
      </c>
      <c r="AG19">
        <v>1.10403766586832</v>
      </c>
      <c r="AJ19">
        <v>75</v>
      </c>
      <c r="AK19">
        <v>1.27801875</v>
      </c>
      <c r="AL19">
        <v>2.24438855</v>
      </c>
      <c r="AM19">
        <v>1.01986484</v>
      </c>
      <c r="AN19">
        <v>1.74954454</v>
      </c>
      <c r="AO19">
        <v>1.60126493</v>
      </c>
      <c r="AP19">
        <v>2.1726402</v>
      </c>
      <c r="AQ19">
        <v>1.03877256</v>
      </c>
      <c r="AR19">
        <v>1.62540399</v>
      </c>
      <c r="AS19">
        <v>1.28220008</v>
      </c>
      <c r="AT19">
        <v>1.8466818</v>
      </c>
      <c r="CS19">
        <v>0.825</v>
      </c>
      <c r="CT19">
        <v>0</v>
      </c>
      <c r="CV19">
        <v>0.825</v>
      </c>
      <c r="CW19">
        <v>0</v>
      </c>
      <c r="CX19">
        <v>0.825</v>
      </c>
      <c r="CY19">
        <v>0</v>
      </c>
      <c r="CZ19">
        <v>0.825</v>
      </c>
      <c r="DA19">
        <v>0</v>
      </c>
      <c r="DB19">
        <v>0.825</v>
      </c>
      <c r="DC19">
        <v>0</v>
      </c>
      <c r="DD19">
        <v>0.825</v>
      </c>
      <c r="DE19">
        <v>0</v>
      </c>
      <c r="DF19">
        <v>0.825</v>
      </c>
      <c r="DG19">
        <v>0</v>
      </c>
      <c r="DH19">
        <v>0.825</v>
      </c>
      <c r="DI19">
        <v>0</v>
      </c>
      <c r="DJ19">
        <v>0.825</v>
      </c>
      <c r="DK19">
        <v>0</v>
      </c>
      <c r="DL19">
        <v>0.825</v>
      </c>
      <c r="DM19">
        <v>0</v>
      </c>
      <c r="DR19">
        <v>8.57371</v>
      </c>
      <c r="DS19">
        <v>0.52673</v>
      </c>
      <c r="DT19">
        <v>0.81782</v>
      </c>
      <c r="DU19">
        <v>1.37228</v>
      </c>
      <c r="DV19">
        <f t="shared" si="1"/>
        <v>0.90561</v>
      </c>
      <c r="DX19">
        <v>8.98613</v>
      </c>
      <c r="DY19">
        <v>1.0011</v>
      </c>
      <c r="DZ19">
        <v>0.89483</v>
      </c>
      <c r="EA19">
        <v>0.00924</v>
      </c>
      <c r="EB19">
        <f t="shared" si="2"/>
        <v>0.635056666666667</v>
      </c>
      <c r="ED19">
        <v>9.32953</v>
      </c>
      <c r="EE19">
        <v>0.82129</v>
      </c>
      <c r="EF19">
        <v>1.43812</v>
      </c>
      <c r="EG19">
        <v>0.88482</v>
      </c>
      <c r="EH19">
        <f t="shared" si="3"/>
        <v>1.04807666666667</v>
      </c>
      <c r="EJ19">
        <v>8.75774</v>
      </c>
      <c r="EK19">
        <v>1.10891</v>
      </c>
      <c r="EL19">
        <v>1.10257</v>
      </c>
      <c r="EM19">
        <v>0.94944</v>
      </c>
      <c r="EN19">
        <f t="shared" si="0"/>
        <v>1.05364</v>
      </c>
    </row>
    <row r="20" spans="24:144">
      <c r="X20">
        <v>8.982</v>
      </c>
      <c r="Y20">
        <v>1.10491615481335</v>
      </c>
      <c r="Z20">
        <v>8.982</v>
      </c>
      <c r="AA20">
        <v>1.10600009806708</v>
      </c>
      <c r="AB20">
        <v>8.982</v>
      </c>
      <c r="AC20">
        <v>1.10996731821978</v>
      </c>
      <c r="AD20">
        <v>8.982</v>
      </c>
      <c r="AE20">
        <v>1.08758495947703</v>
      </c>
      <c r="AF20">
        <v>8.982</v>
      </c>
      <c r="AG20">
        <v>1.10197162585728</v>
      </c>
      <c r="AJ20">
        <v>80</v>
      </c>
      <c r="AK20">
        <v>1.31187636</v>
      </c>
      <c r="AL20">
        <v>2.33048903</v>
      </c>
      <c r="AM20">
        <v>1.06211118</v>
      </c>
      <c r="AN20">
        <v>1.80685681</v>
      </c>
      <c r="AO20">
        <v>1.66186832</v>
      </c>
      <c r="AP20">
        <v>2.26939305</v>
      </c>
      <c r="AQ20">
        <v>1.08123143</v>
      </c>
      <c r="AR20">
        <v>1.68217005</v>
      </c>
      <c r="AS20">
        <v>1.35651298</v>
      </c>
      <c r="AT20">
        <v>1.93177981</v>
      </c>
      <c r="BX20" t="s">
        <v>179</v>
      </c>
      <c r="BY20" t="s">
        <v>187</v>
      </c>
      <c r="BZ20" t="s">
        <v>78</v>
      </c>
      <c r="CA20" t="s">
        <v>70</v>
      </c>
      <c r="CB20" t="s">
        <v>4</v>
      </c>
      <c r="CD20" t="s">
        <v>181</v>
      </c>
      <c r="CS20">
        <v>0.875</v>
      </c>
      <c r="CT20">
        <v>0</v>
      </c>
      <c r="CV20">
        <v>0.875</v>
      </c>
      <c r="CW20">
        <v>0</v>
      </c>
      <c r="CX20">
        <v>0.875</v>
      </c>
      <c r="CY20">
        <v>0</v>
      </c>
      <c r="CZ20">
        <v>0.875</v>
      </c>
      <c r="DA20">
        <v>0</v>
      </c>
      <c r="DB20">
        <v>0.875</v>
      </c>
      <c r="DC20">
        <v>0</v>
      </c>
      <c r="DD20">
        <v>0.875</v>
      </c>
      <c r="DE20">
        <v>0</v>
      </c>
      <c r="DF20">
        <v>0.875</v>
      </c>
      <c r="DG20">
        <v>0</v>
      </c>
      <c r="DH20">
        <v>0.875</v>
      </c>
      <c r="DI20">
        <v>0</v>
      </c>
      <c r="DJ20">
        <v>0.875</v>
      </c>
      <c r="DK20">
        <v>0</v>
      </c>
      <c r="DL20">
        <v>0.875</v>
      </c>
      <c r="DM20">
        <v>0</v>
      </c>
      <c r="DR20">
        <v>9.06364</v>
      </c>
      <c r="DS20">
        <v>0.54521</v>
      </c>
      <c r="DT20">
        <v>0.62376</v>
      </c>
      <c r="DU20">
        <v>1.98218</v>
      </c>
      <c r="DV20">
        <f t="shared" si="1"/>
        <v>1.05038333333333</v>
      </c>
      <c r="DX20">
        <v>9.49963</v>
      </c>
      <c r="DY20">
        <v>1.26601</v>
      </c>
      <c r="DZ20">
        <v>0.90869</v>
      </c>
      <c r="EA20">
        <v>0</v>
      </c>
      <c r="EB20">
        <f t="shared" si="2"/>
        <v>0.7249</v>
      </c>
      <c r="ED20">
        <v>9.86264</v>
      </c>
      <c r="EE20">
        <v>0.97376</v>
      </c>
      <c r="EF20">
        <v>1.41271</v>
      </c>
      <c r="EG20">
        <v>0.91139</v>
      </c>
      <c r="EH20">
        <f t="shared" si="3"/>
        <v>1.09928666666667</v>
      </c>
      <c r="EJ20">
        <v>9.23113</v>
      </c>
      <c r="EK20">
        <v>1.14165</v>
      </c>
      <c r="EL20">
        <v>1.1765</v>
      </c>
      <c r="EM20">
        <v>0.97267</v>
      </c>
      <c r="EN20">
        <f t="shared" si="0"/>
        <v>1.09694</v>
      </c>
    </row>
    <row r="21" spans="24:144">
      <c r="X21">
        <v>9.481</v>
      </c>
      <c r="Y21">
        <v>1.11024740276006</v>
      </c>
      <c r="Z21">
        <v>9.481</v>
      </c>
      <c r="AA21">
        <v>1.12123637483078</v>
      </c>
      <c r="AB21">
        <v>9.481</v>
      </c>
      <c r="AC21">
        <v>1.10642236618542</v>
      </c>
      <c r="AD21">
        <v>9.481</v>
      </c>
      <c r="AE21">
        <v>1.08306462840218</v>
      </c>
      <c r="AF21">
        <v>9.481</v>
      </c>
      <c r="AG21">
        <v>1.09850716842925</v>
      </c>
      <c r="AJ21">
        <v>85</v>
      </c>
      <c r="AK21">
        <v>1.34752294</v>
      </c>
      <c r="AL21">
        <v>2.39759213</v>
      </c>
      <c r="AM21">
        <v>1.08377946</v>
      </c>
      <c r="AN21">
        <v>1.88277324</v>
      </c>
      <c r="AO21">
        <v>1.7529028</v>
      </c>
      <c r="AP21">
        <v>2.37627831</v>
      </c>
      <c r="AQ21">
        <v>1.11004151</v>
      </c>
      <c r="AR21">
        <v>1.74324617</v>
      </c>
      <c r="AS21">
        <v>1.41777676</v>
      </c>
      <c r="AT21">
        <v>2.01915098</v>
      </c>
      <c r="BX21">
        <v>0.02</v>
      </c>
      <c r="BY21">
        <v>-369.455582</v>
      </c>
      <c r="BZ21">
        <v>459.19815</v>
      </c>
      <c r="CA21">
        <v>-210.380919</v>
      </c>
      <c r="CB21">
        <f t="shared" ref="CB21:CB25" si="15">BY21-BZ21-CA21</f>
        <v>-618.272813</v>
      </c>
      <c r="CC21">
        <v>10</v>
      </c>
      <c r="CD21">
        <f>CB21/CC21</f>
        <v>-61.8272813</v>
      </c>
      <c r="CS21">
        <v>0.925</v>
      </c>
      <c r="CT21">
        <v>0</v>
      </c>
      <c r="CV21">
        <v>0.925</v>
      </c>
      <c r="CW21">
        <v>0</v>
      </c>
      <c r="CX21">
        <v>0.925</v>
      </c>
      <c r="CY21">
        <v>0</v>
      </c>
      <c r="CZ21">
        <v>0.925</v>
      </c>
      <c r="DA21">
        <v>0</v>
      </c>
      <c r="DB21">
        <v>0.925</v>
      </c>
      <c r="DC21">
        <v>0</v>
      </c>
      <c r="DD21">
        <v>0.925</v>
      </c>
      <c r="DE21">
        <v>0</v>
      </c>
      <c r="DF21">
        <v>0.925</v>
      </c>
      <c r="DG21">
        <v>0</v>
      </c>
      <c r="DH21">
        <v>0.925</v>
      </c>
      <c r="DI21">
        <v>0</v>
      </c>
      <c r="DJ21">
        <v>0.925</v>
      </c>
      <c r="DK21">
        <v>0</v>
      </c>
      <c r="DL21">
        <v>0.925</v>
      </c>
      <c r="DM21">
        <v>0</v>
      </c>
      <c r="DR21">
        <v>9.55357</v>
      </c>
      <c r="DS21">
        <v>0.77624</v>
      </c>
      <c r="DT21">
        <v>0.57756</v>
      </c>
      <c r="DU21">
        <v>1.28911</v>
      </c>
      <c r="DV21">
        <f t="shared" si="1"/>
        <v>0.88097</v>
      </c>
      <c r="DX21">
        <v>10.01312</v>
      </c>
      <c r="DY21">
        <v>1.21826</v>
      </c>
      <c r="DZ21">
        <v>1.08273</v>
      </c>
      <c r="EA21">
        <v>0</v>
      </c>
      <c r="EB21">
        <f t="shared" si="2"/>
        <v>0.766996666666667</v>
      </c>
      <c r="ED21">
        <v>10.39576</v>
      </c>
      <c r="EE21">
        <v>0.69076</v>
      </c>
      <c r="EF21">
        <v>1.43581</v>
      </c>
      <c r="EG21">
        <v>0.74158</v>
      </c>
      <c r="EH21">
        <f t="shared" si="3"/>
        <v>0.95605</v>
      </c>
      <c r="EJ21">
        <v>9.70452</v>
      </c>
      <c r="EK21">
        <v>1.18389</v>
      </c>
      <c r="EL21">
        <v>0.98851</v>
      </c>
      <c r="EM21">
        <v>1.02125</v>
      </c>
      <c r="EN21">
        <f t="shared" si="0"/>
        <v>1.06455</v>
      </c>
    </row>
    <row r="22" spans="24:144">
      <c r="X22">
        <v>9.98</v>
      </c>
      <c r="Y22">
        <v>1.11164329849436</v>
      </c>
      <c r="Z22">
        <v>9.98</v>
      </c>
      <c r="AA22">
        <v>1.1240271085748</v>
      </c>
      <c r="AB22">
        <v>9.98</v>
      </c>
      <c r="AC22">
        <v>1.10312217473348</v>
      </c>
      <c r="AD22">
        <v>9.98</v>
      </c>
      <c r="AE22">
        <v>1.0747134516001</v>
      </c>
      <c r="AF22">
        <v>9.98</v>
      </c>
      <c r="AG22">
        <v>1.09804528219107</v>
      </c>
      <c r="AJ22">
        <v>90</v>
      </c>
      <c r="AK22">
        <v>1.3972383</v>
      </c>
      <c r="AL22">
        <v>2.49702007</v>
      </c>
      <c r="AM22">
        <v>1.11368971</v>
      </c>
      <c r="AN22">
        <v>1.9202465</v>
      </c>
      <c r="AO22">
        <v>1.83770848</v>
      </c>
      <c r="AP22">
        <v>2.48549978</v>
      </c>
      <c r="AQ22">
        <v>1.14412933</v>
      </c>
      <c r="AR22">
        <v>1.77311729</v>
      </c>
      <c r="AS22">
        <v>1.45648541</v>
      </c>
      <c r="AT22">
        <v>2.07175489</v>
      </c>
      <c r="BX22">
        <v>0.04</v>
      </c>
      <c r="BY22">
        <v>-1010.304392</v>
      </c>
      <c r="BZ22">
        <v>1042.600805</v>
      </c>
      <c r="CA22">
        <v>-216.93093</v>
      </c>
      <c r="CB22">
        <f t="shared" si="15"/>
        <v>-1835.974267</v>
      </c>
      <c r="CC22">
        <v>20</v>
      </c>
      <c r="CD22">
        <f>CB22/CC22</f>
        <v>-91.79871335</v>
      </c>
      <c r="CS22">
        <v>0.975</v>
      </c>
      <c r="CT22">
        <v>0</v>
      </c>
      <c r="CV22">
        <v>0.975</v>
      </c>
      <c r="CW22">
        <v>0</v>
      </c>
      <c r="CX22">
        <v>0.975</v>
      </c>
      <c r="CY22">
        <v>0</v>
      </c>
      <c r="CZ22">
        <v>0.975</v>
      </c>
      <c r="DA22">
        <v>0</v>
      </c>
      <c r="DB22">
        <v>0.975</v>
      </c>
      <c r="DC22">
        <v>0</v>
      </c>
      <c r="DD22">
        <v>0.975</v>
      </c>
      <c r="DE22">
        <v>0</v>
      </c>
      <c r="DF22">
        <v>0.975</v>
      </c>
      <c r="DG22">
        <v>0</v>
      </c>
      <c r="DH22">
        <v>0.975</v>
      </c>
      <c r="DI22">
        <v>0</v>
      </c>
      <c r="DJ22">
        <v>0.975</v>
      </c>
      <c r="DK22">
        <v>0</v>
      </c>
      <c r="DL22">
        <v>0.975</v>
      </c>
      <c r="DM22">
        <v>0</v>
      </c>
      <c r="DR22">
        <v>10.04349</v>
      </c>
      <c r="DS22">
        <v>0.767</v>
      </c>
      <c r="DT22">
        <v>0.36964</v>
      </c>
      <c r="DU22">
        <v>1.09967</v>
      </c>
      <c r="DV22">
        <f t="shared" si="1"/>
        <v>0.745436666666667</v>
      </c>
      <c r="DX22">
        <v>10.52661</v>
      </c>
      <c r="DY22">
        <v>1.4154</v>
      </c>
      <c r="DZ22">
        <v>1.01342</v>
      </c>
      <c r="EA22">
        <v>0</v>
      </c>
      <c r="EB22">
        <f t="shared" si="2"/>
        <v>0.809606666666667</v>
      </c>
      <c r="ED22">
        <v>10.92888</v>
      </c>
      <c r="EE22">
        <v>0.74043</v>
      </c>
      <c r="EF22">
        <v>1.23251</v>
      </c>
      <c r="EG22">
        <v>0.89868</v>
      </c>
      <c r="EH22">
        <f t="shared" si="3"/>
        <v>0.957206666666667</v>
      </c>
      <c r="EJ22">
        <v>10.17791</v>
      </c>
      <c r="EK22">
        <v>1.24937</v>
      </c>
      <c r="EL22">
        <v>0.90614</v>
      </c>
      <c r="EM22">
        <v>0.93149</v>
      </c>
      <c r="EN22">
        <f t="shared" si="0"/>
        <v>1.029</v>
      </c>
    </row>
    <row r="23" spans="24:144">
      <c r="X23">
        <v>10.479</v>
      </c>
      <c r="Y23">
        <v>1.1108086241355</v>
      </c>
      <c r="Z23">
        <v>10.479</v>
      </c>
      <c r="AA23">
        <v>1.12591192917553</v>
      </c>
      <c r="AB23">
        <v>10.479</v>
      </c>
      <c r="AC23">
        <v>1.10507528444014</v>
      </c>
      <c r="AD23">
        <v>10.479</v>
      </c>
      <c r="AE23">
        <v>1.07041541649126</v>
      </c>
      <c r="AF23">
        <v>10.479</v>
      </c>
      <c r="AG23">
        <v>1.1059108119352</v>
      </c>
      <c r="AJ23">
        <v>95</v>
      </c>
      <c r="AK23">
        <v>1.44530521</v>
      </c>
      <c r="AL23">
        <v>2.55020273</v>
      </c>
      <c r="AM23">
        <v>1.14528989</v>
      </c>
      <c r="AN23">
        <v>1.98200095</v>
      </c>
      <c r="AO23">
        <v>1.94420647</v>
      </c>
      <c r="AP23">
        <v>2.59115959</v>
      </c>
      <c r="AQ23">
        <v>1.16481277</v>
      </c>
      <c r="AR23">
        <v>1.83026191</v>
      </c>
      <c r="AS23">
        <v>1.51559933</v>
      </c>
      <c r="AT23">
        <v>2.15270622</v>
      </c>
      <c r="BX23">
        <v>0.06</v>
      </c>
      <c r="BY23">
        <v>-2107.029864</v>
      </c>
      <c r="BZ23">
        <v>1756.664748</v>
      </c>
      <c r="CA23">
        <v>-231.791967</v>
      </c>
      <c r="CB23">
        <f t="shared" si="15"/>
        <v>-3631.902645</v>
      </c>
      <c r="CC23">
        <v>30</v>
      </c>
      <c r="CD23">
        <f>CB23/CC23</f>
        <v>-121.0634215</v>
      </c>
      <c r="CS23">
        <v>1.025</v>
      </c>
      <c r="CT23">
        <v>0</v>
      </c>
      <c r="CV23">
        <v>1.025</v>
      </c>
      <c r="CW23">
        <v>0</v>
      </c>
      <c r="CX23">
        <v>1.025</v>
      </c>
      <c r="CY23">
        <v>0</v>
      </c>
      <c r="CZ23">
        <v>1.025</v>
      </c>
      <c r="DA23">
        <v>0</v>
      </c>
      <c r="DB23">
        <v>1.025</v>
      </c>
      <c r="DC23">
        <v>0</v>
      </c>
      <c r="DD23">
        <v>1.025</v>
      </c>
      <c r="DE23">
        <v>0</v>
      </c>
      <c r="DF23">
        <v>1.025</v>
      </c>
      <c r="DG23">
        <v>0</v>
      </c>
      <c r="DH23">
        <v>1.025</v>
      </c>
      <c r="DI23">
        <v>0</v>
      </c>
      <c r="DJ23">
        <v>1.025</v>
      </c>
      <c r="DK23">
        <v>0</v>
      </c>
      <c r="DL23">
        <v>1.025</v>
      </c>
      <c r="DM23">
        <v>0</v>
      </c>
      <c r="DR23">
        <v>10.53342</v>
      </c>
      <c r="DS23">
        <v>1.20594</v>
      </c>
      <c r="DT23">
        <v>0.2264</v>
      </c>
      <c r="DU23">
        <v>0.6099</v>
      </c>
      <c r="DV23">
        <f t="shared" si="1"/>
        <v>0.680746666666667</v>
      </c>
      <c r="DX23">
        <v>11.04011</v>
      </c>
      <c r="DY23">
        <v>1.64488</v>
      </c>
      <c r="DZ23">
        <v>1.12277</v>
      </c>
      <c r="EA23">
        <v>0</v>
      </c>
      <c r="EB23">
        <f t="shared" si="2"/>
        <v>0.92255</v>
      </c>
      <c r="ED23">
        <v>11.46199</v>
      </c>
      <c r="EE23">
        <v>0.89406</v>
      </c>
      <c r="EF23">
        <v>1.10429</v>
      </c>
      <c r="EG23">
        <v>0.79818</v>
      </c>
      <c r="EH23">
        <f t="shared" si="3"/>
        <v>0.932176666666667</v>
      </c>
      <c r="EJ23">
        <v>10.6513</v>
      </c>
      <c r="EK23">
        <v>1.45426</v>
      </c>
      <c r="EL23">
        <v>0.84805</v>
      </c>
      <c r="EM23">
        <v>0.76779</v>
      </c>
      <c r="EN23">
        <f t="shared" si="0"/>
        <v>1.02336666666667</v>
      </c>
    </row>
    <row r="24" spans="24:144">
      <c r="X24">
        <v>10.978</v>
      </c>
      <c r="Y24">
        <v>1.10758590253781</v>
      </c>
      <c r="Z24">
        <v>10.978</v>
      </c>
      <c r="AA24">
        <v>1.13522814088017</v>
      </c>
      <c r="AB24">
        <v>10.978</v>
      </c>
      <c r="AC24">
        <v>1.11580076368526</v>
      </c>
      <c r="AD24">
        <v>10.978</v>
      </c>
      <c r="AE24">
        <v>1.07502433254308</v>
      </c>
      <c r="AF24">
        <v>10.978</v>
      </c>
      <c r="AG24">
        <v>1.11177028054471</v>
      </c>
      <c r="AJ24">
        <v>100</v>
      </c>
      <c r="AK24">
        <v>1.4938942</v>
      </c>
      <c r="AL24">
        <v>2.6176643</v>
      </c>
      <c r="AM24">
        <v>1.19755237</v>
      </c>
      <c r="AN24">
        <v>2.05267369</v>
      </c>
      <c r="AO24">
        <v>2.00867941</v>
      </c>
      <c r="AP24">
        <v>2.68834657</v>
      </c>
      <c r="AQ24">
        <v>1.19222887</v>
      </c>
      <c r="AR24">
        <v>1.87083053</v>
      </c>
      <c r="AS24">
        <v>1.5768061</v>
      </c>
      <c r="AT24">
        <v>2.23929274</v>
      </c>
      <c r="BX24">
        <v>0.08</v>
      </c>
      <c r="BY24">
        <v>-2549.684774</v>
      </c>
      <c r="BZ24">
        <v>2126.36332</v>
      </c>
      <c r="CA24">
        <v>-505.597972</v>
      </c>
      <c r="CB24">
        <f t="shared" si="15"/>
        <v>-4170.450122</v>
      </c>
      <c r="CC24">
        <v>40</v>
      </c>
      <c r="CD24">
        <f>CB24/CC24</f>
        <v>-104.26125305</v>
      </c>
      <c r="CS24">
        <v>1.075</v>
      </c>
      <c r="CT24">
        <v>0</v>
      </c>
      <c r="CV24">
        <v>1.075</v>
      </c>
      <c r="CW24">
        <v>0</v>
      </c>
      <c r="CX24">
        <v>1.075</v>
      </c>
      <c r="CY24">
        <v>0</v>
      </c>
      <c r="CZ24">
        <v>1.075</v>
      </c>
      <c r="DA24">
        <v>0</v>
      </c>
      <c r="DB24">
        <v>1.075</v>
      </c>
      <c r="DC24">
        <v>0</v>
      </c>
      <c r="DD24">
        <v>1.075</v>
      </c>
      <c r="DE24">
        <v>0</v>
      </c>
      <c r="DF24">
        <v>1.075</v>
      </c>
      <c r="DG24">
        <v>0</v>
      </c>
      <c r="DH24">
        <v>1.075</v>
      </c>
      <c r="DI24">
        <v>0</v>
      </c>
      <c r="DJ24">
        <v>1.075</v>
      </c>
      <c r="DK24">
        <v>0</v>
      </c>
      <c r="DL24">
        <v>1.075</v>
      </c>
      <c r="DM24">
        <v>0</v>
      </c>
      <c r="DR24">
        <v>11.02335</v>
      </c>
      <c r="DS24">
        <v>1.04422</v>
      </c>
      <c r="DT24">
        <v>0.11551</v>
      </c>
      <c r="DU24">
        <v>0.68383</v>
      </c>
      <c r="DV24">
        <f t="shared" si="1"/>
        <v>0.61452</v>
      </c>
      <c r="DX24">
        <v>11.5536</v>
      </c>
      <c r="DY24">
        <v>1.47547</v>
      </c>
      <c r="DZ24">
        <v>1.38306</v>
      </c>
      <c r="EA24">
        <v>0</v>
      </c>
      <c r="EB24">
        <f t="shared" si="2"/>
        <v>0.952843333333333</v>
      </c>
      <c r="ED24">
        <v>11.99511</v>
      </c>
      <c r="EE24">
        <v>0.91485</v>
      </c>
      <c r="EF24">
        <v>1.00495</v>
      </c>
      <c r="EG24">
        <v>0.83053</v>
      </c>
      <c r="EH24">
        <f t="shared" si="3"/>
        <v>0.916776666666667</v>
      </c>
      <c r="EJ24">
        <v>11.12469</v>
      </c>
      <c r="EK24">
        <v>1.38033</v>
      </c>
      <c r="EL24">
        <v>1.04238</v>
      </c>
      <c r="EM24">
        <v>0.60515</v>
      </c>
      <c r="EN24">
        <f t="shared" si="0"/>
        <v>1.00928666666667</v>
      </c>
    </row>
    <row r="25" spans="24:144">
      <c r="X25">
        <v>11.477</v>
      </c>
      <c r="Y25">
        <v>1.1166508728131</v>
      </c>
      <c r="Z25">
        <v>11.477</v>
      </c>
      <c r="AA25">
        <v>1.13436631040912</v>
      </c>
      <c r="AB25">
        <v>11.477</v>
      </c>
      <c r="AC25">
        <v>1.10858028465735</v>
      </c>
      <c r="AD25">
        <v>11.477</v>
      </c>
      <c r="AE25">
        <v>1.08787963223144</v>
      </c>
      <c r="AF25">
        <v>11.477</v>
      </c>
      <c r="AG25">
        <v>1.11246366690121</v>
      </c>
      <c r="AJ25">
        <v>105</v>
      </c>
      <c r="AK25">
        <v>1.5308809</v>
      </c>
      <c r="AL25">
        <v>2.68873066</v>
      </c>
      <c r="AM25">
        <v>1.24587985</v>
      </c>
      <c r="AN25">
        <v>2.1219665</v>
      </c>
      <c r="AO25">
        <v>2.12679684</v>
      </c>
      <c r="AP25">
        <v>2.81303144</v>
      </c>
      <c r="AQ25">
        <v>1.22825106</v>
      </c>
      <c r="AR25">
        <v>1.91240401</v>
      </c>
      <c r="AS25">
        <v>1.65865744</v>
      </c>
      <c r="AT25">
        <v>2.34239551</v>
      </c>
      <c r="BX25">
        <v>0.1</v>
      </c>
      <c r="BY25">
        <v>-3417.47023</v>
      </c>
      <c r="BZ25">
        <v>2665.673123</v>
      </c>
      <c r="CA25">
        <v>-816.567749</v>
      </c>
      <c r="CB25">
        <f t="shared" si="15"/>
        <v>-5266.575604</v>
      </c>
      <c r="CC25">
        <v>50</v>
      </c>
      <c r="CD25">
        <f>CB25/CC25</f>
        <v>-105.33151208</v>
      </c>
      <c r="CS25">
        <v>1.125</v>
      </c>
      <c r="CT25">
        <v>0</v>
      </c>
      <c r="CV25">
        <v>1.125</v>
      </c>
      <c r="CW25">
        <v>0</v>
      </c>
      <c r="CX25">
        <v>1.125</v>
      </c>
      <c r="CY25">
        <v>0</v>
      </c>
      <c r="CZ25">
        <v>1.125</v>
      </c>
      <c r="DA25">
        <v>0</v>
      </c>
      <c r="DB25">
        <v>1.125</v>
      </c>
      <c r="DC25">
        <v>0</v>
      </c>
      <c r="DD25">
        <v>1.125</v>
      </c>
      <c r="DE25">
        <v>0</v>
      </c>
      <c r="DF25">
        <v>1.125</v>
      </c>
      <c r="DG25">
        <v>0</v>
      </c>
      <c r="DH25">
        <v>1.125</v>
      </c>
      <c r="DI25">
        <v>0</v>
      </c>
      <c r="DJ25">
        <v>1.125</v>
      </c>
      <c r="DK25">
        <v>0</v>
      </c>
      <c r="DL25">
        <v>1.125</v>
      </c>
      <c r="DM25">
        <v>0</v>
      </c>
      <c r="DR25">
        <v>11.51327</v>
      </c>
      <c r="DS25">
        <v>1.03036</v>
      </c>
      <c r="DT25">
        <v>0.0231</v>
      </c>
      <c r="DU25">
        <v>1.6033</v>
      </c>
      <c r="DV25">
        <f t="shared" si="1"/>
        <v>0.885586666666667</v>
      </c>
      <c r="DX25">
        <v>12.06709</v>
      </c>
      <c r="DY25">
        <v>1.48625</v>
      </c>
      <c r="DZ25">
        <v>1.26909</v>
      </c>
      <c r="EA25">
        <v>0.00154</v>
      </c>
      <c r="EB25">
        <f t="shared" si="2"/>
        <v>0.91896</v>
      </c>
      <c r="ED25">
        <v>12.52822</v>
      </c>
      <c r="EE25">
        <v>0.86518</v>
      </c>
      <c r="EF25">
        <v>0.76007</v>
      </c>
      <c r="EG25">
        <v>0.83168</v>
      </c>
      <c r="EH25">
        <f t="shared" si="3"/>
        <v>0.818976666666667</v>
      </c>
      <c r="EJ25">
        <v>11.59808</v>
      </c>
      <c r="EK25">
        <v>1.11314</v>
      </c>
      <c r="EL25">
        <v>1.09413</v>
      </c>
      <c r="EM25">
        <v>0.527</v>
      </c>
      <c r="EN25">
        <f t="shared" si="0"/>
        <v>0.911423333333333</v>
      </c>
    </row>
    <row r="26" spans="24:144">
      <c r="X26">
        <v>11.976</v>
      </c>
      <c r="Y26">
        <v>1.11354006186802</v>
      </c>
      <c r="Z26">
        <v>11.976</v>
      </c>
      <c r="AA26">
        <v>1.1404126304767</v>
      </c>
      <c r="AB26">
        <v>11.976</v>
      </c>
      <c r="AC26">
        <v>1.11644761909893</v>
      </c>
      <c r="AD26">
        <v>11.976</v>
      </c>
      <c r="AE26">
        <v>1.09714070910584</v>
      </c>
      <c r="AF26">
        <v>11.976</v>
      </c>
      <c r="AG26">
        <v>1.10900329581777</v>
      </c>
      <c r="AJ26">
        <v>110</v>
      </c>
      <c r="AK26">
        <v>1.55327268</v>
      </c>
      <c r="AL26">
        <v>2.75337924</v>
      </c>
      <c r="AM26">
        <v>1.28260994</v>
      </c>
      <c r="AN26">
        <v>2.17942949</v>
      </c>
      <c r="AO26">
        <v>2.2312623</v>
      </c>
      <c r="AP26">
        <v>2.9431723</v>
      </c>
      <c r="AQ26">
        <v>1.25270322</v>
      </c>
      <c r="AR26">
        <v>1.95388126</v>
      </c>
      <c r="AS26">
        <v>1.74994323</v>
      </c>
      <c r="AT26">
        <v>2.45656801</v>
      </c>
      <c r="CS26">
        <v>1.175</v>
      </c>
      <c r="CT26">
        <v>0</v>
      </c>
      <c r="CV26">
        <v>1.175</v>
      </c>
      <c r="CW26">
        <v>0</v>
      </c>
      <c r="CX26">
        <v>1.175</v>
      </c>
      <c r="CY26">
        <v>0</v>
      </c>
      <c r="CZ26">
        <v>1.175</v>
      </c>
      <c r="DA26">
        <v>0</v>
      </c>
      <c r="DB26">
        <v>1.175</v>
      </c>
      <c r="DC26">
        <v>0</v>
      </c>
      <c r="DD26">
        <v>1.175</v>
      </c>
      <c r="DE26">
        <v>0</v>
      </c>
      <c r="DF26">
        <v>1.175</v>
      </c>
      <c r="DG26">
        <v>0</v>
      </c>
      <c r="DH26">
        <v>1.175</v>
      </c>
      <c r="DI26">
        <v>0</v>
      </c>
      <c r="DJ26">
        <v>1.175</v>
      </c>
      <c r="DK26">
        <v>0</v>
      </c>
      <c r="DL26">
        <v>1.175</v>
      </c>
      <c r="DM26">
        <v>0</v>
      </c>
      <c r="DR26">
        <v>12.0032</v>
      </c>
      <c r="DS26">
        <v>1.13663</v>
      </c>
      <c r="DT26">
        <v>0</v>
      </c>
      <c r="DU26">
        <v>1.86667</v>
      </c>
      <c r="DV26">
        <f t="shared" si="1"/>
        <v>1.0011</v>
      </c>
      <c r="DX26">
        <v>12.58059</v>
      </c>
      <c r="DY26">
        <v>1.32607</v>
      </c>
      <c r="DZ26">
        <v>1.08427</v>
      </c>
      <c r="EA26">
        <v>0.0154</v>
      </c>
      <c r="EB26">
        <f t="shared" si="2"/>
        <v>0.80858</v>
      </c>
      <c r="ED26">
        <v>13.06134</v>
      </c>
      <c r="EE26">
        <v>0.82129</v>
      </c>
      <c r="EF26">
        <v>0.83861</v>
      </c>
      <c r="EG26">
        <v>0.82822</v>
      </c>
      <c r="EH26">
        <f t="shared" si="3"/>
        <v>0.829373333333333</v>
      </c>
      <c r="EJ26">
        <v>12.07147</v>
      </c>
      <c r="EK26">
        <v>1.16911</v>
      </c>
      <c r="EL26">
        <v>1.21663</v>
      </c>
      <c r="EM26">
        <v>0.50693</v>
      </c>
      <c r="EN26">
        <f t="shared" si="0"/>
        <v>0.964223333333333</v>
      </c>
    </row>
    <row r="27" spans="24:144">
      <c r="X27">
        <v>12.475</v>
      </c>
      <c r="Y27">
        <v>1.11424622395399</v>
      </c>
      <c r="Z27">
        <v>12.475</v>
      </c>
      <c r="AA27">
        <v>1.13401073987352</v>
      </c>
      <c r="AB27">
        <v>12.475</v>
      </c>
      <c r="AC27">
        <v>1.12110862253707</v>
      </c>
      <c r="AD27">
        <v>12.475</v>
      </c>
      <c r="AE27">
        <v>1.09670107010345</v>
      </c>
      <c r="AF27">
        <v>12.475</v>
      </c>
      <c r="AG27">
        <v>1.1056778017603</v>
      </c>
      <c r="AJ27">
        <v>115</v>
      </c>
      <c r="AK27">
        <v>1.57936971</v>
      </c>
      <c r="AL27">
        <v>2.85499271</v>
      </c>
      <c r="AM27">
        <v>1.31471303</v>
      </c>
      <c r="AN27">
        <v>2.25410846</v>
      </c>
      <c r="AO27">
        <v>2.32177415</v>
      </c>
      <c r="AP27">
        <v>3.06133498</v>
      </c>
      <c r="AQ27">
        <v>1.29091046</v>
      </c>
      <c r="AR27">
        <v>1.99557204</v>
      </c>
      <c r="AS27">
        <v>1.8299618</v>
      </c>
      <c r="AT27">
        <v>2.55484071</v>
      </c>
      <c r="CS27">
        <v>1.225</v>
      </c>
      <c r="CT27">
        <v>0</v>
      </c>
      <c r="CV27">
        <v>1.225</v>
      </c>
      <c r="CW27">
        <v>0</v>
      </c>
      <c r="CX27">
        <v>1.225</v>
      </c>
      <c r="CY27">
        <v>0</v>
      </c>
      <c r="CZ27">
        <v>1.225</v>
      </c>
      <c r="DA27">
        <v>0</v>
      </c>
      <c r="DB27">
        <v>1.225</v>
      </c>
      <c r="DC27">
        <v>0</v>
      </c>
      <c r="DD27">
        <v>1.225</v>
      </c>
      <c r="DE27">
        <v>0</v>
      </c>
      <c r="DF27">
        <v>1.225</v>
      </c>
      <c r="DG27">
        <v>0</v>
      </c>
      <c r="DH27">
        <v>1.225</v>
      </c>
      <c r="DI27">
        <v>0</v>
      </c>
      <c r="DJ27">
        <v>1.225</v>
      </c>
      <c r="DK27">
        <v>0</v>
      </c>
      <c r="DL27">
        <v>1.225</v>
      </c>
      <c r="DM27">
        <v>0</v>
      </c>
      <c r="DR27">
        <v>12.49313</v>
      </c>
      <c r="DS27">
        <v>0.45281</v>
      </c>
      <c r="DT27">
        <v>0</v>
      </c>
      <c r="DU27">
        <v>1.52475</v>
      </c>
      <c r="DV27">
        <f t="shared" si="1"/>
        <v>0.659186666666667</v>
      </c>
      <c r="DX27">
        <v>13.09408</v>
      </c>
      <c r="DY27">
        <v>1.19978</v>
      </c>
      <c r="DZ27">
        <v>0.95028</v>
      </c>
      <c r="EA27">
        <v>0.04774</v>
      </c>
      <c r="EB27">
        <f t="shared" si="2"/>
        <v>0.7326</v>
      </c>
      <c r="ED27">
        <v>13.59446</v>
      </c>
      <c r="EE27">
        <v>1.02805</v>
      </c>
      <c r="EF27">
        <v>0.84554</v>
      </c>
      <c r="EG27">
        <v>1.12739</v>
      </c>
      <c r="EH27">
        <f t="shared" si="3"/>
        <v>1.00032666666667</v>
      </c>
      <c r="EJ27">
        <v>12.54486</v>
      </c>
      <c r="EK27">
        <v>1.05716</v>
      </c>
      <c r="EL27">
        <v>1.35498</v>
      </c>
      <c r="EM27">
        <v>0.527</v>
      </c>
      <c r="EN27">
        <f t="shared" si="0"/>
        <v>0.979713333333333</v>
      </c>
    </row>
    <row r="28" spans="24:144">
      <c r="X28">
        <v>12.974</v>
      </c>
      <c r="Y28">
        <v>1.12007351198219</v>
      </c>
      <c r="Z28">
        <v>12.974</v>
      </c>
      <c r="AA28">
        <v>1.13442319310877</v>
      </c>
      <c r="AB28">
        <v>12.974</v>
      </c>
      <c r="AC28">
        <v>1.12042050585471</v>
      </c>
      <c r="AD28">
        <v>12.974</v>
      </c>
      <c r="AE28">
        <v>1.08662584409623</v>
      </c>
      <c r="AF28">
        <v>12.974</v>
      </c>
      <c r="AG28">
        <v>1.11321392094617</v>
      </c>
      <c r="AJ28">
        <v>120</v>
      </c>
      <c r="AK28">
        <v>1.63958695</v>
      </c>
      <c r="AL28">
        <v>2.9425054</v>
      </c>
      <c r="AM28">
        <v>1.35794593</v>
      </c>
      <c r="AN28">
        <v>2.33996381</v>
      </c>
      <c r="AO28">
        <v>2.41841607</v>
      </c>
      <c r="AP28">
        <v>3.18636293</v>
      </c>
      <c r="AQ28">
        <v>1.3278273</v>
      </c>
      <c r="AR28">
        <v>2.05204939</v>
      </c>
      <c r="AS28">
        <v>1.89322797</v>
      </c>
      <c r="AT28">
        <v>2.63419732</v>
      </c>
      <c r="CS28">
        <v>1.275</v>
      </c>
      <c r="CT28">
        <v>0</v>
      </c>
      <c r="CV28">
        <v>1.275</v>
      </c>
      <c r="CW28">
        <v>0</v>
      </c>
      <c r="CX28">
        <v>1.275</v>
      </c>
      <c r="CY28">
        <v>0</v>
      </c>
      <c r="CZ28">
        <v>1.275</v>
      </c>
      <c r="DA28">
        <v>0</v>
      </c>
      <c r="DB28">
        <v>1.275</v>
      </c>
      <c r="DC28">
        <v>0</v>
      </c>
      <c r="DD28">
        <v>1.275</v>
      </c>
      <c r="DE28">
        <v>0</v>
      </c>
      <c r="DF28">
        <v>1.275</v>
      </c>
      <c r="DG28">
        <v>0</v>
      </c>
      <c r="DH28">
        <v>1.275</v>
      </c>
      <c r="DI28">
        <v>0</v>
      </c>
      <c r="DJ28">
        <v>1.275</v>
      </c>
      <c r="DK28">
        <v>0</v>
      </c>
      <c r="DL28">
        <v>1.275</v>
      </c>
      <c r="DM28">
        <v>0</v>
      </c>
      <c r="DR28">
        <v>12.98305</v>
      </c>
      <c r="DS28">
        <v>0.18944</v>
      </c>
      <c r="DT28">
        <v>0</v>
      </c>
      <c r="DU28">
        <v>0.95182</v>
      </c>
      <c r="DV28">
        <f t="shared" si="1"/>
        <v>0.38042</v>
      </c>
      <c r="DX28">
        <v>13.60757</v>
      </c>
      <c r="DY28">
        <v>1.1505</v>
      </c>
      <c r="DZ28">
        <v>0.69153</v>
      </c>
      <c r="EA28">
        <v>0.06469</v>
      </c>
      <c r="EB28">
        <f t="shared" si="2"/>
        <v>0.635573333333333</v>
      </c>
      <c r="ED28">
        <v>14.12757</v>
      </c>
      <c r="EE28">
        <v>0.92871</v>
      </c>
      <c r="EF28">
        <v>0.78548</v>
      </c>
      <c r="EG28">
        <v>1.23944</v>
      </c>
      <c r="EH28">
        <f t="shared" si="3"/>
        <v>0.984543333333333</v>
      </c>
      <c r="EJ28">
        <v>13.01826</v>
      </c>
      <c r="EK28">
        <v>0.92409</v>
      </c>
      <c r="EL28">
        <v>1.22086</v>
      </c>
      <c r="EM28">
        <v>0.55446</v>
      </c>
      <c r="EN28">
        <f t="shared" si="0"/>
        <v>0.899803333333333</v>
      </c>
    </row>
    <row r="29" spans="24:144">
      <c r="X29">
        <v>13.473</v>
      </c>
      <c r="Y29">
        <v>1.11887382776307</v>
      </c>
      <c r="Z29">
        <v>13.473</v>
      </c>
      <c r="AA29">
        <v>1.13856387854443</v>
      </c>
      <c r="AB29">
        <v>13.473</v>
      </c>
      <c r="AC29">
        <v>1.12061085621875</v>
      </c>
      <c r="AD29">
        <v>13.473</v>
      </c>
      <c r="AE29">
        <v>1.08428485614458</v>
      </c>
      <c r="AF29">
        <v>13.473</v>
      </c>
      <c r="AG29">
        <v>1.11060946662513</v>
      </c>
      <c r="AJ29">
        <v>125</v>
      </c>
      <c r="AK29">
        <v>1.68092223</v>
      </c>
      <c r="AL29">
        <v>2.9978218</v>
      </c>
      <c r="AM29">
        <v>1.40947661</v>
      </c>
      <c r="AN29">
        <v>2.41635443</v>
      </c>
      <c r="AO29">
        <v>2.50262761</v>
      </c>
      <c r="AP29">
        <v>3.30590653</v>
      </c>
      <c r="AQ29">
        <v>1.35675309</v>
      </c>
      <c r="AR29">
        <v>2.0936288</v>
      </c>
      <c r="AS29">
        <v>1.99199412</v>
      </c>
      <c r="AT29">
        <v>2.7473475</v>
      </c>
      <c r="BX29" t="s">
        <v>179</v>
      </c>
      <c r="BY29" t="s">
        <v>188</v>
      </c>
      <c r="BZ29" t="s">
        <v>78</v>
      </c>
      <c r="CA29" t="s">
        <v>93</v>
      </c>
      <c r="CB29" t="s">
        <v>4</v>
      </c>
      <c r="CD29" t="s">
        <v>181</v>
      </c>
      <c r="CS29">
        <v>1.325</v>
      </c>
      <c r="CT29">
        <v>0</v>
      </c>
      <c r="CV29">
        <v>1.325</v>
      </c>
      <c r="CW29">
        <v>0</v>
      </c>
      <c r="CX29">
        <v>1.325</v>
      </c>
      <c r="CY29">
        <v>0</v>
      </c>
      <c r="CZ29">
        <v>1.325</v>
      </c>
      <c r="DA29">
        <v>0</v>
      </c>
      <c r="DB29">
        <v>1.325</v>
      </c>
      <c r="DC29">
        <v>0</v>
      </c>
      <c r="DD29">
        <v>1.325</v>
      </c>
      <c r="DE29">
        <v>0</v>
      </c>
      <c r="DF29">
        <v>1.325</v>
      </c>
      <c r="DG29">
        <v>0</v>
      </c>
      <c r="DH29">
        <v>1.325</v>
      </c>
      <c r="DI29">
        <v>0</v>
      </c>
      <c r="DJ29">
        <v>1.325</v>
      </c>
      <c r="DK29">
        <v>0</v>
      </c>
      <c r="DL29">
        <v>1.325</v>
      </c>
      <c r="DM29">
        <v>0</v>
      </c>
      <c r="DR29">
        <v>13.47298</v>
      </c>
      <c r="DS29">
        <v>0.2033</v>
      </c>
      <c r="DT29">
        <v>0.00462</v>
      </c>
      <c r="DU29">
        <v>0.65149</v>
      </c>
      <c r="DV29">
        <f t="shared" si="1"/>
        <v>0.28647</v>
      </c>
      <c r="DX29">
        <v>14.12107</v>
      </c>
      <c r="DY29">
        <v>1.09813</v>
      </c>
      <c r="DZ29">
        <v>0.63916</v>
      </c>
      <c r="EA29">
        <v>0.22332</v>
      </c>
      <c r="EB29">
        <f t="shared" si="2"/>
        <v>0.653536666666667</v>
      </c>
      <c r="ED29">
        <v>14.66069</v>
      </c>
      <c r="EE29">
        <v>0.8236</v>
      </c>
      <c r="EF29">
        <v>0.66766</v>
      </c>
      <c r="EG29">
        <v>1.11353</v>
      </c>
      <c r="EH29">
        <f t="shared" si="3"/>
        <v>0.868263333333333</v>
      </c>
      <c r="EJ29">
        <v>13.49165</v>
      </c>
      <c r="EK29">
        <v>0.89241</v>
      </c>
      <c r="EL29">
        <v>1.35182</v>
      </c>
      <c r="EM29">
        <v>0.43512</v>
      </c>
      <c r="EN29">
        <f t="shared" si="0"/>
        <v>0.893116666666667</v>
      </c>
    </row>
    <row r="30" spans="24:144">
      <c r="X30">
        <v>13.972</v>
      </c>
      <c r="Y30">
        <v>1.11574199514719</v>
      </c>
      <c r="Z30">
        <v>13.972</v>
      </c>
      <c r="AA30">
        <v>1.13186143165692</v>
      </c>
      <c r="AB30">
        <v>13.972</v>
      </c>
      <c r="AC30">
        <v>1.12274157346062</v>
      </c>
      <c r="AD30">
        <v>13.972</v>
      </c>
      <c r="AE30">
        <v>1.09151843491223</v>
      </c>
      <c r="AF30">
        <v>13.972</v>
      </c>
      <c r="AG30">
        <v>1.11378056265755</v>
      </c>
      <c r="AJ30">
        <v>130</v>
      </c>
      <c r="AK30">
        <v>1.7485743</v>
      </c>
      <c r="AL30">
        <v>3.08895183</v>
      </c>
      <c r="AM30">
        <v>1.44387841</v>
      </c>
      <c r="AN30">
        <v>2.48938312</v>
      </c>
      <c r="AO30">
        <v>2.59252064</v>
      </c>
      <c r="AP30">
        <v>3.4210962</v>
      </c>
      <c r="AQ30">
        <v>1.36323843</v>
      </c>
      <c r="AR30">
        <v>2.1038281</v>
      </c>
      <c r="AS30">
        <v>2.07147559</v>
      </c>
      <c r="AT30">
        <v>2.86000335</v>
      </c>
      <c r="BX30">
        <v>0.02</v>
      </c>
      <c r="BY30">
        <v>-13969.55201</v>
      </c>
      <c r="BZ30">
        <v>459.19815</v>
      </c>
      <c r="CA30">
        <v>-14360.677241</v>
      </c>
      <c r="CB30">
        <f t="shared" ref="CB30:CB34" si="16">BY30-BZ30-CA30</f>
        <v>-68.0729190000002</v>
      </c>
      <c r="CC30">
        <v>10</v>
      </c>
      <c r="CD30">
        <f>CB30/CC30</f>
        <v>-6.80729190000002</v>
      </c>
      <c r="CS30">
        <v>1.375</v>
      </c>
      <c r="CT30">
        <v>0</v>
      </c>
      <c r="CV30">
        <v>1.375</v>
      </c>
      <c r="CW30">
        <v>0</v>
      </c>
      <c r="CX30">
        <v>1.375</v>
      </c>
      <c r="CY30">
        <v>0</v>
      </c>
      <c r="CZ30">
        <v>1.375</v>
      </c>
      <c r="DA30">
        <v>0</v>
      </c>
      <c r="DB30">
        <v>1.375</v>
      </c>
      <c r="DC30">
        <v>0</v>
      </c>
      <c r="DD30">
        <v>1.375</v>
      </c>
      <c r="DE30">
        <v>0</v>
      </c>
      <c r="DF30">
        <v>1.375</v>
      </c>
      <c r="DG30">
        <v>0</v>
      </c>
      <c r="DH30">
        <v>1.375</v>
      </c>
      <c r="DI30">
        <v>0</v>
      </c>
      <c r="DJ30">
        <v>1.375</v>
      </c>
      <c r="DK30">
        <v>0</v>
      </c>
      <c r="DL30">
        <v>1.375</v>
      </c>
      <c r="DM30">
        <v>0</v>
      </c>
      <c r="DR30">
        <v>13.9629</v>
      </c>
      <c r="DS30">
        <v>0.21254</v>
      </c>
      <c r="DT30">
        <v>0.08779</v>
      </c>
      <c r="DU30">
        <v>0.74851</v>
      </c>
      <c r="DV30">
        <f t="shared" si="1"/>
        <v>0.349613333333333</v>
      </c>
      <c r="DX30">
        <v>14.63456</v>
      </c>
      <c r="DY30">
        <v>1.16898</v>
      </c>
      <c r="DZ30">
        <v>0.90407</v>
      </c>
      <c r="EA30">
        <v>0.3835</v>
      </c>
      <c r="EB30">
        <f t="shared" si="2"/>
        <v>0.81885</v>
      </c>
      <c r="ED30">
        <v>15.1938</v>
      </c>
      <c r="EE30">
        <v>0.89868</v>
      </c>
      <c r="EF30">
        <v>0.7462</v>
      </c>
      <c r="EG30">
        <v>1.29026</v>
      </c>
      <c r="EH30">
        <f t="shared" si="3"/>
        <v>0.97838</v>
      </c>
      <c r="EJ30">
        <v>13.96504</v>
      </c>
      <c r="EK30">
        <v>0.75723</v>
      </c>
      <c r="EL30">
        <v>1.35287</v>
      </c>
      <c r="EM30">
        <v>0.53228</v>
      </c>
      <c r="EN30">
        <f t="shared" si="0"/>
        <v>0.880793333333333</v>
      </c>
    </row>
    <row r="31" spans="24:144">
      <c r="X31">
        <v>14.471</v>
      </c>
      <c r="Y31">
        <v>1.1170636729505</v>
      </c>
      <c r="Z31">
        <v>14.471</v>
      </c>
      <c r="AA31">
        <v>1.1320187725555</v>
      </c>
      <c r="AB31">
        <v>14.471</v>
      </c>
      <c r="AC31">
        <v>1.12434273096355</v>
      </c>
      <c r="AD31">
        <v>14.471</v>
      </c>
      <c r="AE31">
        <v>1.10328256128229</v>
      </c>
      <c r="AF31">
        <v>14.471</v>
      </c>
      <c r="AG31">
        <v>1.11108763807699</v>
      </c>
      <c r="AJ31">
        <v>135</v>
      </c>
      <c r="AK31">
        <v>1.7869182</v>
      </c>
      <c r="AL31">
        <v>3.18266237</v>
      </c>
      <c r="AM31">
        <v>1.47585205</v>
      </c>
      <c r="AN31">
        <v>2.57952224</v>
      </c>
      <c r="AO31">
        <v>2.66967236</v>
      </c>
      <c r="AP31">
        <v>3.5441943</v>
      </c>
      <c r="AQ31">
        <v>1.37114252</v>
      </c>
      <c r="AR31">
        <v>2.12334974</v>
      </c>
      <c r="AS31">
        <v>2.17613066</v>
      </c>
      <c r="AT31">
        <v>2.99128661</v>
      </c>
      <c r="BX31">
        <v>0.04</v>
      </c>
      <c r="BY31">
        <v>-13436.687836</v>
      </c>
      <c r="BZ31">
        <v>1042.600805</v>
      </c>
      <c r="CA31">
        <v>-14358.571755</v>
      </c>
      <c r="CB31">
        <f t="shared" si="16"/>
        <v>-120.716885999998</v>
      </c>
      <c r="CC31">
        <v>20</v>
      </c>
      <c r="CD31">
        <f>CB31/CC31</f>
        <v>-6.03584429999992</v>
      </c>
      <c r="CS31">
        <v>1.425</v>
      </c>
      <c r="CT31">
        <v>0</v>
      </c>
      <c r="CV31">
        <v>1.425</v>
      </c>
      <c r="CW31">
        <v>0</v>
      </c>
      <c r="CX31">
        <v>1.425</v>
      </c>
      <c r="CY31">
        <v>0</v>
      </c>
      <c r="CZ31">
        <v>1.425</v>
      </c>
      <c r="DA31">
        <v>0</v>
      </c>
      <c r="DB31">
        <v>1.425</v>
      </c>
      <c r="DC31">
        <v>0</v>
      </c>
      <c r="DD31">
        <v>1.425</v>
      </c>
      <c r="DE31">
        <v>0</v>
      </c>
      <c r="DF31">
        <v>1.425</v>
      </c>
      <c r="DG31">
        <v>0</v>
      </c>
      <c r="DH31">
        <v>1.425</v>
      </c>
      <c r="DI31">
        <v>0</v>
      </c>
      <c r="DJ31">
        <v>1.425</v>
      </c>
      <c r="DK31">
        <v>0</v>
      </c>
      <c r="DL31">
        <v>1.425</v>
      </c>
      <c r="DM31">
        <v>0</v>
      </c>
      <c r="DR31">
        <v>14.45283</v>
      </c>
      <c r="DS31">
        <v>0.0231</v>
      </c>
      <c r="DT31">
        <v>0.24026</v>
      </c>
      <c r="DU31">
        <v>0.69307</v>
      </c>
      <c r="DV31">
        <f t="shared" si="1"/>
        <v>0.31881</v>
      </c>
      <c r="DX31">
        <v>15.14805</v>
      </c>
      <c r="DY31">
        <v>1.29835</v>
      </c>
      <c r="DZ31">
        <v>0.99186</v>
      </c>
      <c r="EA31">
        <v>0.73157</v>
      </c>
      <c r="EB31">
        <f t="shared" si="2"/>
        <v>1.00726</v>
      </c>
      <c r="ED31">
        <v>15.72692</v>
      </c>
      <c r="EE31">
        <v>0.91023</v>
      </c>
      <c r="EF31">
        <v>0.9137</v>
      </c>
      <c r="EG31">
        <v>1.26139</v>
      </c>
      <c r="EH31">
        <f t="shared" si="3"/>
        <v>1.02844</v>
      </c>
      <c r="EJ31">
        <v>14.43843</v>
      </c>
      <c r="EK31">
        <v>0.8565</v>
      </c>
      <c r="EL31">
        <v>1.28528</v>
      </c>
      <c r="EM31">
        <v>0.33267</v>
      </c>
      <c r="EN31">
        <f t="shared" si="0"/>
        <v>0.824816666666667</v>
      </c>
    </row>
    <row r="32" spans="24:144">
      <c r="X32">
        <v>14.97</v>
      </c>
      <c r="Y32">
        <v>1.11482834032</v>
      </c>
      <c r="Z32">
        <v>14.97</v>
      </c>
      <c r="AA32">
        <v>1.13316247667564</v>
      </c>
      <c r="AB32">
        <v>14.97</v>
      </c>
      <c r="AC32">
        <v>1.13013470122872</v>
      </c>
      <c r="AD32">
        <v>14.97</v>
      </c>
      <c r="AE32">
        <v>1.1112793232289</v>
      </c>
      <c r="AF32">
        <v>14.97</v>
      </c>
      <c r="AG32">
        <v>1.11770379813775</v>
      </c>
      <c r="AJ32">
        <v>140</v>
      </c>
      <c r="AK32">
        <v>1.82856938</v>
      </c>
      <c r="AL32">
        <v>3.26818984</v>
      </c>
      <c r="AM32">
        <v>1.52359843</v>
      </c>
      <c r="AN32">
        <v>2.65536082</v>
      </c>
      <c r="AO32">
        <v>2.73773159</v>
      </c>
      <c r="AP32">
        <v>3.63086325</v>
      </c>
      <c r="AQ32">
        <v>1.37264443</v>
      </c>
      <c r="AR32">
        <v>2.14731332</v>
      </c>
      <c r="AS32">
        <v>2.24649809</v>
      </c>
      <c r="AT32">
        <v>3.09260154</v>
      </c>
      <c r="BX32">
        <v>0.06</v>
      </c>
      <c r="BY32">
        <v>-12441.875975</v>
      </c>
      <c r="BZ32">
        <v>1756.664748</v>
      </c>
      <c r="CA32">
        <v>-14319.037908</v>
      </c>
      <c r="CB32">
        <f t="shared" si="16"/>
        <v>120.497185</v>
      </c>
      <c r="CC32">
        <v>30</v>
      </c>
      <c r="CD32">
        <f>CB32/CC32</f>
        <v>4.01657283333334</v>
      </c>
      <c r="CS32">
        <v>1.475</v>
      </c>
      <c r="CT32">
        <v>0</v>
      </c>
      <c r="CV32">
        <v>1.475</v>
      </c>
      <c r="CW32">
        <v>0</v>
      </c>
      <c r="CX32">
        <v>1.475</v>
      </c>
      <c r="CY32">
        <v>0</v>
      </c>
      <c r="CZ32">
        <v>1.475</v>
      </c>
      <c r="DA32">
        <v>0</v>
      </c>
      <c r="DB32">
        <v>1.475</v>
      </c>
      <c r="DC32">
        <v>0</v>
      </c>
      <c r="DD32">
        <v>1.475</v>
      </c>
      <c r="DE32">
        <v>0</v>
      </c>
      <c r="DF32">
        <v>1.475</v>
      </c>
      <c r="DG32">
        <v>0</v>
      </c>
      <c r="DH32">
        <v>1.475</v>
      </c>
      <c r="DI32">
        <v>0</v>
      </c>
      <c r="DJ32">
        <v>1.475</v>
      </c>
      <c r="DK32">
        <v>0</v>
      </c>
      <c r="DL32">
        <v>1.475</v>
      </c>
      <c r="DM32">
        <v>0</v>
      </c>
      <c r="DR32">
        <v>14.94276</v>
      </c>
      <c r="DS32">
        <v>0</v>
      </c>
      <c r="DT32">
        <v>0.48053</v>
      </c>
      <c r="DU32">
        <v>0.73465</v>
      </c>
      <c r="DV32">
        <f t="shared" si="1"/>
        <v>0.40506</v>
      </c>
      <c r="DX32">
        <v>15.66155</v>
      </c>
      <c r="DY32">
        <v>1.64796</v>
      </c>
      <c r="DZ32">
        <v>1.00572</v>
      </c>
      <c r="EA32">
        <v>0.95028</v>
      </c>
      <c r="EB32">
        <f t="shared" si="2"/>
        <v>1.20132</v>
      </c>
      <c r="ED32">
        <v>16.26003</v>
      </c>
      <c r="EE32">
        <v>1.05693</v>
      </c>
      <c r="EF32">
        <v>0.93911</v>
      </c>
      <c r="EG32">
        <v>1.32492</v>
      </c>
      <c r="EH32">
        <f t="shared" si="3"/>
        <v>1.10698666666667</v>
      </c>
      <c r="EJ32">
        <v>14.91182</v>
      </c>
      <c r="EK32">
        <v>0.95472</v>
      </c>
      <c r="EL32">
        <v>1.14271</v>
      </c>
      <c r="EM32">
        <v>0.29465</v>
      </c>
      <c r="EN32">
        <f t="shared" si="0"/>
        <v>0.79736</v>
      </c>
    </row>
    <row r="33" spans="24:144">
      <c r="X33">
        <v>15.469</v>
      </c>
      <c r="Y33">
        <v>1.1257755229232</v>
      </c>
      <c r="Z33">
        <v>15.469</v>
      </c>
      <c r="AA33">
        <v>1.1235816177447</v>
      </c>
      <c r="AB33">
        <v>15.469</v>
      </c>
      <c r="AC33">
        <v>1.12736931006987</v>
      </c>
      <c r="AD33">
        <v>15.469</v>
      </c>
      <c r="AE33">
        <v>1.10739913383167</v>
      </c>
      <c r="AF33">
        <v>15.469</v>
      </c>
      <c r="AG33">
        <v>1.11830073680158</v>
      </c>
      <c r="AJ33">
        <v>145</v>
      </c>
      <c r="AK33">
        <v>1.89079576</v>
      </c>
      <c r="AL33">
        <v>3.35553158</v>
      </c>
      <c r="AM33">
        <v>1.57537256</v>
      </c>
      <c r="AN33">
        <v>2.73991045</v>
      </c>
      <c r="AO33">
        <v>2.83374407</v>
      </c>
      <c r="AP33">
        <v>3.75613677</v>
      </c>
      <c r="AQ33">
        <v>1.41495637</v>
      </c>
      <c r="AR33">
        <v>2.20361239</v>
      </c>
      <c r="AS33">
        <v>2.33516894</v>
      </c>
      <c r="AT33">
        <v>3.21888105</v>
      </c>
      <c r="BX33">
        <v>0.08</v>
      </c>
      <c r="BY33">
        <v>-12175.677197</v>
      </c>
      <c r="BZ33">
        <v>2126.36332</v>
      </c>
      <c r="CA33">
        <v>-14251.294367</v>
      </c>
      <c r="CB33">
        <f t="shared" si="16"/>
        <v>-50.7461500000009</v>
      </c>
      <c r="CC33">
        <v>40</v>
      </c>
      <c r="CD33">
        <f>CB33/CC33</f>
        <v>-1.26865375000002</v>
      </c>
      <c r="CS33">
        <v>1.525</v>
      </c>
      <c r="CT33">
        <v>0</v>
      </c>
      <c r="CV33">
        <v>1.525</v>
      </c>
      <c r="CW33">
        <v>0</v>
      </c>
      <c r="CX33">
        <v>1.525</v>
      </c>
      <c r="CY33">
        <v>0</v>
      </c>
      <c r="CZ33">
        <v>1.525</v>
      </c>
      <c r="DA33">
        <v>0</v>
      </c>
      <c r="DB33">
        <v>1.525</v>
      </c>
      <c r="DC33">
        <v>0</v>
      </c>
      <c r="DD33">
        <v>1.525</v>
      </c>
      <c r="DE33">
        <v>0</v>
      </c>
      <c r="DF33">
        <v>1.525</v>
      </c>
      <c r="DG33">
        <v>0</v>
      </c>
      <c r="DH33">
        <v>1.525</v>
      </c>
      <c r="DI33">
        <v>0</v>
      </c>
      <c r="DJ33">
        <v>1.525</v>
      </c>
      <c r="DK33">
        <v>0</v>
      </c>
      <c r="DL33">
        <v>1.525</v>
      </c>
      <c r="DM33">
        <v>0</v>
      </c>
      <c r="DR33">
        <v>15.43268</v>
      </c>
      <c r="DS33">
        <v>0</v>
      </c>
      <c r="DT33">
        <v>0.70693</v>
      </c>
      <c r="DU33">
        <v>0.80858</v>
      </c>
      <c r="DV33">
        <f t="shared" si="1"/>
        <v>0.50517</v>
      </c>
      <c r="DX33">
        <v>16.17504</v>
      </c>
      <c r="DY33">
        <v>1.45853</v>
      </c>
      <c r="DZ33">
        <v>0.7978</v>
      </c>
      <c r="EA33">
        <v>1.4077</v>
      </c>
      <c r="EB33">
        <f t="shared" si="2"/>
        <v>1.22134333333333</v>
      </c>
      <c r="ED33">
        <v>16.79315</v>
      </c>
      <c r="EE33">
        <v>1.21518</v>
      </c>
      <c r="EF33">
        <v>0.93564</v>
      </c>
      <c r="EG33">
        <v>1.1967</v>
      </c>
      <c r="EH33">
        <f t="shared" si="3"/>
        <v>1.11584</v>
      </c>
      <c r="EJ33">
        <v>15.38521</v>
      </c>
      <c r="EK33">
        <v>0.83644</v>
      </c>
      <c r="EL33">
        <v>1.073</v>
      </c>
      <c r="EM33">
        <v>0.32</v>
      </c>
      <c r="EN33">
        <f t="shared" si="0"/>
        <v>0.743146666666667</v>
      </c>
    </row>
    <row r="34" spans="24:144">
      <c r="X34">
        <v>15.968</v>
      </c>
      <c r="Y34">
        <v>1.1194725764585</v>
      </c>
      <c r="Z34">
        <v>15.968</v>
      </c>
      <c r="AA34">
        <v>1.11569348794398</v>
      </c>
      <c r="AB34">
        <v>15.968</v>
      </c>
      <c r="AC34">
        <v>1.13318124768866</v>
      </c>
      <c r="AD34">
        <v>15.968</v>
      </c>
      <c r="AE34">
        <v>1.11213968249034</v>
      </c>
      <c r="AF34">
        <v>15.968</v>
      </c>
      <c r="AG34">
        <v>1.11723931360823</v>
      </c>
      <c r="AJ34">
        <v>150</v>
      </c>
      <c r="AK34">
        <v>1.93290722</v>
      </c>
      <c r="AL34">
        <v>3.42256382</v>
      </c>
      <c r="AM34">
        <v>1.62432535</v>
      </c>
      <c r="AN34">
        <v>2.80576134</v>
      </c>
      <c r="AO34">
        <v>2.91026928</v>
      </c>
      <c r="AP34">
        <v>3.84428726</v>
      </c>
      <c r="AQ34">
        <v>1.42667092</v>
      </c>
      <c r="AR34">
        <v>2.23507815</v>
      </c>
      <c r="AS34">
        <v>2.4347255</v>
      </c>
      <c r="AT34">
        <v>3.32894294</v>
      </c>
      <c r="BX34">
        <v>0.1</v>
      </c>
      <c r="BY34">
        <v>-11732.667178</v>
      </c>
      <c r="BZ34">
        <v>2665.673123</v>
      </c>
      <c r="CA34">
        <v>-14232.501284</v>
      </c>
      <c r="CB34">
        <f t="shared" si="16"/>
        <v>-165.839017</v>
      </c>
      <c r="CC34">
        <v>50</v>
      </c>
      <c r="CD34">
        <f>CB34/CC34</f>
        <v>-3.31678034</v>
      </c>
      <c r="CS34">
        <v>1.575</v>
      </c>
      <c r="CT34">
        <v>0</v>
      </c>
      <c r="CV34">
        <v>1.575</v>
      </c>
      <c r="CW34">
        <v>0</v>
      </c>
      <c r="CX34">
        <v>1.575</v>
      </c>
      <c r="CY34">
        <v>0</v>
      </c>
      <c r="CZ34">
        <v>1.575</v>
      </c>
      <c r="DA34">
        <v>0</v>
      </c>
      <c r="DB34">
        <v>1.575</v>
      </c>
      <c r="DC34">
        <v>0</v>
      </c>
      <c r="DD34">
        <v>1.575</v>
      </c>
      <c r="DE34">
        <v>0</v>
      </c>
      <c r="DF34">
        <v>1.575</v>
      </c>
      <c r="DG34">
        <v>0</v>
      </c>
      <c r="DH34">
        <v>1.575</v>
      </c>
      <c r="DI34">
        <v>0</v>
      </c>
      <c r="DJ34">
        <v>1.575</v>
      </c>
      <c r="DK34">
        <v>0</v>
      </c>
      <c r="DL34">
        <v>1.575</v>
      </c>
      <c r="DM34">
        <v>0</v>
      </c>
      <c r="DR34">
        <v>15.92261</v>
      </c>
      <c r="DS34">
        <v>0.05545</v>
      </c>
      <c r="DT34">
        <v>0.8363</v>
      </c>
      <c r="DU34">
        <v>1.16436</v>
      </c>
      <c r="DV34">
        <f t="shared" si="1"/>
        <v>0.68537</v>
      </c>
      <c r="DX34">
        <v>16.68853</v>
      </c>
      <c r="DY34">
        <v>1.56326</v>
      </c>
      <c r="DZ34">
        <v>0.79318</v>
      </c>
      <c r="EA34">
        <v>1.30297</v>
      </c>
      <c r="EB34">
        <f t="shared" si="2"/>
        <v>1.21980333333333</v>
      </c>
      <c r="ED34">
        <v>17.32627</v>
      </c>
      <c r="EE34">
        <v>1.23366</v>
      </c>
      <c r="EF34">
        <v>1.04769</v>
      </c>
      <c r="EG34">
        <v>1.12046</v>
      </c>
      <c r="EH34">
        <f t="shared" si="3"/>
        <v>1.13393666666667</v>
      </c>
      <c r="EJ34">
        <v>15.8586</v>
      </c>
      <c r="EK34">
        <v>0.7266</v>
      </c>
      <c r="EL34">
        <v>1.27578</v>
      </c>
      <c r="EM34">
        <v>0.29043</v>
      </c>
      <c r="EN34">
        <f t="shared" ref="EN34:EN65" si="17">AVERAGE(EK34:EM34)</f>
        <v>0.76427</v>
      </c>
    </row>
    <row r="35" spans="24:144">
      <c r="X35">
        <v>16.467</v>
      </c>
      <c r="Y35">
        <v>1.12100632881485</v>
      </c>
      <c r="Z35">
        <v>16.467</v>
      </c>
      <c r="AA35">
        <v>1.12514885967958</v>
      </c>
      <c r="AB35">
        <v>16.467</v>
      </c>
      <c r="AC35">
        <v>1.12650223036129</v>
      </c>
      <c r="AD35">
        <v>16.467</v>
      </c>
      <c r="AE35">
        <v>1.1143834152478</v>
      </c>
      <c r="AF35">
        <v>16.467</v>
      </c>
      <c r="AG35">
        <v>1.12259850193085</v>
      </c>
      <c r="AJ35">
        <v>155</v>
      </c>
      <c r="AK35">
        <v>1.99186056</v>
      </c>
      <c r="AL35">
        <v>3.5098991</v>
      </c>
      <c r="AM35">
        <v>1.69087655</v>
      </c>
      <c r="AN35">
        <v>2.90760218</v>
      </c>
      <c r="AO35">
        <v>2.9935331</v>
      </c>
      <c r="AP35">
        <v>3.97234122</v>
      </c>
      <c r="AQ35">
        <v>1.45573159</v>
      </c>
      <c r="AR35">
        <v>2.2887371</v>
      </c>
      <c r="AS35">
        <v>2.5231503</v>
      </c>
      <c r="AT35">
        <v>3.45134828</v>
      </c>
      <c r="CS35">
        <v>1.625</v>
      </c>
      <c r="CT35">
        <v>0.04768571</v>
      </c>
      <c r="CV35">
        <v>1.625</v>
      </c>
      <c r="CW35">
        <v>0</v>
      </c>
      <c r="CX35">
        <v>1.625</v>
      </c>
      <c r="CY35">
        <v>0</v>
      </c>
      <c r="CZ35">
        <v>1.625</v>
      </c>
      <c r="DA35">
        <v>0.16111154</v>
      </c>
      <c r="DB35">
        <v>1.625</v>
      </c>
      <c r="DC35">
        <v>0.01830964</v>
      </c>
      <c r="DD35">
        <v>1.625</v>
      </c>
      <c r="DE35">
        <v>0</v>
      </c>
      <c r="DF35">
        <v>1.625</v>
      </c>
      <c r="DG35">
        <v>0.01536123</v>
      </c>
      <c r="DH35">
        <v>1.625</v>
      </c>
      <c r="DI35">
        <v>0</v>
      </c>
      <c r="DJ35">
        <v>1.625</v>
      </c>
      <c r="DK35">
        <v>0.02569964</v>
      </c>
      <c r="DL35">
        <v>1.625</v>
      </c>
      <c r="DM35">
        <v>0</v>
      </c>
      <c r="DR35">
        <v>16.41254</v>
      </c>
      <c r="DS35">
        <v>0.31419</v>
      </c>
      <c r="DT35">
        <v>0.89175</v>
      </c>
      <c r="DU35">
        <v>1.14587</v>
      </c>
      <c r="DV35">
        <f t="shared" ref="DV35:DV66" si="18">AVERAGE(DS35:DU35)</f>
        <v>0.783936666666667</v>
      </c>
      <c r="DX35">
        <v>17.20203</v>
      </c>
      <c r="DY35">
        <v>1.74191</v>
      </c>
      <c r="DZ35">
        <v>1.07041</v>
      </c>
      <c r="EA35">
        <v>1.42464</v>
      </c>
      <c r="EB35">
        <f t="shared" ref="EB35:EB66" si="19">AVERAGE(DY35:EA35)</f>
        <v>1.41232</v>
      </c>
      <c r="ED35">
        <v>17.85938</v>
      </c>
      <c r="EE35">
        <v>1.26023</v>
      </c>
      <c r="EF35">
        <v>1.03498</v>
      </c>
      <c r="EG35">
        <v>0.89059</v>
      </c>
      <c r="EH35">
        <f t="shared" ref="EH35:EH66" si="20">AVERAGE(EE35:EG35)</f>
        <v>1.06193333333333</v>
      </c>
      <c r="EJ35">
        <v>16.33199</v>
      </c>
      <c r="EK35">
        <v>0.70442</v>
      </c>
      <c r="EL35">
        <v>1.18812</v>
      </c>
      <c r="EM35">
        <v>0.43723</v>
      </c>
      <c r="EN35">
        <f t="shared" si="17"/>
        <v>0.77659</v>
      </c>
    </row>
    <row r="36" spans="24:144">
      <c r="X36">
        <v>16.966</v>
      </c>
      <c r="Y36">
        <v>1.12111391134102</v>
      </c>
      <c r="Z36">
        <v>16.966</v>
      </c>
      <c r="AA36">
        <v>1.12552967807312</v>
      </c>
      <c r="AB36">
        <v>16.966</v>
      </c>
      <c r="AC36">
        <v>1.13368380284435</v>
      </c>
      <c r="AD36">
        <v>16.966</v>
      </c>
      <c r="AE36">
        <v>1.11962813260648</v>
      </c>
      <c r="AF36">
        <v>16.966</v>
      </c>
      <c r="AG36">
        <v>1.1208953180655</v>
      </c>
      <c r="AJ36">
        <v>160</v>
      </c>
      <c r="AK36">
        <v>2.04238387</v>
      </c>
      <c r="AL36">
        <v>3.58195945</v>
      </c>
      <c r="AM36">
        <v>1.72692907</v>
      </c>
      <c r="AN36">
        <v>2.9775673</v>
      </c>
      <c r="AO36">
        <v>3.06890701</v>
      </c>
      <c r="AP36">
        <v>4.07728802</v>
      </c>
      <c r="AQ36">
        <v>1.48885411</v>
      </c>
      <c r="AR36">
        <v>2.34150971</v>
      </c>
      <c r="AS36">
        <v>2.59985867</v>
      </c>
      <c r="AT36">
        <v>3.56507645</v>
      </c>
      <c r="CS36">
        <v>1.675</v>
      </c>
      <c r="CT36">
        <v>0.17952602</v>
      </c>
      <c r="CV36">
        <v>1.675</v>
      </c>
      <c r="CW36">
        <v>0</v>
      </c>
      <c r="CX36">
        <v>1.675</v>
      </c>
      <c r="CY36">
        <v>0.14413042</v>
      </c>
      <c r="CZ36">
        <v>1.675</v>
      </c>
      <c r="DA36">
        <v>0</v>
      </c>
      <c r="DB36">
        <v>1.675</v>
      </c>
      <c r="DC36">
        <v>0.03446584</v>
      </c>
      <c r="DD36">
        <v>1.675</v>
      </c>
      <c r="DE36">
        <v>0</v>
      </c>
      <c r="DF36">
        <v>1.675</v>
      </c>
      <c r="DG36">
        <v>0.10120529</v>
      </c>
      <c r="DH36">
        <v>1.675</v>
      </c>
      <c r="DI36">
        <v>0.04563274</v>
      </c>
      <c r="DJ36">
        <v>1.675</v>
      </c>
      <c r="DK36">
        <v>0.2056009</v>
      </c>
      <c r="DL36">
        <v>1.675</v>
      </c>
      <c r="DM36">
        <v>0.03053778</v>
      </c>
      <c r="DR36">
        <v>16.90246</v>
      </c>
      <c r="DS36">
        <v>0.48977</v>
      </c>
      <c r="DT36">
        <v>0.77624</v>
      </c>
      <c r="DU36">
        <v>0.76238</v>
      </c>
      <c r="DV36">
        <f t="shared" si="18"/>
        <v>0.67613</v>
      </c>
      <c r="DX36">
        <v>17.71552</v>
      </c>
      <c r="DY36">
        <v>1.67723</v>
      </c>
      <c r="DZ36">
        <v>0.95798</v>
      </c>
      <c r="EA36">
        <v>1.75732</v>
      </c>
      <c r="EB36">
        <f t="shared" si="19"/>
        <v>1.46417666666667</v>
      </c>
      <c r="ED36">
        <v>18.3925</v>
      </c>
      <c r="EE36">
        <v>1.35842</v>
      </c>
      <c r="EF36">
        <v>0.70231</v>
      </c>
      <c r="EG36">
        <v>0.93564</v>
      </c>
      <c r="EH36">
        <f t="shared" si="20"/>
        <v>0.99879</v>
      </c>
      <c r="EJ36">
        <v>16.80538</v>
      </c>
      <c r="EK36">
        <v>0.68647</v>
      </c>
      <c r="EL36">
        <v>1.38983</v>
      </c>
      <c r="EM36">
        <v>0.49743</v>
      </c>
      <c r="EN36">
        <f t="shared" si="17"/>
        <v>0.85791</v>
      </c>
    </row>
    <row r="37" spans="24:144">
      <c r="X37">
        <v>17.465</v>
      </c>
      <c r="Y37">
        <v>1.11380765472796</v>
      </c>
      <c r="Z37">
        <v>17.465</v>
      </c>
      <c r="AA37">
        <v>1.12999491973082</v>
      </c>
      <c r="AB37">
        <v>17.465</v>
      </c>
      <c r="AC37">
        <v>1.12816710188626</v>
      </c>
      <c r="AD37">
        <v>17.465</v>
      </c>
      <c r="AE37">
        <v>1.12366526652647</v>
      </c>
      <c r="AF37">
        <v>17.465</v>
      </c>
      <c r="AG37">
        <v>1.12189856150515</v>
      </c>
      <c r="AJ37">
        <v>165</v>
      </c>
      <c r="AK37">
        <v>2.07709066</v>
      </c>
      <c r="AL37">
        <v>3.62451443</v>
      </c>
      <c r="AM37">
        <v>1.78856501</v>
      </c>
      <c r="AN37">
        <v>3.07180153</v>
      </c>
      <c r="AO37">
        <v>3.13506198</v>
      </c>
      <c r="AP37">
        <v>4.19104935</v>
      </c>
      <c r="AQ37">
        <v>1.50125802</v>
      </c>
      <c r="AR37">
        <v>2.35769183</v>
      </c>
      <c r="AS37">
        <v>2.69295528</v>
      </c>
      <c r="AT37">
        <v>3.70119662</v>
      </c>
      <c r="CS37">
        <v>1.725</v>
      </c>
      <c r="CT37">
        <v>0.97330401</v>
      </c>
      <c r="CV37">
        <v>1.725</v>
      </c>
      <c r="CW37">
        <v>1.60277781</v>
      </c>
      <c r="CX37">
        <v>1.725</v>
      </c>
      <c r="CY37">
        <v>0.97392635</v>
      </c>
      <c r="CZ37">
        <v>1.725</v>
      </c>
      <c r="DA37">
        <v>1.00082257</v>
      </c>
      <c r="DB37">
        <v>1.725</v>
      </c>
      <c r="DC37">
        <v>0.84491968</v>
      </c>
      <c r="DD37">
        <v>1.725</v>
      </c>
      <c r="DE37">
        <v>0.88892591</v>
      </c>
      <c r="DF37">
        <v>1.725</v>
      </c>
      <c r="DG37">
        <v>1.00876535</v>
      </c>
      <c r="DH37">
        <v>1.725</v>
      </c>
      <c r="DI37">
        <v>1.03262129</v>
      </c>
      <c r="DJ37">
        <v>1.725</v>
      </c>
      <c r="DK37">
        <v>0.90085822</v>
      </c>
      <c r="DL37">
        <v>1.725</v>
      </c>
      <c r="DM37">
        <v>0.83500434</v>
      </c>
      <c r="DR37">
        <v>17.39239</v>
      </c>
      <c r="DS37">
        <v>0.5637</v>
      </c>
      <c r="DT37">
        <v>0.91947</v>
      </c>
      <c r="DU37">
        <v>0.71617</v>
      </c>
      <c r="DV37">
        <f t="shared" si="18"/>
        <v>0.733113333333333</v>
      </c>
      <c r="DX37">
        <v>18.22901</v>
      </c>
      <c r="DY37">
        <v>1.29681</v>
      </c>
      <c r="DZ37">
        <v>1.03652</v>
      </c>
      <c r="EA37">
        <v>1.8451</v>
      </c>
      <c r="EB37">
        <f t="shared" si="19"/>
        <v>1.39281</v>
      </c>
      <c r="ED37">
        <v>18.92561</v>
      </c>
      <c r="EE37">
        <v>1.26139</v>
      </c>
      <c r="EF37">
        <v>0.74851</v>
      </c>
      <c r="EG37">
        <v>1.2198</v>
      </c>
      <c r="EH37">
        <f t="shared" si="20"/>
        <v>1.07656666666667</v>
      </c>
      <c r="EJ37">
        <v>17.27878</v>
      </c>
      <c r="EK37">
        <v>0.69914</v>
      </c>
      <c r="EL37">
        <v>1.25043</v>
      </c>
      <c r="EM37">
        <v>0.69809</v>
      </c>
      <c r="EN37">
        <f t="shared" si="17"/>
        <v>0.882553333333333</v>
      </c>
    </row>
    <row r="38" spans="24:144">
      <c r="X38">
        <v>17.964</v>
      </c>
      <c r="Y38">
        <v>1.11796576010959</v>
      </c>
      <c r="Z38">
        <v>17.964</v>
      </c>
      <c r="AA38">
        <v>1.14219832414812</v>
      </c>
      <c r="AB38">
        <v>17.964</v>
      </c>
      <c r="AC38">
        <v>1.1308108352651</v>
      </c>
      <c r="AD38">
        <v>17.964</v>
      </c>
      <c r="AE38">
        <v>1.11535497661181</v>
      </c>
      <c r="AF38">
        <v>17.964</v>
      </c>
      <c r="AG38">
        <v>1.12300102207848</v>
      </c>
      <c r="AJ38">
        <v>170</v>
      </c>
      <c r="AK38">
        <v>2.13069808</v>
      </c>
      <c r="AL38">
        <v>3.72675767</v>
      </c>
      <c r="AM38">
        <v>1.84522678</v>
      </c>
      <c r="AN38">
        <v>3.17185797</v>
      </c>
      <c r="AO38">
        <v>3.2426787</v>
      </c>
      <c r="AP38">
        <v>4.30383884</v>
      </c>
      <c r="AQ38">
        <v>1.53144789</v>
      </c>
      <c r="AR38">
        <v>2.38934639</v>
      </c>
      <c r="AS38">
        <v>2.77112116</v>
      </c>
      <c r="AT38">
        <v>3.79994343</v>
      </c>
      <c r="CS38">
        <v>1.775</v>
      </c>
      <c r="CT38">
        <v>4.55626214</v>
      </c>
      <c r="CV38">
        <v>1.775</v>
      </c>
      <c r="CW38">
        <v>16.14675354</v>
      </c>
      <c r="CX38">
        <v>1.775</v>
      </c>
      <c r="CY38">
        <v>4.44942784</v>
      </c>
      <c r="CZ38">
        <v>1.775</v>
      </c>
      <c r="DA38">
        <v>8.37209049</v>
      </c>
      <c r="DB38">
        <v>1.775</v>
      </c>
      <c r="DC38">
        <v>3.42215847</v>
      </c>
      <c r="DD38">
        <v>1.775</v>
      </c>
      <c r="DE38">
        <v>11.43085331</v>
      </c>
      <c r="DF38">
        <v>1.775</v>
      </c>
      <c r="DG38">
        <v>4.15857112</v>
      </c>
      <c r="DH38">
        <v>1.775</v>
      </c>
      <c r="DI38">
        <v>6.86751649</v>
      </c>
      <c r="DJ38">
        <v>1.775</v>
      </c>
      <c r="DK38">
        <v>3.83409195</v>
      </c>
      <c r="DL38">
        <v>1.775</v>
      </c>
      <c r="DM38">
        <v>6.71693061</v>
      </c>
      <c r="DR38">
        <v>17.88232</v>
      </c>
      <c r="DS38">
        <v>0.71155</v>
      </c>
      <c r="DT38">
        <v>0.87327</v>
      </c>
      <c r="DU38">
        <v>0.60066</v>
      </c>
      <c r="DV38">
        <f t="shared" si="18"/>
        <v>0.728493333333333</v>
      </c>
      <c r="DX38">
        <v>18.74251</v>
      </c>
      <c r="DY38">
        <v>0.81628</v>
      </c>
      <c r="DZ38">
        <v>0.93025</v>
      </c>
      <c r="EA38">
        <v>1.5802</v>
      </c>
      <c r="EB38">
        <f t="shared" si="19"/>
        <v>1.10891</v>
      </c>
      <c r="ED38">
        <v>19.45873</v>
      </c>
      <c r="EE38">
        <v>1.14703</v>
      </c>
      <c r="EF38">
        <v>1.03498</v>
      </c>
      <c r="EG38">
        <v>1.29373</v>
      </c>
      <c r="EH38">
        <f t="shared" si="20"/>
        <v>1.15858</v>
      </c>
      <c r="EJ38">
        <v>17.75217</v>
      </c>
      <c r="EK38">
        <v>0.61888</v>
      </c>
      <c r="EL38">
        <v>1.1596</v>
      </c>
      <c r="EM38">
        <v>0.88924</v>
      </c>
      <c r="EN38">
        <f t="shared" si="17"/>
        <v>0.88924</v>
      </c>
    </row>
    <row r="39" spans="24:144">
      <c r="X39">
        <v>18.463</v>
      </c>
      <c r="Y39">
        <v>1.11426481224926</v>
      </c>
      <c r="Z39">
        <v>18.463</v>
      </c>
      <c r="AA39">
        <v>1.13799332831988</v>
      </c>
      <c r="AB39">
        <v>18.463</v>
      </c>
      <c r="AC39">
        <v>1.12615153763141</v>
      </c>
      <c r="AD39">
        <v>18.463</v>
      </c>
      <c r="AE39">
        <v>1.11044524105448</v>
      </c>
      <c r="AF39">
        <v>18.463</v>
      </c>
      <c r="AG39">
        <v>1.11994262748452</v>
      </c>
      <c r="AJ39">
        <v>175</v>
      </c>
      <c r="AK39">
        <v>2.20376898</v>
      </c>
      <c r="AL39">
        <v>3.82392414</v>
      </c>
      <c r="AM39">
        <v>1.89627798</v>
      </c>
      <c r="AN39">
        <v>3.24912153</v>
      </c>
      <c r="AO39">
        <v>3.32252884</v>
      </c>
      <c r="AP39">
        <v>4.43749503</v>
      </c>
      <c r="AQ39">
        <v>1.56692886</v>
      </c>
      <c r="AR39">
        <v>2.44016953</v>
      </c>
      <c r="AS39">
        <v>2.8597893</v>
      </c>
      <c r="AT39">
        <v>3.92041108</v>
      </c>
      <c r="CS39">
        <v>1.825</v>
      </c>
      <c r="CT39">
        <v>8.46884918</v>
      </c>
      <c r="CV39">
        <v>1.825</v>
      </c>
      <c r="CW39">
        <v>35.32152834</v>
      </c>
      <c r="CX39">
        <v>1.825</v>
      </c>
      <c r="CY39">
        <v>8.55960511</v>
      </c>
      <c r="CZ39">
        <v>1.825</v>
      </c>
      <c r="DA39">
        <v>25.80275761</v>
      </c>
      <c r="DB39">
        <v>1.825</v>
      </c>
      <c r="DC39">
        <v>6.63413007</v>
      </c>
      <c r="DD39">
        <v>1.825</v>
      </c>
      <c r="DE39">
        <v>31.40082318</v>
      </c>
      <c r="DF39">
        <v>1.825</v>
      </c>
      <c r="DG39">
        <v>8.08690273</v>
      </c>
      <c r="DH39">
        <v>1.825</v>
      </c>
      <c r="DI39">
        <v>21.83402841</v>
      </c>
      <c r="DJ39">
        <v>1.825</v>
      </c>
      <c r="DK39">
        <v>7.53905263</v>
      </c>
      <c r="DL39">
        <v>1.825</v>
      </c>
      <c r="DM39">
        <v>22.66325818</v>
      </c>
      <c r="DR39">
        <v>18.37224</v>
      </c>
      <c r="DS39">
        <v>1.0396</v>
      </c>
      <c r="DT39">
        <v>0.48977</v>
      </c>
      <c r="DU39">
        <v>0.75314</v>
      </c>
      <c r="DV39">
        <f t="shared" si="18"/>
        <v>0.760836666666667</v>
      </c>
      <c r="DX39">
        <v>19.256</v>
      </c>
      <c r="DY39">
        <v>0.86557</v>
      </c>
      <c r="DZ39">
        <v>0.94257</v>
      </c>
      <c r="EA39">
        <v>1.54785</v>
      </c>
      <c r="EB39">
        <f t="shared" si="19"/>
        <v>1.11866333333333</v>
      </c>
      <c r="ED39">
        <v>19.99185</v>
      </c>
      <c r="EE39">
        <v>1.17013</v>
      </c>
      <c r="EF39">
        <v>1.11122</v>
      </c>
      <c r="EG39">
        <v>1.40924</v>
      </c>
      <c r="EH39">
        <f t="shared" si="20"/>
        <v>1.23019666666667</v>
      </c>
      <c r="EJ39">
        <v>18.22556</v>
      </c>
      <c r="EK39">
        <v>0.67908</v>
      </c>
      <c r="EL39">
        <v>1.30007</v>
      </c>
      <c r="EM39">
        <v>1.14271</v>
      </c>
      <c r="EN39">
        <f t="shared" si="17"/>
        <v>1.04062</v>
      </c>
    </row>
    <row r="40" spans="24:144">
      <c r="X40">
        <v>18.962</v>
      </c>
      <c r="Y40">
        <v>1.12682836446495</v>
      </c>
      <c r="Z40">
        <v>18.962</v>
      </c>
      <c r="AA40">
        <v>1.1418264066674</v>
      </c>
      <c r="AB40">
        <v>18.962</v>
      </c>
      <c r="AC40">
        <v>1.13376833711883</v>
      </c>
      <c r="AD40">
        <v>18.962</v>
      </c>
      <c r="AE40">
        <v>1.11545537574149</v>
      </c>
      <c r="AF40">
        <v>18.962</v>
      </c>
      <c r="AG40">
        <v>1.12974883378519</v>
      </c>
      <c r="AJ40">
        <v>180</v>
      </c>
      <c r="AK40">
        <v>2.24898495</v>
      </c>
      <c r="AL40">
        <v>3.89197776</v>
      </c>
      <c r="AM40">
        <v>1.94958648</v>
      </c>
      <c r="AN40">
        <v>3.33035738</v>
      </c>
      <c r="AO40">
        <v>3.45435479</v>
      </c>
      <c r="AP40">
        <v>4.56472344</v>
      </c>
      <c r="AQ40">
        <v>1.60682233</v>
      </c>
      <c r="AR40">
        <v>2.493886</v>
      </c>
      <c r="AS40">
        <v>2.9607857</v>
      </c>
      <c r="AT40">
        <v>4.05460263</v>
      </c>
      <c r="CS40">
        <v>1.875</v>
      </c>
      <c r="CT40">
        <v>12.82283429</v>
      </c>
      <c r="CV40">
        <v>1.875</v>
      </c>
      <c r="CW40">
        <v>56.07303655</v>
      </c>
      <c r="CX40">
        <v>1.875</v>
      </c>
      <c r="CY40">
        <v>12.03919999</v>
      </c>
      <c r="CZ40">
        <v>1.875</v>
      </c>
      <c r="DA40">
        <v>43.4444021</v>
      </c>
      <c r="DB40">
        <v>1.875</v>
      </c>
      <c r="DC40">
        <v>10.21836047</v>
      </c>
      <c r="DD40">
        <v>1.875</v>
      </c>
      <c r="DE40">
        <v>51.9731302</v>
      </c>
      <c r="DF40">
        <v>1.875</v>
      </c>
      <c r="DG40">
        <v>12.63434937</v>
      </c>
      <c r="DH40">
        <v>1.875</v>
      </c>
      <c r="DI40">
        <v>38.93031013</v>
      </c>
      <c r="DJ40">
        <v>1.875</v>
      </c>
      <c r="DK40">
        <v>11.44707076</v>
      </c>
      <c r="DL40">
        <v>1.875</v>
      </c>
      <c r="DM40">
        <v>38.60346054</v>
      </c>
      <c r="DR40">
        <v>18.86217</v>
      </c>
      <c r="DS40">
        <v>1.87591</v>
      </c>
      <c r="DT40">
        <v>0.35116</v>
      </c>
      <c r="DU40">
        <v>1.03498</v>
      </c>
      <c r="DV40">
        <f t="shared" si="18"/>
        <v>1.08735</v>
      </c>
      <c r="DX40">
        <v>19.76949</v>
      </c>
      <c r="DY40">
        <v>1.01496</v>
      </c>
      <c r="DZ40">
        <v>0.89791</v>
      </c>
      <c r="EA40">
        <v>1.07195</v>
      </c>
      <c r="EB40">
        <f t="shared" si="19"/>
        <v>0.99494</v>
      </c>
      <c r="ED40">
        <v>20.52496</v>
      </c>
      <c r="EE40">
        <v>1.29373</v>
      </c>
      <c r="EF40">
        <v>1.07888</v>
      </c>
      <c r="EG40">
        <v>1.40231</v>
      </c>
      <c r="EH40">
        <f t="shared" si="20"/>
        <v>1.25830666666667</v>
      </c>
      <c r="EJ40">
        <v>18.69895</v>
      </c>
      <c r="EK40">
        <v>0.73611</v>
      </c>
      <c r="EL40">
        <v>1.2029</v>
      </c>
      <c r="EM40">
        <v>1.26733</v>
      </c>
      <c r="EN40">
        <f t="shared" si="17"/>
        <v>1.06878</v>
      </c>
    </row>
    <row r="41" spans="24:144">
      <c r="X41">
        <v>19.461</v>
      </c>
      <c r="Y41">
        <v>1.13420233093862</v>
      </c>
      <c r="Z41">
        <v>19.461</v>
      </c>
      <c r="AA41">
        <v>1.13862027885533</v>
      </c>
      <c r="AB41">
        <v>19.461</v>
      </c>
      <c r="AC41">
        <v>1.14340259053568</v>
      </c>
      <c r="AD41">
        <v>19.461</v>
      </c>
      <c r="AE41">
        <v>1.12531396118741</v>
      </c>
      <c r="AF41">
        <v>19.461</v>
      </c>
      <c r="AG41">
        <v>1.12708088587955</v>
      </c>
      <c r="AJ41">
        <v>185</v>
      </c>
      <c r="AK41">
        <v>2.32103292</v>
      </c>
      <c r="AL41">
        <v>4.0083274</v>
      </c>
      <c r="AM41">
        <v>1.98485595</v>
      </c>
      <c r="AN41">
        <v>3.42963615</v>
      </c>
      <c r="AO41">
        <v>3.52959951</v>
      </c>
      <c r="AP41">
        <v>4.68499604</v>
      </c>
      <c r="AQ41">
        <v>1.64788728</v>
      </c>
      <c r="AR41">
        <v>2.54394498</v>
      </c>
      <c r="AS41">
        <v>3.05223067</v>
      </c>
      <c r="AT41">
        <v>4.17257684</v>
      </c>
      <c r="CS41">
        <v>1.925</v>
      </c>
      <c r="CT41">
        <v>16.14124423</v>
      </c>
      <c r="CV41">
        <v>1.925</v>
      </c>
      <c r="CW41">
        <v>87.94854259</v>
      </c>
      <c r="CX41">
        <v>1.925</v>
      </c>
      <c r="CY41">
        <v>15.00494229</v>
      </c>
      <c r="CZ41">
        <v>1.925</v>
      </c>
      <c r="DA41">
        <v>57.86451381</v>
      </c>
      <c r="DB41">
        <v>1.925</v>
      </c>
      <c r="DC41">
        <v>11.49504589</v>
      </c>
      <c r="DD41">
        <v>1.925</v>
      </c>
      <c r="DE41">
        <v>63.36519009</v>
      </c>
      <c r="DF41">
        <v>1.925</v>
      </c>
      <c r="DG41">
        <v>13.8256166</v>
      </c>
      <c r="DH41">
        <v>1.925</v>
      </c>
      <c r="DI41">
        <v>47.29944037</v>
      </c>
      <c r="DJ41">
        <v>1.925</v>
      </c>
      <c r="DK41">
        <v>12.97543494</v>
      </c>
      <c r="DL41">
        <v>1.925</v>
      </c>
      <c r="DM41">
        <v>43.14446581</v>
      </c>
      <c r="DR41">
        <v>19.3521</v>
      </c>
      <c r="DS41">
        <v>1.6495</v>
      </c>
      <c r="DT41">
        <v>0.18482</v>
      </c>
      <c r="DU41">
        <v>1.12739</v>
      </c>
      <c r="DV41">
        <f t="shared" si="18"/>
        <v>0.987236666666667</v>
      </c>
      <c r="DX41">
        <v>20.28299</v>
      </c>
      <c r="DY41">
        <v>1.46931</v>
      </c>
      <c r="DZ41">
        <v>0.76392</v>
      </c>
      <c r="EA41">
        <v>1.07503</v>
      </c>
      <c r="EB41">
        <f t="shared" si="19"/>
        <v>1.10275333333333</v>
      </c>
      <c r="ED41">
        <v>21.05808</v>
      </c>
      <c r="EE41">
        <v>1.21172</v>
      </c>
      <c r="EF41">
        <v>1.19208</v>
      </c>
      <c r="EG41">
        <v>1.39653</v>
      </c>
      <c r="EH41">
        <f t="shared" si="20"/>
        <v>1.26677666666667</v>
      </c>
      <c r="EJ41">
        <v>19.17234</v>
      </c>
      <c r="EK41">
        <v>0.85017</v>
      </c>
      <c r="EL41">
        <v>1.02337</v>
      </c>
      <c r="EM41">
        <v>1.36871</v>
      </c>
      <c r="EN41">
        <f t="shared" si="17"/>
        <v>1.08075</v>
      </c>
    </row>
    <row r="42" spans="24:144">
      <c r="X42">
        <v>19.96</v>
      </c>
      <c r="Y42">
        <v>1.12755660774633</v>
      </c>
      <c r="Z42">
        <v>19.96</v>
      </c>
      <c r="AA42">
        <v>1.13431691168804</v>
      </c>
      <c r="AB42">
        <v>19.96</v>
      </c>
      <c r="AC42">
        <v>1.1469413331779</v>
      </c>
      <c r="AD42">
        <v>19.96</v>
      </c>
      <c r="AE42">
        <v>1.13174060299075</v>
      </c>
      <c r="AF42">
        <v>19.96</v>
      </c>
      <c r="AG42">
        <v>1.12861660382758</v>
      </c>
      <c r="AJ42">
        <v>190</v>
      </c>
      <c r="AK42">
        <v>2.29826408</v>
      </c>
      <c r="AL42">
        <v>4.0466907</v>
      </c>
      <c r="AM42">
        <v>2.01353808</v>
      </c>
      <c r="AN42">
        <v>3.51865059</v>
      </c>
      <c r="AO42">
        <v>3.63766227</v>
      </c>
      <c r="AP42">
        <v>4.84121421</v>
      </c>
      <c r="AQ42">
        <v>1.67454746</v>
      </c>
      <c r="AR42">
        <v>2.56283187</v>
      </c>
      <c r="AS42">
        <v>3.15272935</v>
      </c>
      <c r="AT42">
        <v>4.32093467</v>
      </c>
      <c r="CS42">
        <v>1.975</v>
      </c>
      <c r="CT42">
        <v>14.75326311</v>
      </c>
      <c r="CV42">
        <v>1.975</v>
      </c>
      <c r="CW42">
        <v>79.88391589</v>
      </c>
      <c r="CX42">
        <v>1.975</v>
      </c>
      <c r="CY42">
        <v>14.13390516</v>
      </c>
      <c r="CZ42">
        <v>1.975</v>
      </c>
      <c r="DA42">
        <v>50.28184277</v>
      </c>
      <c r="DB42">
        <v>1.975</v>
      </c>
      <c r="DC42">
        <v>11.56498126</v>
      </c>
      <c r="DD42">
        <v>1.975</v>
      </c>
      <c r="DE42">
        <v>56.65043471</v>
      </c>
      <c r="DF42">
        <v>1.975</v>
      </c>
      <c r="DG42">
        <v>13.10328515</v>
      </c>
      <c r="DH42">
        <v>1.975</v>
      </c>
      <c r="DI42">
        <v>42.07935436</v>
      </c>
      <c r="DJ42">
        <v>1.975</v>
      </c>
      <c r="DK42">
        <v>11.87444209</v>
      </c>
      <c r="DL42">
        <v>1.975</v>
      </c>
      <c r="DM42">
        <v>38.11021722</v>
      </c>
      <c r="DR42">
        <v>19.84202</v>
      </c>
      <c r="DS42">
        <v>1.20132</v>
      </c>
      <c r="DT42">
        <v>0.12475</v>
      </c>
      <c r="DU42">
        <v>1.47393</v>
      </c>
      <c r="DV42">
        <f t="shared" si="18"/>
        <v>0.933333333333333</v>
      </c>
      <c r="DX42">
        <v>20.79648</v>
      </c>
      <c r="DY42">
        <v>1.59098</v>
      </c>
      <c r="DZ42">
        <v>0.89483</v>
      </c>
      <c r="EA42">
        <v>1.31529</v>
      </c>
      <c r="EB42">
        <f t="shared" si="19"/>
        <v>1.26703333333333</v>
      </c>
      <c r="ED42">
        <v>21.59119</v>
      </c>
      <c r="EE42">
        <v>1.50974</v>
      </c>
      <c r="EF42">
        <v>1.09505</v>
      </c>
      <c r="EG42">
        <v>1.54554</v>
      </c>
      <c r="EH42">
        <f t="shared" si="20"/>
        <v>1.38344333333333</v>
      </c>
      <c r="EJ42">
        <v>19.64573</v>
      </c>
      <c r="EK42">
        <v>0.91036</v>
      </c>
      <c r="EL42">
        <v>0.80792</v>
      </c>
      <c r="EM42">
        <v>1.15327</v>
      </c>
      <c r="EN42">
        <f t="shared" si="17"/>
        <v>0.957183333333333</v>
      </c>
    </row>
    <row r="43" spans="24:144">
      <c r="X43">
        <v>20.459</v>
      </c>
      <c r="Y43">
        <v>1.12850921985819</v>
      </c>
      <c r="Z43">
        <v>20.459</v>
      </c>
      <c r="AA43">
        <v>1.13260730914058</v>
      </c>
      <c r="AB43">
        <v>20.459</v>
      </c>
      <c r="AC43">
        <v>1.13711411082494</v>
      </c>
      <c r="AD43">
        <v>20.459</v>
      </c>
      <c r="AE43">
        <v>1.12229132456694</v>
      </c>
      <c r="AF43">
        <v>20.459</v>
      </c>
      <c r="AG43">
        <v>1.13113380222342</v>
      </c>
      <c r="AJ43">
        <v>195</v>
      </c>
      <c r="AK43">
        <v>2.34625574</v>
      </c>
      <c r="AL43">
        <v>4.16609703</v>
      </c>
      <c r="AM43">
        <v>2.05506029</v>
      </c>
      <c r="AN43">
        <v>3.58106547</v>
      </c>
      <c r="AO43">
        <v>3.75459874</v>
      </c>
      <c r="AP43">
        <v>4.98498038</v>
      </c>
      <c r="AQ43">
        <v>1.71459625</v>
      </c>
      <c r="AR43">
        <v>2.61957327</v>
      </c>
      <c r="AS43">
        <v>3.22845234</v>
      </c>
      <c r="AT43">
        <v>4.42053076</v>
      </c>
      <c r="CS43">
        <v>2.025</v>
      </c>
      <c r="CT43">
        <v>12.0376921</v>
      </c>
      <c r="CV43">
        <v>2.025</v>
      </c>
      <c r="CW43">
        <v>62.80635144</v>
      </c>
      <c r="CX43">
        <v>2.025</v>
      </c>
      <c r="CY43">
        <v>11.39009588</v>
      </c>
      <c r="CZ43">
        <v>2.025</v>
      </c>
      <c r="DA43">
        <v>40.35944057</v>
      </c>
      <c r="DB43">
        <v>2.025</v>
      </c>
      <c r="DC43">
        <v>10.10483875</v>
      </c>
      <c r="DD43">
        <v>2.025</v>
      </c>
      <c r="DE43">
        <v>42.9214915</v>
      </c>
      <c r="DF43">
        <v>2.025</v>
      </c>
      <c r="DG43">
        <v>11.34640656</v>
      </c>
      <c r="DH43">
        <v>2.025</v>
      </c>
      <c r="DI43">
        <v>31.25362494</v>
      </c>
      <c r="DJ43">
        <v>2.025</v>
      </c>
      <c r="DK43">
        <v>10.62504706</v>
      </c>
      <c r="DL43">
        <v>2.025</v>
      </c>
      <c r="DM43">
        <v>29.21019072</v>
      </c>
      <c r="DR43">
        <v>20.33195</v>
      </c>
      <c r="DS43">
        <v>1.52937</v>
      </c>
      <c r="DT43">
        <v>0.19406</v>
      </c>
      <c r="DU43">
        <v>1.31683</v>
      </c>
      <c r="DV43">
        <f t="shared" si="18"/>
        <v>1.01342</v>
      </c>
      <c r="DX43">
        <v>21.30997</v>
      </c>
      <c r="DY43">
        <v>1.42156</v>
      </c>
      <c r="DZ43">
        <v>1.01188</v>
      </c>
      <c r="EA43">
        <v>1.24906</v>
      </c>
      <c r="EB43">
        <f t="shared" si="19"/>
        <v>1.2275</v>
      </c>
      <c r="ED43">
        <v>22.12431</v>
      </c>
      <c r="EE43">
        <v>1.70842</v>
      </c>
      <c r="EF43">
        <v>0.76353</v>
      </c>
      <c r="EG43">
        <v>1.39076</v>
      </c>
      <c r="EH43">
        <f t="shared" si="20"/>
        <v>1.28757</v>
      </c>
      <c r="EJ43">
        <v>20.11912</v>
      </c>
      <c r="EK43">
        <v>1.20607</v>
      </c>
      <c r="EL43">
        <v>0.64422</v>
      </c>
      <c r="EM43">
        <v>1.18495</v>
      </c>
      <c r="EN43">
        <f t="shared" si="17"/>
        <v>1.01174666666667</v>
      </c>
    </row>
    <row r="44" spans="24:144">
      <c r="X44">
        <v>20.958</v>
      </c>
      <c r="Y44">
        <v>1.11703289407279</v>
      </c>
      <c r="Z44">
        <v>20.958</v>
      </c>
      <c r="AA44">
        <v>1.13511480923047</v>
      </c>
      <c r="AB44">
        <v>20.958</v>
      </c>
      <c r="AC44">
        <v>1.13537417815029</v>
      </c>
      <c r="AD44">
        <v>20.958</v>
      </c>
      <c r="AE44">
        <v>1.13197706547489</v>
      </c>
      <c r="AF44">
        <v>20.958</v>
      </c>
      <c r="AG44">
        <v>1.13187246537226</v>
      </c>
      <c r="AJ44">
        <v>200</v>
      </c>
      <c r="AK44">
        <v>2.37457019</v>
      </c>
      <c r="AL44">
        <v>4.22986239</v>
      </c>
      <c r="AM44">
        <v>2.1064226</v>
      </c>
      <c r="AN44">
        <v>3.65930877</v>
      </c>
      <c r="AO44">
        <v>3.83892052</v>
      </c>
      <c r="AP44">
        <v>5.08927097</v>
      </c>
      <c r="AQ44">
        <v>1.74350318</v>
      </c>
      <c r="AR44">
        <v>2.66587368</v>
      </c>
      <c r="AS44">
        <v>3.35255585</v>
      </c>
      <c r="AT44">
        <v>4.58977138</v>
      </c>
      <c r="CS44">
        <v>2.075</v>
      </c>
      <c r="CT44">
        <v>9.9730144</v>
      </c>
      <c r="CV44">
        <v>2.075</v>
      </c>
      <c r="CW44">
        <v>35.81584387</v>
      </c>
      <c r="CX44">
        <v>2.075</v>
      </c>
      <c r="CY44">
        <v>8.95375234</v>
      </c>
      <c r="CZ44">
        <v>2.075</v>
      </c>
      <c r="DA44">
        <v>28.75434167</v>
      </c>
      <c r="DB44">
        <v>2.075</v>
      </c>
      <c r="DC44">
        <v>8.75907151</v>
      </c>
      <c r="DD44">
        <v>2.075</v>
      </c>
      <c r="DE44">
        <v>29.29984282</v>
      </c>
      <c r="DF44">
        <v>2.075</v>
      </c>
      <c r="DG44">
        <v>9.25169516</v>
      </c>
      <c r="DH44">
        <v>2.075</v>
      </c>
      <c r="DI44">
        <v>22.33166782</v>
      </c>
      <c r="DJ44">
        <v>2.075</v>
      </c>
      <c r="DK44">
        <v>7.74701256</v>
      </c>
      <c r="DL44">
        <v>2.075</v>
      </c>
      <c r="DM44">
        <v>19.36221173</v>
      </c>
      <c r="DR44">
        <v>20.82188</v>
      </c>
      <c r="DS44">
        <v>1.51551</v>
      </c>
      <c r="DT44">
        <v>0.38812</v>
      </c>
      <c r="DU44">
        <v>1.45083</v>
      </c>
      <c r="DV44">
        <f t="shared" si="18"/>
        <v>1.11815333333333</v>
      </c>
      <c r="DX44">
        <v>21.82347</v>
      </c>
      <c r="DY44">
        <v>1.51243</v>
      </c>
      <c r="DZ44">
        <v>1.13509</v>
      </c>
      <c r="EA44">
        <v>1.20132</v>
      </c>
      <c r="EB44">
        <f t="shared" si="19"/>
        <v>1.28294666666667</v>
      </c>
      <c r="ED44">
        <v>22.65743</v>
      </c>
      <c r="EE44">
        <v>1.61254</v>
      </c>
      <c r="EF44">
        <v>0.61799</v>
      </c>
      <c r="EG44">
        <v>1.36881</v>
      </c>
      <c r="EH44">
        <f t="shared" si="20"/>
        <v>1.19978</v>
      </c>
      <c r="EJ44">
        <v>20.59251</v>
      </c>
      <c r="EK44">
        <v>1.14799</v>
      </c>
      <c r="EL44">
        <v>0.57558</v>
      </c>
      <c r="EM44">
        <v>1.39934</v>
      </c>
      <c r="EN44">
        <f t="shared" si="17"/>
        <v>1.04097</v>
      </c>
    </row>
    <row r="45" spans="24:144">
      <c r="X45">
        <v>21.457</v>
      </c>
      <c r="Y45">
        <v>1.1219309302047</v>
      </c>
      <c r="Z45">
        <v>21.457</v>
      </c>
      <c r="AA45">
        <v>1.13625909804858</v>
      </c>
      <c r="AB45">
        <v>21.457</v>
      </c>
      <c r="AC45">
        <v>1.1306967844481</v>
      </c>
      <c r="AD45">
        <v>21.457</v>
      </c>
      <c r="AE45">
        <v>1.12537539148887</v>
      </c>
      <c r="AF45">
        <v>21.457</v>
      </c>
      <c r="AG45">
        <v>1.13021414699093</v>
      </c>
      <c r="AJ45">
        <v>205</v>
      </c>
      <c r="AK45">
        <v>2.47587946</v>
      </c>
      <c r="AL45">
        <v>4.34753989</v>
      </c>
      <c r="AM45">
        <v>2.17294585</v>
      </c>
      <c r="AN45">
        <v>3.78169155</v>
      </c>
      <c r="AO45">
        <v>3.93341107</v>
      </c>
      <c r="AP45">
        <v>5.23166556</v>
      </c>
      <c r="AQ45">
        <v>1.78837557</v>
      </c>
      <c r="AR45">
        <v>2.7022761</v>
      </c>
      <c r="AS45">
        <v>3.47190499</v>
      </c>
      <c r="AT45">
        <v>4.74590361</v>
      </c>
      <c r="CS45">
        <v>2.125</v>
      </c>
      <c r="CT45">
        <v>7.69662735</v>
      </c>
      <c r="CV45">
        <v>2.125</v>
      </c>
      <c r="CW45">
        <v>21.12389572</v>
      </c>
      <c r="CX45">
        <v>2.125</v>
      </c>
      <c r="CY45">
        <v>7.17915675</v>
      </c>
      <c r="CZ45">
        <v>2.125</v>
      </c>
      <c r="DA45">
        <v>21.19884837</v>
      </c>
      <c r="DB45">
        <v>2.125</v>
      </c>
      <c r="DC45">
        <v>6.68139841</v>
      </c>
      <c r="DD45">
        <v>2.125</v>
      </c>
      <c r="DE45">
        <v>18.24937246</v>
      </c>
      <c r="DF45">
        <v>2.125</v>
      </c>
      <c r="DG45">
        <v>7.18652804</v>
      </c>
      <c r="DH45">
        <v>2.125</v>
      </c>
      <c r="DI45">
        <v>14.11984325</v>
      </c>
      <c r="DJ45">
        <v>2.125</v>
      </c>
      <c r="DK45">
        <v>6.49252746</v>
      </c>
      <c r="DL45">
        <v>2.125</v>
      </c>
      <c r="DM45">
        <v>11.93471577</v>
      </c>
      <c r="DR45">
        <v>21.3118</v>
      </c>
      <c r="DS45">
        <v>1.51089</v>
      </c>
      <c r="DT45">
        <v>0.52673</v>
      </c>
      <c r="DU45">
        <v>1.30297</v>
      </c>
      <c r="DV45">
        <f t="shared" si="18"/>
        <v>1.11353</v>
      </c>
      <c r="DX45">
        <v>22.33696</v>
      </c>
      <c r="DY45">
        <v>1.3769</v>
      </c>
      <c r="DZ45">
        <v>1.05347</v>
      </c>
      <c r="EA45">
        <v>0.98416</v>
      </c>
      <c r="EB45">
        <f t="shared" si="19"/>
        <v>1.13817666666667</v>
      </c>
      <c r="ED45">
        <v>23.19054</v>
      </c>
      <c r="EE45">
        <v>1.39076</v>
      </c>
      <c r="EF45">
        <v>0.633</v>
      </c>
      <c r="EG45">
        <v>1.31914</v>
      </c>
      <c r="EH45">
        <f t="shared" si="20"/>
        <v>1.1143</v>
      </c>
      <c r="EJ45">
        <v>21.0659</v>
      </c>
      <c r="EK45">
        <v>1.28317</v>
      </c>
      <c r="EL45">
        <v>0.57558</v>
      </c>
      <c r="EM45">
        <v>1.54086</v>
      </c>
      <c r="EN45">
        <f t="shared" si="17"/>
        <v>1.13320333333333</v>
      </c>
    </row>
    <row r="46" spans="24:144">
      <c r="X46">
        <v>21.956</v>
      </c>
      <c r="Y46">
        <v>1.12827875129953</v>
      </c>
      <c r="Z46">
        <v>21.956</v>
      </c>
      <c r="AA46">
        <v>1.14062915658891</v>
      </c>
      <c r="AB46">
        <v>21.956</v>
      </c>
      <c r="AC46">
        <v>1.1386672673431</v>
      </c>
      <c r="AD46">
        <v>21.956</v>
      </c>
      <c r="AE46">
        <v>1.12085029721271</v>
      </c>
      <c r="AF46">
        <v>21.956</v>
      </c>
      <c r="AG46">
        <v>1.13079264993585</v>
      </c>
      <c r="AJ46">
        <v>210</v>
      </c>
      <c r="AK46">
        <v>2.51399889</v>
      </c>
      <c r="AL46">
        <v>4.44641802</v>
      </c>
      <c r="AM46">
        <v>2.21295308</v>
      </c>
      <c r="AN46">
        <v>3.87191727</v>
      </c>
      <c r="AO46">
        <v>4.01623427</v>
      </c>
      <c r="AP46">
        <v>5.33332361</v>
      </c>
      <c r="AQ46">
        <v>1.8573102</v>
      </c>
      <c r="AR46">
        <v>2.77539055</v>
      </c>
      <c r="AS46">
        <v>3.59455015</v>
      </c>
      <c r="AT46">
        <v>4.89775572</v>
      </c>
      <c r="CS46">
        <v>2.175</v>
      </c>
      <c r="CT46">
        <v>6.8144624</v>
      </c>
      <c r="CV46">
        <v>2.175</v>
      </c>
      <c r="CW46">
        <v>16.13111022</v>
      </c>
      <c r="CX46">
        <v>2.175</v>
      </c>
      <c r="CY46">
        <v>5.49940774</v>
      </c>
      <c r="CZ46">
        <v>2.175</v>
      </c>
      <c r="DA46">
        <v>10.88216678</v>
      </c>
      <c r="DB46">
        <v>2.175</v>
      </c>
      <c r="DC46">
        <v>5.24324802</v>
      </c>
      <c r="DD46">
        <v>2.175</v>
      </c>
      <c r="DE46">
        <v>11.69935913</v>
      </c>
      <c r="DF46">
        <v>2.175</v>
      </c>
      <c r="DG46">
        <v>6.13963306</v>
      </c>
      <c r="DH46">
        <v>2.175</v>
      </c>
      <c r="DI46">
        <v>9.58085023</v>
      </c>
      <c r="DJ46">
        <v>2.175</v>
      </c>
      <c r="DK46">
        <v>4.69113637</v>
      </c>
      <c r="DL46">
        <v>2.175</v>
      </c>
      <c r="DM46">
        <v>7.96919343</v>
      </c>
      <c r="DR46">
        <v>21.80173</v>
      </c>
      <c r="DS46">
        <v>1.52937</v>
      </c>
      <c r="DT46">
        <v>0.6099</v>
      </c>
      <c r="DU46">
        <v>1.21518</v>
      </c>
      <c r="DV46">
        <f t="shared" si="18"/>
        <v>1.11815</v>
      </c>
      <c r="DX46">
        <v>22.85045</v>
      </c>
      <c r="DY46">
        <v>1.31991</v>
      </c>
      <c r="DZ46">
        <v>1.33993</v>
      </c>
      <c r="EA46">
        <v>0.96568</v>
      </c>
      <c r="EB46">
        <f t="shared" si="19"/>
        <v>1.20850666666667</v>
      </c>
      <c r="ED46">
        <v>23.72366</v>
      </c>
      <c r="EE46">
        <v>1.28449</v>
      </c>
      <c r="EF46">
        <v>0.6769</v>
      </c>
      <c r="EG46">
        <v>1.13779</v>
      </c>
      <c r="EH46">
        <f t="shared" si="20"/>
        <v>1.03306</v>
      </c>
      <c r="EJ46">
        <v>21.5393</v>
      </c>
      <c r="EK46">
        <v>1.39617</v>
      </c>
      <c r="EL46">
        <v>0.59248</v>
      </c>
      <c r="EM46">
        <v>1.79644</v>
      </c>
      <c r="EN46">
        <f t="shared" si="17"/>
        <v>1.26169666666667</v>
      </c>
    </row>
    <row r="47" spans="24:144">
      <c r="X47">
        <v>22.455</v>
      </c>
      <c r="Y47">
        <v>1.12635888667151</v>
      </c>
      <c r="Z47">
        <v>22.455</v>
      </c>
      <c r="AA47">
        <v>1.13823794992957</v>
      </c>
      <c r="AB47">
        <v>22.455</v>
      </c>
      <c r="AC47">
        <v>1.13567256435679</v>
      </c>
      <c r="AD47">
        <v>22.455</v>
      </c>
      <c r="AE47">
        <v>1.12092640103063</v>
      </c>
      <c r="AF47">
        <v>22.455</v>
      </c>
      <c r="AG47">
        <v>1.13118848039878</v>
      </c>
      <c r="AJ47">
        <v>215</v>
      </c>
      <c r="AK47">
        <v>2.5754627</v>
      </c>
      <c r="AL47">
        <v>4.54834963</v>
      </c>
      <c r="AM47">
        <v>2.26576806</v>
      </c>
      <c r="AN47">
        <v>3.92616259</v>
      </c>
      <c r="AO47">
        <v>4.08420967</v>
      </c>
      <c r="AP47">
        <v>5.44566336</v>
      </c>
      <c r="AQ47">
        <v>1.89637831</v>
      </c>
      <c r="AR47">
        <v>2.82829668</v>
      </c>
      <c r="AS47">
        <v>3.66721944</v>
      </c>
      <c r="AT47">
        <v>4.99293705</v>
      </c>
      <c r="CS47">
        <v>2.225</v>
      </c>
      <c r="CT47">
        <v>4.83286404</v>
      </c>
      <c r="CV47">
        <v>2.225</v>
      </c>
      <c r="CW47">
        <v>13.16637498</v>
      </c>
      <c r="CX47">
        <v>2.225</v>
      </c>
      <c r="CY47">
        <v>4.71046799</v>
      </c>
      <c r="CZ47">
        <v>2.225</v>
      </c>
      <c r="DA47">
        <v>8.8516977</v>
      </c>
      <c r="DB47">
        <v>2.225</v>
      </c>
      <c r="DC47">
        <v>4.07266261</v>
      </c>
      <c r="DD47">
        <v>2.225</v>
      </c>
      <c r="DE47">
        <v>7.76809118</v>
      </c>
      <c r="DF47">
        <v>2.225</v>
      </c>
      <c r="DG47">
        <v>4.53940049</v>
      </c>
      <c r="DH47">
        <v>2.225</v>
      </c>
      <c r="DI47">
        <v>5.63789035</v>
      </c>
      <c r="DJ47">
        <v>2.225</v>
      </c>
      <c r="DK47">
        <v>3.80410622</v>
      </c>
      <c r="DL47">
        <v>2.225</v>
      </c>
      <c r="DM47">
        <v>5.01902122</v>
      </c>
      <c r="DR47">
        <v>22.29165</v>
      </c>
      <c r="DS47">
        <v>1.33993</v>
      </c>
      <c r="DT47">
        <v>0.6099</v>
      </c>
      <c r="DU47">
        <v>0.9934</v>
      </c>
      <c r="DV47">
        <f t="shared" si="18"/>
        <v>0.981076666666667</v>
      </c>
      <c r="DX47">
        <v>23.36395</v>
      </c>
      <c r="DY47">
        <v>1.17976</v>
      </c>
      <c r="DZ47">
        <v>1.33839</v>
      </c>
      <c r="EA47">
        <v>0.99494</v>
      </c>
      <c r="EB47">
        <f t="shared" si="19"/>
        <v>1.17103</v>
      </c>
      <c r="ED47">
        <v>24.25677</v>
      </c>
      <c r="EE47">
        <v>1.333</v>
      </c>
      <c r="EF47">
        <v>0.61221</v>
      </c>
      <c r="EG47">
        <v>1.26716</v>
      </c>
      <c r="EH47">
        <f t="shared" si="20"/>
        <v>1.07079</v>
      </c>
      <c r="EJ47">
        <v>22.01269</v>
      </c>
      <c r="EK47">
        <v>1.63696</v>
      </c>
      <c r="EL47">
        <v>0.63155</v>
      </c>
      <c r="EM47">
        <v>1.64647</v>
      </c>
      <c r="EN47">
        <f t="shared" si="17"/>
        <v>1.30499333333333</v>
      </c>
    </row>
    <row r="48" spans="24:144">
      <c r="X48">
        <v>22.954</v>
      </c>
      <c r="Y48">
        <v>1.13057593584314</v>
      </c>
      <c r="Z48">
        <v>22.954</v>
      </c>
      <c r="AA48">
        <v>1.14443980984934</v>
      </c>
      <c r="AB48">
        <v>22.954</v>
      </c>
      <c r="AC48">
        <v>1.14610171073756</v>
      </c>
      <c r="AD48">
        <v>22.954</v>
      </c>
      <c r="AE48">
        <v>1.12836212764425</v>
      </c>
      <c r="AF48">
        <v>22.954</v>
      </c>
      <c r="AG48">
        <v>1.12479718413766</v>
      </c>
      <c r="AJ48">
        <v>220</v>
      </c>
      <c r="AK48">
        <v>2.59342801</v>
      </c>
      <c r="AL48">
        <v>4.61893908</v>
      </c>
      <c r="AM48">
        <v>2.30468709</v>
      </c>
      <c r="AN48">
        <v>4.00562469</v>
      </c>
      <c r="AO48">
        <v>4.18228014</v>
      </c>
      <c r="AP48">
        <v>5.57886417</v>
      </c>
      <c r="AQ48">
        <v>1.95365485</v>
      </c>
      <c r="AR48">
        <v>2.90634174</v>
      </c>
      <c r="AS48">
        <v>3.77009693</v>
      </c>
      <c r="AT48">
        <v>5.11104768</v>
      </c>
      <c r="CS48">
        <v>2.275</v>
      </c>
      <c r="CT48">
        <v>3.67388829</v>
      </c>
      <c r="CV48">
        <v>2.275</v>
      </c>
      <c r="CW48">
        <v>7.37210697</v>
      </c>
      <c r="CX48">
        <v>2.275</v>
      </c>
      <c r="CY48">
        <v>3.24253989</v>
      </c>
      <c r="CZ48">
        <v>2.275</v>
      </c>
      <c r="DA48">
        <v>3.94574132</v>
      </c>
      <c r="DB48">
        <v>2.275</v>
      </c>
      <c r="DC48">
        <v>3.02681175</v>
      </c>
      <c r="DD48">
        <v>2.275</v>
      </c>
      <c r="DE48">
        <v>4.52114435</v>
      </c>
      <c r="DF48">
        <v>2.275</v>
      </c>
      <c r="DG48">
        <v>3.62883941</v>
      </c>
      <c r="DH48">
        <v>2.275</v>
      </c>
      <c r="DI48">
        <v>4.254873</v>
      </c>
      <c r="DJ48">
        <v>2.275</v>
      </c>
      <c r="DK48">
        <v>2.51105629</v>
      </c>
      <c r="DL48">
        <v>2.275</v>
      </c>
      <c r="DM48">
        <v>3.60890584</v>
      </c>
      <c r="DR48">
        <v>22.78158</v>
      </c>
      <c r="DS48">
        <v>0.65149</v>
      </c>
      <c r="DT48">
        <v>0.93795</v>
      </c>
      <c r="DU48">
        <v>1.35842</v>
      </c>
      <c r="DV48">
        <f t="shared" si="18"/>
        <v>0.98262</v>
      </c>
      <c r="DX48">
        <v>23.87744</v>
      </c>
      <c r="DY48">
        <v>1.19824</v>
      </c>
      <c r="DZ48">
        <v>1.36304</v>
      </c>
      <c r="EA48">
        <v>1.13047</v>
      </c>
      <c r="EB48">
        <f t="shared" si="19"/>
        <v>1.23058333333333</v>
      </c>
      <c r="ED48">
        <v>24.78989</v>
      </c>
      <c r="EE48">
        <v>1.24868</v>
      </c>
      <c r="EF48">
        <v>0.50941</v>
      </c>
      <c r="EG48">
        <v>1.41386</v>
      </c>
      <c r="EH48">
        <f t="shared" si="20"/>
        <v>1.05731666666667</v>
      </c>
      <c r="EJ48">
        <v>22.48608</v>
      </c>
      <c r="EK48">
        <v>1.80172</v>
      </c>
      <c r="EL48">
        <v>0.58825</v>
      </c>
      <c r="EM48">
        <v>1.38878</v>
      </c>
      <c r="EN48">
        <f t="shared" si="17"/>
        <v>1.25958333333333</v>
      </c>
    </row>
    <row r="49" spans="24:144">
      <c r="X49">
        <v>23.453</v>
      </c>
      <c r="Y49">
        <v>1.13385840447611</v>
      </c>
      <c r="Z49">
        <v>23.453</v>
      </c>
      <c r="AA49">
        <v>1.14333202907399</v>
      </c>
      <c r="AB49">
        <v>23.453</v>
      </c>
      <c r="AC49">
        <v>1.15312419364295</v>
      </c>
      <c r="AD49">
        <v>23.453</v>
      </c>
      <c r="AE49">
        <v>1.1259762566546</v>
      </c>
      <c r="AF49">
        <v>23.453</v>
      </c>
      <c r="AG49">
        <v>1.12783296207275</v>
      </c>
      <c r="AJ49">
        <v>225</v>
      </c>
      <c r="AK49">
        <v>2.637899</v>
      </c>
      <c r="AL49">
        <v>4.66590685</v>
      </c>
      <c r="AM49">
        <v>2.38243624</v>
      </c>
      <c r="AN49">
        <v>4.12790815</v>
      </c>
      <c r="AO49">
        <v>4.28452662</v>
      </c>
      <c r="AP49">
        <v>5.69800907</v>
      </c>
      <c r="AQ49">
        <v>2.02260156</v>
      </c>
      <c r="AR49">
        <v>2.98262023</v>
      </c>
      <c r="AS49">
        <v>3.88822926</v>
      </c>
      <c r="AT49">
        <v>5.26997498</v>
      </c>
      <c r="CS49">
        <v>2.325</v>
      </c>
      <c r="CT49">
        <v>2.84201563</v>
      </c>
      <c r="CV49">
        <v>2.325</v>
      </c>
      <c r="CW49">
        <v>4.70563243</v>
      </c>
      <c r="CX49">
        <v>2.325</v>
      </c>
      <c r="CY49">
        <v>2.69313028</v>
      </c>
      <c r="CZ49">
        <v>2.325</v>
      </c>
      <c r="DA49">
        <v>3.22692491</v>
      </c>
      <c r="DB49">
        <v>2.325</v>
      </c>
      <c r="DC49">
        <v>2.48658225</v>
      </c>
      <c r="DD49">
        <v>2.325</v>
      </c>
      <c r="DE49">
        <v>3.16189505</v>
      </c>
      <c r="DF49">
        <v>2.325</v>
      </c>
      <c r="DG49">
        <v>2.53641954</v>
      </c>
      <c r="DH49">
        <v>2.325</v>
      </c>
      <c r="DI49">
        <v>2.36851307</v>
      </c>
      <c r="DJ49">
        <v>2.325</v>
      </c>
      <c r="DK49">
        <v>1.99619253</v>
      </c>
      <c r="DL49">
        <v>2.325</v>
      </c>
      <c r="DM49">
        <v>1.7435298</v>
      </c>
      <c r="DR49">
        <v>23.27151</v>
      </c>
      <c r="DS49">
        <v>0.49439</v>
      </c>
      <c r="DT49">
        <v>1.27987</v>
      </c>
      <c r="DU49">
        <v>1.48317</v>
      </c>
      <c r="DV49">
        <f t="shared" si="18"/>
        <v>1.08581</v>
      </c>
      <c r="DX49">
        <v>24.39093</v>
      </c>
      <c r="DY49">
        <v>1.05039</v>
      </c>
      <c r="DZ49">
        <v>1.39384</v>
      </c>
      <c r="EA49">
        <v>1.23058</v>
      </c>
      <c r="EB49">
        <f t="shared" si="19"/>
        <v>1.22493666666667</v>
      </c>
      <c r="ED49">
        <v>25.323</v>
      </c>
      <c r="EE49">
        <v>1.16551</v>
      </c>
      <c r="EF49">
        <v>0.63069</v>
      </c>
      <c r="EG49">
        <v>1.6495</v>
      </c>
      <c r="EH49">
        <f t="shared" si="20"/>
        <v>1.14856666666667</v>
      </c>
      <c r="EJ49">
        <v>22.95947</v>
      </c>
      <c r="EK49">
        <v>1.40356</v>
      </c>
      <c r="EL49">
        <v>0.66323</v>
      </c>
      <c r="EM49">
        <v>1.3402</v>
      </c>
      <c r="EN49">
        <f t="shared" si="17"/>
        <v>1.13566333333333</v>
      </c>
    </row>
    <row r="50" spans="24:144">
      <c r="X50">
        <v>23.952</v>
      </c>
      <c r="Y50">
        <v>1.12455291265873</v>
      </c>
      <c r="Z50">
        <v>23.952</v>
      </c>
      <c r="AA50">
        <v>1.13901819185925</v>
      </c>
      <c r="AB50">
        <v>23.952</v>
      </c>
      <c r="AC50">
        <v>1.15201957336607</v>
      </c>
      <c r="AD50">
        <v>23.952</v>
      </c>
      <c r="AE50">
        <v>1.12817386594893</v>
      </c>
      <c r="AF50">
        <v>23.952</v>
      </c>
      <c r="AG50">
        <v>1.13126247529938</v>
      </c>
      <c r="AJ50">
        <v>230</v>
      </c>
      <c r="AK50">
        <v>2.66485412</v>
      </c>
      <c r="AL50">
        <v>4.70844224</v>
      </c>
      <c r="AM50">
        <v>2.41298653</v>
      </c>
      <c r="AN50">
        <v>4.18462217</v>
      </c>
      <c r="AO50">
        <v>4.33930492</v>
      </c>
      <c r="AP50">
        <v>5.79057685</v>
      </c>
      <c r="AQ50">
        <v>2.10120961</v>
      </c>
      <c r="AR50">
        <v>3.05339945</v>
      </c>
      <c r="AS50">
        <v>3.97394969</v>
      </c>
      <c r="AT50">
        <v>5.39487182</v>
      </c>
      <c r="CS50">
        <v>2.375</v>
      </c>
      <c r="CT50">
        <v>2.09852365</v>
      </c>
      <c r="CV50">
        <v>2.375</v>
      </c>
      <c r="CW50">
        <v>3.10034545</v>
      </c>
      <c r="CX50">
        <v>2.375</v>
      </c>
      <c r="CY50">
        <v>1.95959735</v>
      </c>
      <c r="CZ50">
        <v>2.375</v>
      </c>
      <c r="DA50">
        <v>2.48907697</v>
      </c>
      <c r="DB50">
        <v>2.375</v>
      </c>
      <c r="DC50">
        <v>1.99725417</v>
      </c>
      <c r="DD50">
        <v>2.375</v>
      </c>
      <c r="DE50">
        <v>2.27262667</v>
      </c>
      <c r="DF50">
        <v>2.375</v>
      </c>
      <c r="DG50">
        <v>2.09274717</v>
      </c>
      <c r="DH50">
        <v>2.375</v>
      </c>
      <c r="DI50">
        <v>2.292538</v>
      </c>
      <c r="DJ50">
        <v>2.375</v>
      </c>
      <c r="DK50">
        <v>1.54004941</v>
      </c>
      <c r="DL50">
        <v>2.375</v>
      </c>
      <c r="DM50">
        <v>1.48861417</v>
      </c>
      <c r="DR50">
        <v>23.76143</v>
      </c>
      <c r="DS50">
        <v>0.84554</v>
      </c>
      <c r="DT50">
        <v>1.52475</v>
      </c>
      <c r="DU50">
        <v>1.57096</v>
      </c>
      <c r="DV50">
        <f t="shared" si="18"/>
        <v>1.31375</v>
      </c>
      <c r="DX50">
        <v>24.90443</v>
      </c>
      <c r="DY50">
        <v>1.11969</v>
      </c>
      <c r="DZ50">
        <v>1.07657</v>
      </c>
      <c r="EA50">
        <v>1.12277</v>
      </c>
      <c r="EB50">
        <f t="shared" si="19"/>
        <v>1.10634333333333</v>
      </c>
      <c r="ED50">
        <v>25.85612</v>
      </c>
      <c r="EE50">
        <v>1.06271</v>
      </c>
      <c r="EF50">
        <v>0.70116</v>
      </c>
      <c r="EG50">
        <v>1.64488</v>
      </c>
      <c r="EH50">
        <f t="shared" si="20"/>
        <v>1.13625</v>
      </c>
      <c r="EJ50">
        <v>23.43286</v>
      </c>
      <c r="EK50">
        <v>1.2198</v>
      </c>
      <c r="EL50">
        <v>0.55234</v>
      </c>
      <c r="EM50">
        <v>1.3064</v>
      </c>
      <c r="EN50">
        <f t="shared" si="17"/>
        <v>1.02618</v>
      </c>
    </row>
    <row r="51" spans="24:144">
      <c r="X51">
        <v>24.451</v>
      </c>
      <c r="Y51">
        <v>1.13506117338589</v>
      </c>
      <c r="Z51">
        <v>24.451</v>
      </c>
      <c r="AA51">
        <v>1.14275020803086</v>
      </c>
      <c r="AB51">
        <v>24.451</v>
      </c>
      <c r="AC51">
        <v>1.14279586106177</v>
      </c>
      <c r="AD51">
        <v>24.451</v>
      </c>
      <c r="AE51">
        <v>1.12539222384596</v>
      </c>
      <c r="AF51">
        <v>24.451</v>
      </c>
      <c r="AG51">
        <v>1.12450006210308</v>
      </c>
      <c r="AJ51">
        <v>235</v>
      </c>
      <c r="AK51">
        <v>2.72825354</v>
      </c>
      <c r="AL51">
        <v>4.81552468</v>
      </c>
      <c r="AM51">
        <v>2.4808436</v>
      </c>
      <c r="AN51">
        <v>4.28245218</v>
      </c>
      <c r="AO51">
        <v>4.39582587</v>
      </c>
      <c r="AP51">
        <v>5.90575844</v>
      </c>
      <c r="AQ51">
        <v>2.14125616</v>
      </c>
      <c r="AR51">
        <v>3.10801789</v>
      </c>
      <c r="AS51">
        <v>4.09689341</v>
      </c>
      <c r="AT51">
        <v>5.55722727</v>
      </c>
      <c r="CS51">
        <v>2.425</v>
      </c>
      <c r="CT51">
        <v>1.88439995</v>
      </c>
      <c r="CV51">
        <v>2.425</v>
      </c>
      <c r="CW51">
        <v>2.16277721</v>
      </c>
      <c r="CX51">
        <v>2.425</v>
      </c>
      <c r="CY51">
        <v>1.69624706</v>
      </c>
      <c r="CZ51">
        <v>2.425</v>
      </c>
      <c r="DA51">
        <v>1.66401264</v>
      </c>
      <c r="DB51">
        <v>2.425</v>
      </c>
      <c r="DC51">
        <v>1.70197101</v>
      </c>
      <c r="DD51">
        <v>2.425</v>
      </c>
      <c r="DE51">
        <v>1.24564545</v>
      </c>
      <c r="DF51">
        <v>2.425</v>
      </c>
      <c r="DG51">
        <v>1.5520678</v>
      </c>
      <c r="DH51">
        <v>2.425</v>
      </c>
      <c r="DI51">
        <v>1.48050023</v>
      </c>
      <c r="DJ51">
        <v>2.425</v>
      </c>
      <c r="DK51">
        <v>1.26369772</v>
      </c>
      <c r="DL51">
        <v>2.425</v>
      </c>
      <c r="DM51">
        <v>1.20931255</v>
      </c>
      <c r="DR51">
        <v>24.25136</v>
      </c>
      <c r="DS51">
        <v>1.13663</v>
      </c>
      <c r="DT51">
        <v>1.67261</v>
      </c>
      <c r="DU51">
        <v>1.54785</v>
      </c>
      <c r="DV51">
        <f t="shared" si="18"/>
        <v>1.45236333333333</v>
      </c>
      <c r="DX51">
        <v>25.41792</v>
      </c>
      <c r="DY51">
        <v>0.94873</v>
      </c>
      <c r="DZ51">
        <v>0.84862</v>
      </c>
      <c r="EA51">
        <v>1.06117</v>
      </c>
      <c r="EB51">
        <f t="shared" si="19"/>
        <v>0.95284</v>
      </c>
      <c r="ED51">
        <v>26.38924</v>
      </c>
      <c r="EE51">
        <v>1.19092</v>
      </c>
      <c r="EF51">
        <v>1.03729</v>
      </c>
      <c r="EG51">
        <v>1.73383</v>
      </c>
      <c r="EH51">
        <f t="shared" si="20"/>
        <v>1.32068</v>
      </c>
      <c r="EJ51">
        <v>23.90625</v>
      </c>
      <c r="EK51">
        <v>1.1332</v>
      </c>
      <c r="EL51">
        <v>0.51855</v>
      </c>
      <c r="EM51">
        <v>1.39617</v>
      </c>
      <c r="EN51">
        <f t="shared" si="17"/>
        <v>1.01597333333333</v>
      </c>
    </row>
    <row r="52" spans="24:144">
      <c r="X52">
        <v>24.95</v>
      </c>
      <c r="Y52">
        <v>1.13564234114775</v>
      </c>
      <c r="Z52">
        <v>24.95</v>
      </c>
      <c r="AA52">
        <v>1.13993434182128</v>
      </c>
      <c r="AB52">
        <v>24.95</v>
      </c>
      <c r="AC52">
        <v>1.14182477576037</v>
      </c>
      <c r="AD52">
        <v>24.95</v>
      </c>
      <c r="AE52">
        <v>1.12454154063711</v>
      </c>
      <c r="AF52">
        <v>24.95</v>
      </c>
      <c r="AG52">
        <v>1.12940504556567</v>
      </c>
      <c r="AJ52">
        <v>240</v>
      </c>
      <c r="AK52">
        <v>2.76167849</v>
      </c>
      <c r="AL52">
        <v>4.87813927</v>
      </c>
      <c r="AM52">
        <v>2.55108608</v>
      </c>
      <c r="AN52">
        <v>4.37255935</v>
      </c>
      <c r="AO52">
        <v>4.47864234</v>
      </c>
      <c r="AP52">
        <v>6.00254247</v>
      </c>
      <c r="AQ52">
        <v>2.1747886</v>
      </c>
      <c r="AR52">
        <v>3.1464196</v>
      </c>
      <c r="AS52">
        <v>4.18396737</v>
      </c>
      <c r="AT52">
        <v>5.64994368</v>
      </c>
      <c r="CS52">
        <v>2.475</v>
      </c>
      <c r="CT52">
        <v>1.25398962</v>
      </c>
      <c r="CV52">
        <v>2.475</v>
      </c>
      <c r="CW52">
        <v>1.81674316</v>
      </c>
      <c r="CX52">
        <v>2.475</v>
      </c>
      <c r="CY52">
        <v>1.41935423</v>
      </c>
      <c r="CZ52">
        <v>2.475</v>
      </c>
      <c r="DA52">
        <v>1.38909668</v>
      </c>
      <c r="DB52">
        <v>2.475</v>
      </c>
      <c r="DC52">
        <v>1.39710412</v>
      </c>
      <c r="DD52">
        <v>2.475</v>
      </c>
      <c r="DE52">
        <v>1.06295681</v>
      </c>
      <c r="DF52">
        <v>2.475</v>
      </c>
      <c r="DG52">
        <v>1.3178165</v>
      </c>
      <c r="DH52">
        <v>2.475</v>
      </c>
      <c r="DI52">
        <v>1.56759736</v>
      </c>
      <c r="DJ52">
        <v>2.475</v>
      </c>
      <c r="DK52">
        <v>0.97495697</v>
      </c>
      <c r="DL52">
        <v>2.475</v>
      </c>
      <c r="DM52">
        <v>0.97911162</v>
      </c>
      <c r="DR52">
        <v>24.74129</v>
      </c>
      <c r="DS52">
        <v>1.12739</v>
      </c>
      <c r="DT52">
        <v>1.44158</v>
      </c>
      <c r="DU52">
        <v>1.48317</v>
      </c>
      <c r="DV52">
        <f t="shared" si="18"/>
        <v>1.35071333333333</v>
      </c>
      <c r="DX52">
        <v>25.93141</v>
      </c>
      <c r="DY52">
        <v>0.76392</v>
      </c>
      <c r="DZ52">
        <v>0.94873</v>
      </c>
      <c r="EA52">
        <v>0.83168</v>
      </c>
      <c r="EB52">
        <f t="shared" si="19"/>
        <v>0.84811</v>
      </c>
      <c r="ED52">
        <v>26.92235</v>
      </c>
      <c r="EE52">
        <v>1.27178</v>
      </c>
      <c r="EF52">
        <v>1.21634</v>
      </c>
      <c r="EG52">
        <v>1.7165</v>
      </c>
      <c r="EH52">
        <f t="shared" si="20"/>
        <v>1.40154</v>
      </c>
      <c r="EJ52">
        <v>24.37964</v>
      </c>
      <c r="EK52">
        <v>1.34653</v>
      </c>
      <c r="EL52">
        <v>0.753</v>
      </c>
      <c r="EM52">
        <v>1.36977</v>
      </c>
      <c r="EN52">
        <f t="shared" si="17"/>
        <v>1.15643333333333</v>
      </c>
    </row>
    <row r="53" spans="24:144">
      <c r="X53">
        <v>25.449</v>
      </c>
      <c r="Y53">
        <v>1.13871296171261</v>
      </c>
      <c r="Z53">
        <v>25.449</v>
      </c>
      <c r="AA53">
        <v>1.14081560108644</v>
      </c>
      <c r="AB53">
        <v>25.449</v>
      </c>
      <c r="AC53">
        <v>1.12892090138719</v>
      </c>
      <c r="AD53">
        <v>25.449</v>
      </c>
      <c r="AE53">
        <v>1.12499694636109</v>
      </c>
      <c r="AF53">
        <v>25.449</v>
      </c>
      <c r="AG53">
        <v>1.12404754202858</v>
      </c>
      <c r="AJ53">
        <v>245</v>
      </c>
      <c r="AK53">
        <v>2.80485868</v>
      </c>
      <c r="AL53">
        <v>4.96881315</v>
      </c>
      <c r="AM53">
        <v>2.61983423</v>
      </c>
      <c r="AN53">
        <v>4.46916038</v>
      </c>
      <c r="AO53">
        <v>4.57622815</v>
      </c>
      <c r="AP53">
        <v>6.12842044</v>
      </c>
      <c r="AQ53">
        <v>2.19735673</v>
      </c>
      <c r="AR53">
        <v>3.17260277</v>
      </c>
      <c r="AS53">
        <v>4.2598782</v>
      </c>
      <c r="AT53">
        <v>5.75911685</v>
      </c>
      <c r="CS53">
        <v>2.525</v>
      </c>
      <c r="CT53">
        <v>1.0468108</v>
      </c>
      <c r="CV53">
        <v>2.525</v>
      </c>
      <c r="CW53">
        <v>1.4961494</v>
      </c>
      <c r="CX53">
        <v>2.525</v>
      </c>
      <c r="CY53">
        <v>1.04656089</v>
      </c>
      <c r="CZ53">
        <v>2.525</v>
      </c>
      <c r="DA53">
        <v>1.00097207</v>
      </c>
      <c r="DB53">
        <v>2.525</v>
      </c>
      <c r="DC53">
        <v>1.28923667</v>
      </c>
      <c r="DD53">
        <v>2.525</v>
      </c>
      <c r="DE53">
        <v>0.92553289</v>
      </c>
      <c r="DF53">
        <v>2.525</v>
      </c>
      <c r="DG53">
        <v>1.22796898</v>
      </c>
      <c r="DH53">
        <v>2.525</v>
      </c>
      <c r="DI53">
        <v>0.90367859</v>
      </c>
      <c r="DJ53">
        <v>2.525</v>
      </c>
      <c r="DK53">
        <v>0.76109179</v>
      </c>
      <c r="DL53">
        <v>2.525</v>
      </c>
      <c r="DM53">
        <v>0.72569836</v>
      </c>
      <c r="DR53">
        <v>25.23121</v>
      </c>
      <c r="DS53">
        <v>0.60066</v>
      </c>
      <c r="DT53">
        <v>1.46007</v>
      </c>
      <c r="DU53">
        <v>1.09967</v>
      </c>
      <c r="DV53">
        <f t="shared" si="18"/>
        <v>1.05346666666667</v>
      </c>
      <c r="DX53">
        <v>26.44491</v>
      </c>
      <c r="DY53">
        <v>0.89021</v>
      </c>
      <c r="DZ53">
        <v>1.09505</v>
      </c>
      <c r="EA53">
        <v>1.05347</v>
      </c>
      <c r="EB53">
        <f t="shared" si="19"/>
        <v>1.01291</v>
      </c>
      <c r="ED53">
        <v>27.45547</v>
      </c>
      <c r="EE53">
        <v>1.31568</v>
      </c>
      <c r="EF53">
        <v>1.35842</v>
      </c>
      <c r="EG53">
        <v>1.56056</v>
      </c>
      <c r="EH53">
        <f t="shared" si="20"/>
        <v>1.41155333333333</v>
      </c>
      <c r="EJ53">
        <v>24.85303</v>
      </c>
      <c r="EK53">
        <v>1.51868</v>
      </c>
      <c r="EL53">
        <v>0.93782</v>
      </c>
      <c r="EM53">
        <v>1.32436</v>
      </c>
      <c r="EN53">
        <f t="shared" si="17"/>
        <v>1.26028666666667</v>
      </c>
    </row>
    <row r="54" spans="24:144">
      <c r="X54">
        <v>25.948</v>
      </c>
      <c r="Y54">
        <v>1.13760932359734</v>
      </c>
      <c r="Z54">
        <v>25.948</v>
      </c>
      <c r="AA54">
        <v>1.14220647086411</v>
      </c>
      <c r="AB54">
        <v>25.948</v>
      </c>
      <c r="AC54">
        <v>1.13705259097134</v>
      </c>
      <c r="AD54">
        <v>25.948</v>
      </c>
      <c r="AE54">
        <v>1.1267947455264</v>
      </c>
      <c r="AF54">
        <v>25.948</v>
      </c>
      <c r="AG54">
        <v>1.13193419491044</v>
      </c>
      <c r="AJ54">
        <v>250</v>
      </c>
      <c r="AK54">
        <v>2.85202653</v>
      </c>
      <c r="AL54">
        <v>5.04951481</v>
      </c>
      <c r="AM54">
        <v>2.65827996</v>
      </c>
      <c r="AN54">
        <v>4.54811465</v>
      </c>
      <c r="AO54">
        <v>4.69750194</v>
      </c>
      <c r="AP54">
        <v>6.26621499</v>
      </c>
      <c r="AQ54">
        <v>2.24946764</v>
      </c>
      <c r="AR54">
        <v>3.23424631</v>
      </c>
      <c r="AS54">
        <v>4.37327883</v>
      </c>
      <c r="AT54">
        <v>5.8883947</v>
      </c>
      <c r="CS54">
        <v>2.575</v>
      </c>
      <c r="CT54">
        <v>0.91159599</v>
      </c>
      <c r="CV54">
        <v>2.575</v>
      </c>
      <c r="CW54">
        <v>0.71930621</v>
      </c>
      <c r="CX54">
        <v>2.575</v>
      </c>
      <c r="CY54">
        <v>0.92499534</v>
      </c>
      <c r="CZ54">
        <v>2.575</v>
      </c>
      <c r="DA54">
        <v>0.83414758</v>
      </c>
      <c r="DB54">
        <v>2.575</v>
      </c>
      <c r="DC54">
        <v>1.10110699</v>
      </c>
      <c r="DD54">
        <v>2.575</v>
      </c>
      <c r="DE54">
        <v>0.76718961</v>
      </c>
      <c r="DF54">
        <v>2.575</v>
      </c>
      <c r="DG54">
        <v>0.91767772</v>
      </c>
      <c r="DH54">
        <v>2.575</v>
      </c>
      <c r="DI54">
        <v>0.73375981</v>
      </c>
      <c r="DJ54">
        <v>2.575</v>
      </c>
      <c r="DK54">
        <v>0.70111686</v>
      </c>
      <c r="DL54">
        <v>2.575</v>
      </c>
      <c r="DM54">
        <v>0.56856995</v>
      </c>
      <c r="DR54">
        <v>25.72114</v>
      </c>
      <c r="DS54">
        <v>0.29571</v>
      </c>
      <c r="DT54">
        <v>1.35842</v>
      </c>
      <c r="DU54">
        <v>1.10429</v>
      </c>
      <c r="DV54">
        <f t="shared" si="18"/>
        <v>0.919473333333333</v>
      </c>
      <c r="DX54">
        <v>26.9584</v>
      </c>
      <c r="DY54">
        <v>0.8132</v>
      </c>
      <c r="DZ54">
        <v>1.20594</v>
      </c>
      <c r="EA54">
        <v>1.26909</v>
      </c>
      <c r="EB54">
        <f t="shared" si="19"/>
        <v>1.09607666666667</v>
      </c>
      <c r="ED54">
        <v>27.98858</v>
      </c>
      <c r="EE54">
        <v>1.28218</v>
      </c>
      <c r="EF54">
        <v>1.22904</v>
      </c>
      <c r="EG54">
        <v>1.26947</v>
      </c>
      <c r="EH54">
        <f t="shared" si="20"/>
        <v>1.26023</v>
      </c>
      <c r="EJ54">
        <v>25.32642</v>
      </c>
      <c r="EK54">
        <v>1.57782</v>
      </c>
      <c r="EL54">
        <v>0.86073</v>
      </c>
      <c r="EM54">
        <v>1.38033</v>
      </c>
      <c r="EN54">
        <f t="shared" si="17"/>
        <v>1.27296</v>
      </c>
    </row>
    <row r="55" spans="24:144">
      <c r="X55">
        <v>26.447</v>
      </c>
      <c r="Y55">
        <v>1.15135491283747</v>
      </c>
      <c r="Z55">
        <v>26.447</v>
      </c>
      <c r="AA55">
        <v>1.155711148746</v>
      </c>
      <c r="AB55">
        <v>26.447</v>
      </c>
      <c r="AC55">
        <v>1.14170937735159</v>
      </c>
      <c r="AD55">
        <v>26.447</v>
      </c>
      <c r="AE55">
        <v>1.1306391292625</v>
      </c>
      <c r="AF55">
        <v>26.447</v>
      </c>
      <c r="AG55">
        <v>1.12563312268399</v>
      </c>
      <c r="AJ55">
        <v>255</v>
      </c>
      <c r="AK55">
        <v>2.9647715</v>
      </c>
      <c r="AL55">
        <v>5.13512781</v>
      </c>
      <c r="AM55">
        <v>2.71859675</v>
      </c>
      <c r="AN55">
        <v>4.60557743</v>
      </c>
      <c r="AO55">
        <v>4.79846195</v>
      </c>
      <c r="AP55">
        <v>6.38135145</v>
      </c>
      <c r="AQ55">
        <v>2.28069143</v>
      </c>
      <c r="AR55">
        <v>3.26192997</v>
      </c>
      <c r="AS55">
        <v>4.48297796</v>
      </c>
      <c r="AT55">
        <v>6.01720125</v>
      </c>
      <c r="CS55">
        <v>2.625</v>
      </c>
      <c r="CT55">
        <v>0.71272525</v>
      </c>
      <c r="CV55">
        <v>2.625</v>
      </c>
      <c r="CW55">
        <v>0.69216587</v>
      </c>
      <c r="CX55">
        <v>2.625</v>
      </c>
      <c r="CY55">
        <v>0.68468775</v>
      </c>
      <c r="CZ55">
        <v>2.625</v>
      </c>
      <c r="DA55">
        <v>0.24697665</v>
      </c>
      <c r="DB55">
        <v>2.625</v>
      </c>
      <c r="DC55">
        <v>0.75081461</v>
      </c>
      <c r="DD55">
        <v>2.625</v>
      </c>
      <c r="DE55">
        <v>0.53153464</v>
      </c>
      <c r="DF55">
        <v>2.625</v>
      </c>
      <c r="DG55">
        <v>0.64757188</v>
      </c>
      <c r="DH55">
        <v>2.625</v>
      </c>
      <c r="DI55">
        <v>0.74323591</v>
      </c>
      <c r="DJ55">
        <v>2.625</v>
      </c>
      <c r="DK55">
        <v>0.65988918</v>
      </c>
      <c r="DL55">
        <v>2.625</v>
      </c>
      <c r="DM55">
        <v>0.52224812</v>
      </c>
      <c r="DR55">
        <v>26.21107</v>
      </c>
      <c r="DS55">
        <v>0.28185</v>
      </c>
      <c r="DT55">
        <v>1.20594</v>
      </c>
      <c r="DU55">
        <v>1.26139</v>
      </c>
      <c r="DV55">
        <f t="shared" si="18"/>
        <v>0.916393333333333</v>
      </c>
      <c r="DX55">
        <v>27.47189</v>
      </c>
      <c r="DY55">
        <v>0.66227</v>
      </c>
      <c r="DZ55">
        <v>1.08427</v>
      </c>
      <c r="EA55">
        <v>1.32761</v>
      </c>
      <c r="EB55">
        <f t="shared" si="19"/>
        <v>1.02471666666667</v>
      </c>
      <c r="ED55">
        <v>28.5217</v>
      </c>
      <c r="EE55">
        <v>1.28795</v>
      </c>
      <c r="EF55">
        <v>1.15627</v>
      </c>
      <c r="EG55">
        <v>1.29026</v>
      </c>
      <c r="EH55">
        <f t="shared" si="20"/>
        <v>1.24482666666667</v>
      </c>
      <c r="EJ55">
        <v>25.79982</v>
      </c>
      <c r="EK55">
        <v>1.63485</v>
      </c>
      <c r="EL55">
        <v>1.09624</v>
      </c>
      <c r="EM55">
        <v>1.39617</v>
      </c>
      <c r="EN55">
        <f t="shared" si="17"/>
        <v>1.37575333333333</v>
      </c>
    </row>
    <row r="56" spans="24:144">
      <c r="X56">
        <v>26.946</v>
      </c>
      <c r="Y56">
        <v>1.14586078651318</v>
      </c>
      <c r="Z56">
        <v>26.946</v>
      </c>
      <c r="AA56">
        <v>1.14733359064805</v>
      </c>
      <c r="AB56">
        <v>26.946</v>
      </c>
      <c r="AC56">
        <v>1.14925998514535</v>
      </c>
      <c r="AD56">
        <v>26.946</v>
      </c>
      <c r="AE56">
        <v>1.13806383673456</v>
      </c>
      <c r="AF56">
        <v>26.946</v>
      </c>
      <c r="AG56">
        <v>1.12448087714831</v>
      </c>
      <c r="AJ56">
        <v>260</v>
      </c>
      <c r="AK56">
        <v>3.06079886</v>
      </c>
      <c r="AL56">
        <v>5.2548014</v>
      </c>
      <c r="AM56">
        <v>2.78865979</v>
      </c>
      <c r="AN56">
        <v>4.72881912</v>
      </c>
      <c r="AO56">
        <v>4.95765953</v>
      </c>
      <c r="AP56">
        <v>6.58306606</v>
      </c>
      <c r="AQ56">
        <v>2.33667569</v>
      </c>
      <c r="AR56">
        <v>3.35189219</v>
      </c>
      <c r="AS56">
        <v>4.56744019</v>
      </c>
      <c r="AT56">
        <v>6.14143921</v>
      </c>
      <c r="CS56">
        <v>2.675</v>
      </c>
      <c r="CT56">
        <v>0.72152756</v>
      </c>
      <c r="CV56">
        <v>2.675</v>
      </c>
      <c r="CW56">
        <v>1.33306616</v>
      </c>
      <c r="CX56">
        <v>2.675</v>
      </c>
      <c r="CY56">
        <v>0.63107482</v>
      </c>
      <c r="CZ56">
        <v>2.675</v>
      </c>
      <c r="DA56">
        <v>0.53511848</v>
      </c>
      <c r="DB56">
        <v>2.675</v>
      </c>
      <c r="DC56">
        <v>0.76355251</v>
      </c>
      <c r="DD56">
        <v>2.675</v>
      </c>
      <c r="DE56">
        <v>0.45497819</v>
      </c>
      <c r="DF56">
        <v>2.675</v>
      </c>
      <c r="DG56">
        <v>0.64626655</v>
      </c>
      <c r="DH56">
        <v>2.675</v>
      </c>
      <c r="DI56">
        <v>0.64414067</v>
      </c>
      <c r="DJ56">
        <v>2.675</v>
      </c>
      <c r="DK56">
        <v>0.3888585</v>
      </c>
      <c r="DL56">
        <v>2.675</v>
      </c>
      <c r="DM56">
        <v>0.43106387</v>
      </c>
      <c r="DR56">
        <v>26.70099</v>
      </c>
      <c r="DS56">
        <v>0.19406</v>
      </c>
      <c r="DT56">
        <v>1.15974</v>
      </c>
      <c r="DU56">
        <v>1.52937</v>
      </c>
      <c r="DV56">
        <f t="shared" si="18"/>
        <v>0.961056666666667</v>
      </c>
      <c r="DX56">
        <v>27.98538</v>
      </c>
      <c r="DY56">
        <v>0.63454</v>
      </c>
      <c r="DZ56">
        <v>1.00418</v>
      </c>
      <c r="EA56">
        <v>1.62178</v>
      </c>
      <c r="EB56">
        <f t="shared" si="19"/>
        <v>1.08683333333333</v>
      </c>
      <c r="ED56">
        <v>29.05482</v>
      </c>
      <c r="EE56">
        <v>1.22904</v>
      </c>
      <c r="EF56">
        <v>1.32261</v>
      </c>
      <c r="EG56">
        <v>1.22442</v>
      </c>
      <c r="EH56">
        <f t="shared" si="20"/>
        <v>1.25869</v>
      </c>
      <c r="EJ56">
        <v>26.27321</v>
      </c>
      <c r="EK56">
        <v>1.57888</v>
      </c>
      <c r="EL56">
        <v>1.12158</v>
      </c>
      <c r="EM56">
        <v>1.43314</v>
      </c>
      <c r="EN56">
        <f t="shared" si="17"/>
        <v>1.37786666666667</v>
      </c>
    </row>
    <row r="57" spans="24:144">
      <c r="X57">
        <v>27.445</v>
      </c>
      <c r="Y57">
        <v>1.1411403380301</v>
      </c>
      <c r="Z57">
        <v>27.445</v>
      </c>
      <c r="AA57">
        <v>1.1497106448119</v>
      </c>
      <c r="AB57">
        <v>27.445</v>
      </c>
      <c r="AC57">
        <v>1.14842572560267</v>
      </c>
      <c r="AD57">
        <v>27.445</v>
      </c>
      <c r="AE57">
        <v>1.13678209801259</v>
      </c>
      <c r="AF57">
        <v>27.445</v>
      </c>
      <c r="AG57">
        <v>1.12971460827445</v>
      </c>
      <c r="AJ57">
        <v>265</v>
      </c>
      <c r="AK57">
        <v>3.15563313</v>
      </c>
      <c r="AL57">
        <v>5.37996898</v>
      </c>
      <c r="AM57">
        <v>2.85077448</v>
      </c>
      <c r="AN57">
        <v>4.79671123</v>
      </c>
      <c r="AO57">
        <v>5.09143395</v>
      </c>
      <c r="AP57">
        <v>6.75284259</v>
      </c>
      <c r="AQ57">
        <v>2.38287317</v>
      </c>
      <c r="AR57">
        <v>3.38027938</v>
      </c>
      <c r="AS57">
        <v>4.72269375</v>
      </c>
      <c r="AT57">
        <v>6.3202689</v>
      </c>
      <c r="CS57">
        <v>2.725</v>
      </c>
      <c r="CT57">
        <v>0.45787597</v>
      </c>
      <c r="CV57">
        <v>2.725</v>
      </c>
      <c r="CW57">
        <v>1.71279529</v>
      </c>
      <c r="CX57">
        <v>2.725</v>
      </c>
      <c r="CY57">
        <v>0.62628233</v>
      </c>
      <c r="CZ57">
        <v>2.725</v>
      </c>
      <c r="DA57">
        <v>0.4010703</v>
      </c>
      <c r="DB57">
        <v>2.725</v>
      </c>
      <c r="DC57">
        <v>0.64463025</v>
      </c>
      <c r="DD57">
        <v>2.725</v>
      </c>
      <c r="DE57">
        <v>0.35622875</v>
      </c>
      <c r="DF57">
        <v>2.725</v>
      </c>
      <c r="DG57">
        <v>0.57360264</v>
      </c>
      <c r="DH57">
        <v>2.725</v>
      </c>
      <c r="DI57">
        <v>0.68968889</v>
      </c>
      <c r="DJ57">
        <v>2.725</v>
      </c>
      <c r="DK57">
        <v>0.39299879</v>
      </c>
      <c r="DL57">
        <v>2.725</v>
      </c>
      <c r="DM57">
        <v>0.36923607</v>
      </c>
      <c r="DR57">
        <v>27.19092</v>
      </c>
      <c r="DS57">
        <v>0.0462</v>
      </c>
      <c r="DT57">
        <v>0.74851</v>
      </c>
      <c r="DU57">
        <v>1.49241</v>
      </c>
      <c r="DV57">
        <f t="shared" si="18"/>
        <v>0.762373333333333</v>
      </c>
      <c r="DX57">
        <v>28.49888</v>
      </c>
      <c r="DY57">
        <v>0.67459</v>
      </c>
      <c r="DZ57">
        <v>0.85941</v>
      </c>
      <c r="EA57">
        <v>2.04224</v>
      </c>
      <c r="EB57">
        <f t="shared" si="19"/>
        <v>1.19208</v>
      </c>
      <c r="ED57">
        <v>29.58793</v>
      </c>
      <c r="EE57">
        <v>1.2429</v>
      </c>
      <c r="EF57">
        <v>1.24406</v>
      </c>
      <c r="EG57">
        <v>1.0269</v>
      </c>
      <c r="EH57">
        <f t="shared" si="20"/>
        <v>1.17128666666667</v>
      </c>
      <c r="EJ57">
        <v>26.7466</v>
      </c>
      <c r="EK57">
        <v>1.63485</v>
      </c>
      <c r="EL57">
        <v>1.20185</v>
      </c>
      <c r="EM57">
        <v>1.32752</v>
      </c>
      <c r="EN57">
        <f t="shared" si="17"/>
        <v>1.38807333333333</v>
      </c>
    </row>
    <row r="58" spans="24:144">
      <c r="X58">
        <v>27.944</v>
      </c>
      <c r="Y58">
        <v>1.13799664034825</v>
      </c>
      <c r="Z58">
        <v>27.944</v>
      </c>
      <c r="AA58">
        <v>1.15356749877205</v>
      </c>
      <c r="AB58">
        <v>27.944</v>
      </c>
      <c r="AC58">
        <v>1.14022553246026</v>
      </c>
      <c r="AD58">
        <v>27.944</v>
      </c>
      <c r="AE58">
        <v>1.12797791292745</v>
      </c>
      <c r="AF58">
        <v>27.944</v>
      </c>
      <c r="AG58">
        <v>1.13542994950832</v>
      </c>
      <c r="AJ58">
        <v>270</v>
      </c>
      <c r="AK58">
        <v>3.27037666</v>
      </c>
      <c r="AL58">
        <v>5.45580182</v>
      </c>
      <c r="AM58">
        <v>2.94445902</v>
      </c>
      <c r="AN58">
        <v>4.91118578</v>
      </c>
      <c r="AO58">
        <v>5.24853127</v>
      </c>
      <c r="AP58">
        <v>6.95229872</v>
      </c>
      <c r="AQ58">
        <v>2.4267128</v>
      </c>
      <c r="AR58">
        <v>3.43716321</v>
      </c>
      <c r="AS58">
        <v>4.87136752</v>
      </c>
      <c r="AT58">
        <v>6.48430366</v>
      </c>
      <c r="CS58">
        <v>2.775</v>
      </c>
      <c r="CT58">
        <v>0.57234725</v>
      </c>
      <c r="CV58">
        <v>2.775</v>
      </c>
      <c r="CW58">
        <v>0.82581532</v>
      </c>
      <c r="CX58">
        <v>2.775</v>
      </c>
      <c r="CY58">
        <v>0.55140296</v>
      </c>
      <c r="CZ58">
        <v>2.775</v>
      </c>
      <c r="DA58">
        <v>0.44199761</v>
      </c>
      <c r="DB58">
        <v>2.775</v>
      </c>
      <c r="DC58">
        <v>0.56510021</v>
      </c>
      <c r="DD58">
        <v>2.775</v>
      </c>
      <c r="DE58">
        <v>0.60774435</v>
      </c>
      <c r="DF58">
        <v>2.775</v>
      </c>
      <c r="DG58">
        <v>0.39508504</v>
      </c>
      <c r="DH58">
        <v>2.775</v>
      </c>
      <c r="DI58">
        <v>0.56530084</v>
      </c>
      <c r="DJ58">
        <v>2.775</v>
      </c>
      <c r="DK58">
        <v>0.40981059</v>
      </c>
      <c r="DL58">
        <v>2.775</v>
      </c>
      <c r="DM58">
        <v>0.3560505</v>
      </c>
      <c r="DR58">
        <v>27.68085</v>
      </c>
      <c r="DS58">
        <v>0.00924</v>
      </c>
      <c r="DT58">
        <v>0.91485</v>
      </c>
      <c r="DU58">
        <v>0.97492</v>
      </c>
      <c r="DV58">
        <f t="shared" si="18"/>
        <v>0.633003333333333</v>
      </c>
      <c r="DX58">
        <v>29.01237</v>
      </c>
      <c r="DY58">
        <v>0.61606</v>
      </c>
      <c r="DZ58">
        <v>0.94873</v>
      </c>
      <c r="EA58">
        <v>2.52739</v>
      </c>
      <c r="EB58">
        <f t="shared" si="19"/>
        <v>1.36406</v>
      </c>
      <c r="ED58">
        <v>30.12105</v>
      </c>
      <c r="EE58">
        <v>1.14241</v>
      </c>
      <c r="EF58">
        <v>1.02228</v>
      </c>
      <c r="EG58">
        <v>1.00149</v>
      </c>
      <c r="EH58">
        <f t="shared" si="20"/>
        <v>1.05539333333333</v>
      </c>
      <c r="EJ58">
        <v>27.21999</v>
      </c>
      <c r="EK58">
        <v>1.56515</v>
      </c>
      <c r="EL58">
        <v>1.50601</v>
      </c>
      <c r="EM58">
        <v>1.33281</v>
      </c>
      <c r="EN58">
        <f t="shared" si="17"/>
        <v>1.46799</v>
      </c>
    </row>
    <row r="59" spans="24:144">
      <c r="X59">
        <v>28.443</v>
      </c>
      <c r="Y59">
        <v>1.12763814512788</v>
      </c>
      <c r="Z59">
        <v>28.443</v>
      </c>
      <c r="AA59">
        <v>1.15826871786335</v>
      </c>
      <c r="AB59">
        <v>28.443</v>
      </c>
      <c r="AC59">
        <v>1.15644941072409</v>
      </c>
      <c r="AD59">
        <v>28.443</v>
      </c>
      <c r="AE59">
        <v>1.12841947437365</v>
      </c>
      <c r="AF59">
        <v>28.443</v>
      </c>
      <c r="AG59">
        <v>1.13917491559229</v>
      </c>
      <c r="AJ59">
        <v>275</v>
      </c>
      <c r="AK59">
        <v>3.29168094</v>
      </c>
      <c r="AL59">
        <v>5.51311066</v>
      </c>
      <c r="AM59">
        <v>2.97121038</v>
      </c>
      <c r="AN59">
        <v>5.00513031</v>
      </c>
      <c r="AO59">
        <v>5.39262291</v>
      </c>
      <c r="AP59">
        <v>7.11221705</v>
      </c>
      <c r="AQ59">
        <v>2.45675839</v>
      </c>
      <c r="AR59">
        <v>3.4990087</v>
      </c>
      <c r="AS59">
        <v>4.9869993</v>
      </c>
      <c r="AT59">
        <v>6.59896987</v>
      </c>
      <c r="CS59">
        <v>2.825</v>
      </c>
      <c r="CT59">
        <v>0.41025548</v>
      </c>
      <c r="CV59">
        <v>2.825</v>
      </c>
      <c r="CW59">
        <v>0.39842119</v>
      </c>
      <c r="CX59">
        <v>2.825</v>
      </c>
      <c r="CY59">
        <v>0.4138225</v>
      </c>
      <c r="CZ59">
        <v>2.825</v>
      </c>
      <c r="DA59">
        <v>0.3198679</v>
      </c>
      <c r="DB59">
        <v>2.825</v>
      </c>
      <c r="DC59">
        <v>0.50286399</v>
      </c>
      <c r="DD59">
        <v>2.825</v>
      </c>
      <c r="DE59">
        <v>0.45893912</v>
      </c>
      <c r="DF59">
        <v>2.825</v>
      </c>
      <c r="DG59">
        <v>0.42188773</v>
      </c>
      <c r="DH59">
        <v>2.825</v>
      </c>
      <c r="DI59">
        <v>0.57755413</v>
      </c>
      <c r="DJ59">
        <v>2.825</v>
      </c>
      <c r="DK59">
        <v>0.37842492</v>
      </c>
      <c r="DL59">
        <v>2.825</v>
      </c>
      <c r="DM59">
        <v>0.36503122</v>
      </c>
      <c r="DR59">
        <v>28.17077</v>
      </c>
      <c r="DS59">
        <v>0.0462</v>
      </c>
      <c r="DT59">
        <v>1.15512</v>
      </c>
      <c r="DU59">
        <v>0.74851</v>
      </c>
      <c r="DV59">
        <f t="shared" si="18"/>
        <v>0.649943333333333</v>
      </c>
      <c r="DX59">
        <v>29.52586</v>
      </c>
      <c r="DY59">
        <v>0.38504</v>
      </c>
      <c r="DZ59">
        <v>1.0088</v>
      </c>
      <c r="EA59">
        <v>2.55358</v>
      </c>
      <c r="EB59">
        <f t="shared" si="19"/>
        <v>1.31580666666667</v>
      </c>
      <c r="ED59">
        <v>30.65416</v>
      </c>
      <c r="EE59">
        <v>1.06271</v>
      </c>
      <c r="EF59">
        <v>0.80165</v>
      </c>
      <c r="EG59">
        <v>0.99224</v>
      </c>
      <c r="EH59">
        <f t="shared" si="20"/>
        <v>0.9522</v>
      </c>
      <c r="EJ59">
        <v>27.69338</v>
      </c>
      <c r="EK59">
        <v>1.66337</v>
      </c>
      <c r="EL59">
        <v>1.62535</v>
      </c>
      <c r="EM59">
        <v>1.29267</v>
      </c>
      <c r="EN59">
        <f t="shared" si="17"/>
        <v>1.52713</v>
      </c>
    </row>
    <row r="60" spans="24:144">
      <c r="X60">
        <v>28.942</v>
      </c>
      <c r="Y60">
        <v>1.13545672932036</v>
      </c>
      <c r="Z60">
        <v>28.942</v>
      </c>
      <c r="AA60">
        <v>1.16253244548538</v>
      </c>
      <c r="AB60">
        <v>28.942</v>
      </c>
      <c r="AC60">
        <v>1.16050054696882</v>
      </c>
      <c r="AD60">
        <v>28.942</v>
      </c>
      <c r="AE60">
        <v>1.13853049126699</v>
      </c>
      <c r="AF60">
        <v>28.942</v>
      </c>
      <c r="AG60">
        <v>1.13025739580964</v>
      </c>
      <c r="AJ60">
        <v>280</v>
      </c>
      <c r="AK60">
        <v>3.43851469</v>
      </c>
      <c r="AL60">
        <v>5.62775724</v>
      </c>
      <c r="AM60">
        <v>3.04575623</v>
      </c>
      <c r="AN60">
        <v>5.10291359</v>
      </c>
      <c r="AO60">
        <v>5.56995188</v>
      </c>
      <c r="AP60">
        <v>7.32247637</v>
      </c>
      <c r="AQ60">
        <v>2.49402517</v>
      </c>
      <c r="AR60">
        <v>3.55343716</v>
      </c>
      <c r="AS60">
        <v>5.13799635</v>
      </c>
      <c r="AT60">
        <v>6.76668954</v>
      </c>
      <c r="CS60">
        <v>2.875</v>
      </c>
      <c r="CT60">
        <v>0.31993513</v>
      </c>
      <c r="CV60">
        <v>2.875</v>
      </c>
      <c r="CW60">
        <v>0.57702586</v>
      </c>
      <c r="CX60">
        <v>2.875</v>
      </c>
      <c r="CY60">
        <v>0.22831669</v>
      </c>
      <c r="CZ60">
        <v>2.875</v>
      </c>
      <c r="DA60">
        <v>0.41178545</v>
      </c>
      <c r="DB60">
        <v>2.875</v>
      </c>
      <c r="DC60">
        <v>0.35098236</v>
      </c>
      <c r="DD60">
        <v>2.875</v>
      </c>
      <c r="DE60">
        <v>0.51696777</v>
      </c>
      <c r="DF60">
        <v>2.875</v>
      </c>
      <c r="DG60">
        <v>0.35335635</v>
      </c>
      <c r="DH60">
        <v>2.875</v>
      </c>
      <c r="DI60">
        <v>0.34078029</v>
      </c>
      <c r="DJ60">
        <v>2.875</v>
      </c>
      <c r="DK60">
        <v>0.26274308</v>
      </c>
      <c r="DL60">
        <v>2.875</v>
      </c>
      <c r="DM60">
        <v>0.37317728</v>
      </c>
      <c r="DR60">
        <v>28.6607</v>
      </c>
      <c r="DS60">
        <v>0.1571</v>
      </c>
      <c r="DT60">
        <v>1.47393</v>
      </c>
      <c r="DU60">
        <v>1.24752</v>
      </c>
      <c r="DV60">
        <f t="shared" si="18"/>
        <v>0.959516666666667</v>
      </c>
      <c r="DX60">
        <v>30.03936</v>
      </c>
      <c r="DY60">
        <v>0.20022</v>
      </c>
      <c r="DZ60">
        <v>0.95182</v>
      </c>
      <c r="EA60">
        <v>1.96062</v>
      </c>
      <c r="EB60">
        <f t="shared" si="19"/>
        <v>1.03755333333333</v>
      </c>
      <c r="ED60">
        <v>31.18728</v>
      </c>
      <c r="EE60">
        <v>0.97376</v>
      </c>
      <c r="EF60">
        <v>0.71386</v>
      </c>
      <c r="EG60">
        <v>0.94026</v>
      </c>
      <c r="EH60">
        <f t="shared" si="20"/>
        <v>0.87596</v>
      </c>
      <c r="EJ60">
        <v>28.16677</v>
      </c>
      <c r="EK60">
        <v>1.75842</v>
      </c>
      <c r="EL60">
        <v>1.44053</v>
      </c>
      <c r="EM60">
        <v>1.12686</v>
      </c>
      <c r="EN60">
        <f t="shared" si="17"/>
        <v>1.44193666666667</v>
      </c>
    </row>
    <row r="61" spans="24:144">
      <c r="X61">
        <v>29.441</v>
      </c>
      <c r="Y61">
        <v>1.13540895795365</v>
      </c>
      <c r="Z61">
        <v>29.441</v>
      </c>
      <c r="AA61">
        <v>1.1610441305681</v>
      </c>
      <c r="AB61">
        <v>29.441</v>
      </c>
      <c r="AC61">
        <v>1.15621082562171</v>
      </c>
      <c r="AD61">
        <v>29.441</v>
      </c>
      <c r="AE61">
        <v>1.12950020958555</v>
      </c>
      <c r="AF61">
        <v>29.441</v>
      </c>
      <c r="AG61">
        <v>1.12705089671964</v>
      </c>
      <c r="AJ61">
        <v>285</v>
      </c>
      <c r="AK61">
        <v>3.55028963</v>
      </c>
      <c r="AL61">
        <v>5.7393872</v>
      </c>
      <c r="AM61">
        <v>3.10418671</v>
      </c>
      <c r="AN61">
        <v>5.15670666</v>
      </c>
      <c r="AO61">
        <v>5.66660562</v>
      </c>
      <c r="AP61">
        <v>7.44437666</v>
      </c>
      <c r="AQ61">
        <v>2.53004309</v>
      </c>
      <c r="AR61">
        <v>3.62310843</v>
      </c>
      <c r="AS61">
        <v>5.2243644</v>
      </c>
      <c r="AT61">
        <v>6.88074306</v>
      </c>
      <c r="CS61">
        <v>2.925</v>
      </c>
      <c r="CT61">
        <v>0.42683986</v>
      </c>
      <c r="CV61">
        <v>2.925</v>
      </c>
      <c r="CW61">
        <v>0.92911262</v>
      </c>
      <c r="CX61">
        <v>2.925</v>
      </c>
      <c r="CY61">
        <v>0.41752244</v>
      </c>
      <c r="CZ61">
        <v>2.925</v>
      </c>
      <c r="DA61">
        <v>0.44755648</v>
      </c>
      <c r="DB61">
        <v>2.925</v>
      </c>
      <c r="DC61">
        <v>0.40125154</v>
      </c>
      <c r="DD61">
        <v>2.925</v>
      </c>
      <c r="DE61">
        <v>0.66592686</v>
      </c>
      <c r="DF61">
        <v>2.925</v>
      </c>
      <c r="DG61">
        <v>0.23706898</v>
      </c>
      <c r="DH61">
        <v>2.925</v>
      </c>
      <c r="DI61">
        <v>0.40405444</v>
      </c>
      <c r="DJ61">
        <v>2.925</v>
      </c>
      <c r="DK61">
        <v>0.30539813</v>
      </c>
      <c r="DL61">
        <v>2.925</v>
      </c>
      <c r="DM61">
        <v>0.32046972</v>
      </c>
      <c r="DR61">
        <v>29.15063</v>
      </c>
      <c r="DS61">
        <v>0.34191</v>
      </c>
      <c r="DT61">
        <v>1.64026</v>
      </c>
      <c r="DU61">
        <v>1.4</v>
      </c>
      <c r="DV61">
        <f t="shared" si="18"/>
        <v>1.12739</v>
      </c>
      <c r="DX61">
        <v>30.55285</v>
      </c>
      <c r="DY61">
        <v>0.13861</v>
      </c>
      <c r="DZ61">
        <v>0.7593</v>
      </c>
      <c r="EA61">
        <v>1.64796</v>
      </c>
      <c r="EB61">
        <f t="shared" si="19"/>
        <v>0.848623333333333</v>
      </c>
      <c r="ED61">
        <v>31.7204</v>
      </c>
      <c r="EE61">
        <v>0.88944</v>
      </c>
      <c r="EF61">
        <v>0.64455</v>
      </c>
      <c r="EG61">
        <v>0.90099</v>
      </c>
      <c r="EH61">
        <f t="shared" si="20"/>
        <v>0.81166</v>
      </c>
      <c r="EJ61">
        <v>28.64016</v>
      </c>
      <c r="EK61">
        <v>1.65492</v>
      </c>
      <c r="EL61">
        <v>1.487</v>
      </c>
      <c r="EM61">
        <v>0.93888</v>
      </c>
      <c r="EN61">
        <f t="shared" si="17"/>
        <v>1.36026666666667</v>
      </c>
    </row>
    <row r="62" spans="24:144">
      <c r="X62">
        <v>29.94</v>
      </c>
      <c r="Y62">
        <v>1.13270022873637</v>
      </c>
      <c r="Z62">
        <v>29.94</v>
      </c>
      <c r="AA62">
        <v>1.16001883112649</v>
      </c>
      <c r="AB62">
        <v>29.94</v>
      </c>
      <c r="AC62">
        <v>1.15808058451115</v>
      </c>
      <c r="AD62">
        <v>29.94</v>
      </c>
      <c r="AE62">
        <v>1.13257715973434</v>
      </c>
      <c r="AF62">
        <v>29.94</v>
      </c>
      <c r="AG62">
        <v>1.13015919599711</v>
      </c>
      <c r="AJ62">
        <v>290</v>
      </c>
      <c r="AK62">
        <v>3.65438256</v>
      </c>
      <c r="AL62">
        <v>5.83439143</v>
      </c>
      <c r="AM62">
        <v>3.19683938</v>
      </c>
      <c r="AN62">
        <v>5.27585152</v>
      </c>
      <c r="AO62">
        <v>5.84952727</v>
      </c>
      <c r="AP62">
        <v>7.63704901</v>
      </c>
      <c r="AQ62">
        <v>2.5835162</v>
      </c>
      <c r="AR62">
        <v>3.69305289</v>
      </c>
      <c r="AS62">
        <v>5.33466857</v>
      </c>
      <c r="AT62">
        <v>7.01233051</v>
      </c>
      <c r="CS62">
        <v>2.975</v>
      </c>
      <c r="CT62">
        <v>0.34147299</v>
      </c>
      <c r="CV62">
        <v>2.975</v>
      </c>
      <c r="CW62">
        <v>1.07777414</v>
      </c>
      <c r="CX62">
        <v>2.975</v>
      </c>
      <c r="CY62">
        <v>0.35029984</v>
      </c>
      <c r="CZ62">
        <v>2.975</v>
      </c>
      <c r="DA62">
        <v>0.52878141</v>
      </c>
      <c r="DB62">
        <v>2.975</v>
      </c>
      <c r="DC62">
        <v>0.38241469</v>
      </c>
      <c r="DD62">
        <v>2.975</v>
      </c>
      <c r="DE62">
        <v>0.78167383</v>
      </c>
      <c r="DF62">
        <v>2.975</v>
      </c>
      <c r="DG62">
        <v>0.26583421</v>
      </c>
      <c r="DH62">
        <v>2.975</v>
      </c>
      <c r="DI62">
        <v>0.47738439</v>
      </c>
      <c r="DJ62">
        <v>2.975</v>
      </c>
      <c r="DK62">
        <v>0.22237286</v>
      </c>
      <c r="DL62">
        <v>2.975</v>
      </c>
      <c r="DM62">
        <v>0.33883107</v>
      </c>
      <c r="DR62">
        <v>29.64055</v>
      </c>
      <c r="DS62">
        <v>0.59142</v>
      </c>
      <c r="DT62">
        <v>2.15776</v>
      </c>
      <c r="DU62">
        <v>1.6264</v>
      </c>
      <c r="DV62">
        <f t="shared" si="18"/>
        <v>1.45852666666667</v>
      </c>
      <c r="DX62">
        <v>31.06634</v>
      </c>
      <c r="DY62">
        <v>0.10165</v>
      </c>
      <c r="DZ62">
        <v>0.74235</v>
      </c>
      <c r="EA62">
        <v>1.67107</v>
      </c>
      <c r="EB62">
        <f t="shared" si="19"/>
        <v>0.838356666666667</v>
      </c>
      <c r="ED62">
        <v>32.25351</v>
      </c>
      <c r="EE62">
        <v>1.14934</v>
      </c>
      <c r="EF62">
        <v>0.62838</v>
      </c>
      <c r="EG62">
        <v>0.98878</v>
      </c>
      <c r="EH62">
        <f t="shared" si="20"/>
        <v>0.922166666666667</v>
      </c>
      <c r="EJ62">
        <v>29.11355</v>
      </c>
      <c r="EK62">
        <v>1.3497</v>
      </c>
      <c r="EL62">
        <v>1.74785</v>
      </c>
      <c r="EM62">
        <v>0.77307</v>
      </c>
      <c r="EN62">
        <f t="shared" si="17"/>
        <v>1.29020666666667</v>
      </c>
    </row>
    <row r="63" spans="24:144">
      <c r="X63">
        <v>30.439</v>
      </c>
      <c r="Y63">
        <v>1.14075927317114</v>
      </c>
      <c r="Z63">
        <v>30.439</v>
      </c>
      <c r="AA63">
        <v>1.16529915401896</v>
      </c>
      <c r="AB63">
        <v>30.439</v>
      </c>
      <c r="AC63">
        <v>1.16603579577116</v>
      </c>
      <c r="AD63">
        <v>30.439</v>
      </c>
      <c r="AE63">
        <v>1.13434752891346</v>
      </c>
      <c r="AF63">
        <v>30.439</v>
      </c>
      <c r="AG63">
        <v>1.13363118876837</v>
      </c>
      <c r="AJ63">
        <v>295</v>
      </c>
      <c r="AK63">
        <v>3.7646846</v>
      </c>
      <c r="AL63">
        <v>5.92829858</v>
      </c>
      <c r="AM63">
        <v>3.27905014</v>
      </c>
      <c r="AN63">
        <v>5.37451068</v>
      </c>
      <c r="AO63">
        <v>5.99704853</v>
      </c>
      <c r="AP63">
        <v>7.79853069</v>
      </c>
      <c r="AQ63">
        <v>2.62993763</v>
      </c>
      <c r="AR63">
        <v>3.77481566</v>
      </c>
      <c r="AS63">
        <v>5.45495262</v>
      </c>
      <c r="AT63">
        <v>7.15163165</v>
      </c>
      <c r="CS63">
        <v>3.025</v>
      </c>
      <c r="CT63">
        <v>0.31651659</v>
      </c>
      <c r="CV63">
        <v>3.025</v>
      </c>
      <c r="CW63">
        <v>1.0424405</v>
      </c>
      <c r="CX63">
        <v>3.025</v>
      </c>
      <c r="CY63">
        <v>0.28725674</v>
      </c>
      <c r="CZ63">
        <v>3.025</v>
      </c>
      <c r="DA63">
        <v>0.83691146</v>
      </c>
      <c r="DB63">
        <v>3.025</v>
      </c>
      <c r="DC63">
        <v>0.33288988</v>
      </c>
      <c r="DD63">
        <v>3.025</v>
      </c>
      <c r="DE63">
        <v>0.84499428</v>
      </c>
      <c r="DF63">
        <v>3.025</v>
      </c>
      <c r="DG63">
        <v>0.28371766</v>
      </c>
      <c r="DH63">
        <v>3.025</v>
      </c>
      <c r="DI63">
        <v>0.43375</v>
      </c>
      <c r="DJ63">
        <v>3.025</v>
      </c>
      <c r="DK63">
        <v>0.2299159</v>
      </c>
      <c r="DL63">
        <v>3.025</v>
      </c>
      <c r="DM63">
        <v>0.33708637</v>
      </c>
      <c r="DR63">
        <v>30.13048</v>
      </c>
      <c r="DS63">
        <v>0.54983</v>
      </c>
      <c r="DT63">
        <v>2.3934</v>
      </c>
      <c r="DU63">
        <v>1.4</v>
      </c>
      <c r="DV63">
        <f t="shared" si="18"/>
        <v>1.44774333333333</v>
      </c>
      <c r="DX63">
        <v>31.57984</v>
      </c>
      <c r="DY63">
        <v>0.1571</v>
      </c>
      <c r="DZ63">
        <v>0.7516</v>
      </c>
      <c r="EA63">
        <v>1.58636</v>
      </c>
      <c r="EB63">
        <f t="shared" si="19"/>
        <v>0.831686666666667</v>
      </c>
      <c r="ED63">
        <v>32.78663</v>
      </c>
      <c r="EE63">
        <v>1.28795</v>
      </c>
      <c r="EF63">
        <v>0.74967</v>
      </c>
      <c r="EG63">
        <v>0.97954</v>
      </c>
      <c r="EH63">
        <f t="shared" si="20"/>
        <v>1.00572</v>
      </c>
      <c r="EJ63">
        <v>29.58695</v>
      </c>
      <c r="EK63">
        <v>1.13109</v>
      </c>
      <c r="EL63">
        <v>1.81333</v>
      </c>
      <c r="EM63">
        <v>0.75089</v>
      </c>
      <c r="EN63">
        <f t="shared" si="17"/>
        <v>1.23177</v>
      </c>
    </row>
    <row r="64" spans="24:144">
      <c r="X64">
        <v>30.938</v>
      </c>
      <c r="Y64">
        <v>1.14200756911371</v>
      </c>
      <c r="Z64">
        <v>30.938</v>
      </c>
      <c r="AA64">
        <v>1.16943218071736</v>
      </c>
      <c r="AB64">
        <v>30.938</v>
      </c>
      <c r="AC64">
        <v>1.16479021957736</v>
      </c>
      <c r="AD64">
        <v>30.938</v>
      </c>
      <c r="AE64">
        <v>1.12444706339176</v>
      </c>
      <c r="AF64">
        <v>30.938</v>
      </c>
      <c r="AG64">
        <v>1.1268244137628</v>
      </c>
      <c r="AJ64">
        <v>300</v>
      </c>
      <c r="AK64">
        <v>3.87522786</v>
      </c>
      <c r="AL64">
        <v>6.03974467</v>
      </c>
      <c r="AM64">
        <v>3.36047862</v>
      </c>
      <c r="AN64">
        <v>5.45376751</v>
      </c>
      <c r="AO64">
        <v>6.06650959</v>
      </c>
      <c r="AP64">
        <v>7.87497462</v>
      </c>
      <c r="AQ64">
        <v>2.6532677</v>
      </c>
      <c r="AR64">
        <v>3.82145425</v>
      </c>
      <c r="AS64">
        <v>5.61089996</v>
      </c>
      <c r="AT64">
        <v>7.31376475</v>
      </c>
      <c r="CS64">
        <v>3.075</v>
      </c>
      <c r="CT64">
        <v>0.3462604</v>
      </c>
      <c r="CV64">
        <v>3.075</v>
      </c>
      <c r="CW64">
        <v>1.84949664</v>
      </c>
      <c r="CX64">
        <v>3.075</v>
      </c>
      <c r="CY64">
        <v>0.32075909</v>
      </c>
      <c r="CZ64">
        <v>3.075</v>
      </c>
      <c r="DA64">
        <v>0.53994446</v>
      </c>
      <c r="DB64">
        <v>3.075</v>
      </c>
      <c r="DC64">
        <v>0.32726597</v>
      </c>
      <c r="DD64">
        <v>3.075</v>
      </c>
      <c r="DE64">
        <v>0.6671027</v>
      </c>
      <c r="DF64">
        <v>3.075</v>
      </c>
      <c r="DG64">
        <v>0.2359554</v>
      </c>
      <c r="DH64">
        <v>3.075</v>
      </c>
      <c r="DI64">
        <v>0.43329992</v>
      </c>
      <c r="DJ64">
        <v>3.075</v>
      </c>
      <c r="DK64">
        <v>0.19020154</v>
      </c>
      <c r="DL64">
        <v>3.075</v>
      </c>
      <c r="DM64">
        <v>0.52556632</v>
      </c>
      <c r="DR64">
        <v>30.6204</v>
      </c>
      <c r="DS64">
        <v>0.77162</v>
      </c>
      <c r="DT64">
        <v>2.5967</v>
      </c>
      <c r="DU64">
        <v>1.03498</v>
      </c>
      <c r="DV64">
        <f t="shared" si="18"/>
        <v>1.46776666666667</v>
      </c>
      <c r="DX64">
        <v>32.09333</v>
      </c>
      <c r="DY64">
        <v>0.22178</v>
      </c>
      <c r="DZ64">
        <v>0.65919</v>
      </c>
      <c r="EA64">
        <v>1.58636</v>
      </c>
      <c r="EB64">
        <f t="shared" si="19"/>
        <v>0.822443333333333</v>
      </c>
      <c r="ED64">
        <v>33.31974</v>
      </c>
      <c r="EE64">
        <v>1.15165</v>
      </c>
      <c r="EF64">
        <v>0.70809</v>
      </c>
      <c r="EG64">
        <v>0.78548</v>
      </c>
      <c r="EH64">
        <f t="shared" si="20"/>
        <v>0.88174</v>
      </c>
      <c r="EJ64">
        <v>30.06034</v>
      </c>
      <c r="EK64">
        <v>1.17545</v>
      </c>
      <c r="EL64">
        <v>1.60634</v>
      </c>
      <c r="EM64">
        <v>0.9695</v>
      </c>
      <c r="EN64">
        <f t="shared" si="17"/>
        <v>1.25043</v>
      </c>
    </row>
    <row r="65" spans="24:144">
      <c r="X65">
        <v>31.437</v>
      </c>
      <c r="Y65">
        <v>1.13962809174112</v>
      </c>
      <c r="Z65">
        <v>31.437</v>
      </c>
      <c r="AA65">
        <v>1.16373770871812</v>
      </c>
      <c r="AB65">
        <v>31.437</v>
      </c>
      <c r="AC65">
        <v>1.16596165095281</v>
      </c>
      <c r="AD65">
        <v>31.437</v>
      </c>
      <c r="AE65">
        <v>1.1220316839201</v>
      </c>
      <c r="AF65">
        <v>31.437</v>
      </c>
      <c r="AG65">
        <v>1.12589141906105</v>
      </c>
      <c r="AJ65">
        <v>305</v>
      </c>
      <c r="AK65">
        <v>3.89985697</v>
      </c>
      <c r="AL65">
        <v>6.12794513</v>
      </c>
      <c r="AM65">
        <v>3.43777857</v>
      </c>
      <c r="AN65">
        <v>5.55134656</v>
      </c>
      <c r="AO65">
        <v>6.21397192</v>
      </c>
      <c r="AP65">
        <v>8.06210033</v>
      </c>
      <c r="AQ65">
        <v>2.7075659</v>
      </c>
      <c r="AR65">
        <v>3.87288313</v>
      </c>
      <c r="AS65">
        <v>5.779194</v>
      </c>
      <c r="AT65">
        <v>7.51105944</v>
      </c>
      <c r="CS65">
        <v>3.125</v>
      </c>
      <c r="CT65">
        <v>0.23210927</v>
      </c>
      <c r="CV65">
        <v>3.125</v>
      </c>
      <c r="CW65">
        <v>0.97679316</v>
      </c>
      <c r="CX65">
        <v>3.125</v>
      </c>
      <c r="CY65">
        <v>0.33128227</v>
      </c>
      <c r="CZ65">
        <v>3.125</v>
      </c>
      <c r="DA65">
        <v>0.95847553</v>
      </c>
      <c r="DB65">
        <v>3.125</v>
      </c>
      <c r="DC65">
        <v>0.36638956</v>
      </c>
      <c r="DD65">
        <v>3.125</v>
      </c>
      <c r="DE65">
        <v>1.02098083</v>
      </c>
      <c r="DF65">
        <v>3.125</v>
      </c>
      <c r="DG65">
        <v>0.22431148</v>
      </c>
      <c r="DH65">
        <v>3.125</v>
      </c>
      <c r="DI65">
        <v>0.52443192</v>
      </c>
      <c r="DJ65">
        <v>3.125</v>
      </c>
      <c r="DK65">
        <v>0.25713451</v>
      </c>
      <c r="DL65">
        <v>3.125</v>
      </c>
      <c r="DM65">
        <v>0.57907387</v>
      </c>
      <c r="DR65">
        <v>31.11033</v>
      </c>
      <c r="DS65">
        <v>1.08581</v>
      </c>
      <c r="DT65">
        <v>2.3703</v>
      </c>
      <c r="DU65">
        <v>0.83168</v>
      </c>
      <c r="DV65">
        <f t="shared" si="18"/>
        <v>1.42926333333333</v>
      </c>
      <c r="DX65">
        <v>32.60682</v>
      </c>
      <c r="DY65">
        <v>0.44972</v>
      </c>
      <c r="DZ65">
        <v>0.50517</v>
      </c>
      <c r="EA65">
        <v>1.45699</v>
      </c>
      <c r="EB65">
        <f t="shared" si="19"/>
        <v>0.80396</v>
      </c>
      <c r="ED65">
        <v>33.85286</v>
      </c>
      <c r="EE65">
        <v>1.06848</v>
      </c>
      <c r="EF65">
        <v>1.2302</v>
      </c>
      <c r="EG65">
        <v>0.61106</v>
      </c>
      <c r="EH65">
        <f t="shared" si="20"/>
        <v>0.969913333333333</v>
      </c>
      <c r="EJ65">
        <v>30.53373</v>
      </c>
      <c r="EK65">
        <v>1.00858</v>
      </c>
      <c r="EL65">
        <v>1.55987</v>
      </c>
      <c r="EM65">
        <v>1.12686</v>
      </c>
      <c r="EN65">
        <f t="shared" si="17"/>
        <v>1.23177</v>
      </c>
    </row>
    <row r="66" spans="24:144">
      <c r="X66">
        <v>31.936</v>
      </c>
      <c r="Y66">
        <v>1.1363245905567</v>
      </c>
      <c r="Z66">
        <v>31.936</v>
      </c>
      <c r="AA66">
        <v>1.15845187382907</v>
      </c>
      <c r="AB66">
        <v>31.936</v>
      </c>
      <c r="AC66">
        <v>1.1616439440697</v>
      </c>
      <c r="AD66">
        <v>31.936</v>
      </c>
      <c r="AE66">
        <v>1.12613108375336</v>
      </c>
      <c r="AF66">
        <v>31.936</v>
      </c>
      <c r="AG66">
        <v>1.12273481829302</v>
      </c>
      <c r="AJ66">
        <v>310</v>
      </c>
      <c r="AK66">
        <v>3.97044984</v>
      </c>
      <c r="AL66">
        <v>6.20827651</v>
      </c>
      <c r="AM66">
        <v>3.50187417</v>
      </c>
      <c r="AN66">
        <v>5.63594516</v>
      </c>
      <c r="AO66">
        <v>6.33922124</v>
      </c>
      <c r="AP66">
        <v>8.18731351</v>
      </c>
      <c r="AQ66">
        <v>2.71914516</v>
      </c>
      <c r="AR66">
        <v>3.90548415</v>
      </c>
      <c r="AS66">
        <v>5.93075206</v>
      </c>
      <c r="AT66">
        <v>7.66507292</v>
      </c>
      <c r="CS66">
        <v>3.175</v>
      </c>
      <c r="CT66">
        <v>0.26233253</v>
      </c>
      <c r="CV66">
        <v>3.175</v>
      </c>
      <c r="CW66">
        <v>0.78855908</v>
      </c>
      <c r="CX66">
        <v>3.175</v>
      </c>
      <c r="CY66">
        <v>0.30755845</v>
      </c>
      <c r="CZ66">
        <v>3.175</v>
      </c>
      <c r="DA66">
        <v>1.43499417</v>
      </c>
      <c r="DB66">
        <v>3.175</v>
      </c>
      <c r="DC66">
        <v>0.36453383</v>
      </c>
      <c r="DD66">
        <v>3.175</v>
      </c>
      <c r="DE66">
        <v>0.88815151</v>
      </c>
      <c r="DF66">
        <v>3.175</v>
      </c>
      <c r="DG66">
        <v>0.26961584</v>
      </c>
      <c r="DH66">
        <v>3.175</v>
      </c>
      <c r="DI66">
        <v>0.63505598</v>
      </c>
      <c r="DJ66">
        <v>3.175</v>
      </c>
      <c r="DK66">
        <v>0.22890245</v>
      </c>
      <c r="DL66">
        <v>3.175</v>
      </c>
      <c r="DM66">
        <v>0.59497805</v>
      </c>
      <c r="DR66">
        <v>31.60026</v>
      </c>
      <c r="DS66">
        <v>1.58944</v>
      </c>
      <c r="DT66">
        <v>2.20858</v>
      </c>
      <c r="DU66">
        <v>0.71617</v>
      </c>
      <c r="DV66">
        <f t="shared" si="18"/>
        <v>1.50473</v>
      </c>
      <c r="DX66">
        <v>33.12032</v>
      </c>
      <c r="DY66">
        <v>0.68691</v>
      </c>
      <c r="DZ66">
        <v>0.50209</v>
      </c>
      <c r="EA66">
        <v>1.28449</v>
      </c>
      <c r="EB66">
        <f t="shared" si="19"/>
        <v>0.824496666666667</v>
      </c>
      <c r="ED66">
        <v>34.38597</v>
      </c>
      <c r="EE66">
        <v>1.01881</v>
      </c>
      <c r="EF66">
        <v>1.54092</v>
      </c>
      <c r="EG66">
        <v>0.47475</v>
      </c>
      <c r="EH66">
        <f t="shared" si="20"/>
        <v>1.01149333333333</v>
      </c>
      <c r="EJ66">
        <v>31.00712</v>
      </c>
      <c r="EK66">
        <v>0.70759</v>
      </c>
      <c r="EL66">
        <v>1.30746</v>
      </c>
      <c r="EM66">
        <v>1.40568</v>
      </c>
      <c r="EN66">
        <f>AVERAGE(EK66:EM66)</f>
        <v>1.14024333333333</v>
      </c>
    </row>
    <row r="67" spans="24:144">
      <c r="X67">
        <v>32.435</v>
      </c>
      <c r="Y67">
        <v>1.13963367493406</v>
      </c>
      <c r="Z67">
        <v>32.435</v>
      </c>
      <c r="AA67">
        <v>1.16351202632209</v>
      </c>
      <c r="AB67">
        <v>32.435</v>
      </c>
      <c r="AC67">
        <v>1.15552137351009</v>
      </c>
      <c r="AD67">
        <v>32.435</v>
      </c>
      <c r="AE67">
        <v>1.12767082018136</v>
      </c>
      <c r="AF67">
        <v>32.435</v>
      </c>
      <c r="AG67">
        <v>1.12243070012081</v>
      </c>
      <c r="AJ67">
        <v>315</v>
      </c>
      <c r="AK67">
        <v>4.03337457</v>
      </c>
      <c r="AL67">
        <v>6.31186446</v>
      </c>
      <c r="AM67">
        <v>3.57204429</v>
      </c>
      <c r="AN67">
        <v>5.73007354</v>
      </c>
      <c r="AO67">
        <v>6.40934978</v>
      </c>
      <c r="AP67">
        <v>8.28686775</v>
      </c>
      <c r="AQ67">
        <v>2.8124183</v>
      </c>
      <c r="AR67">
        <v>4.01364232</v>
      </c>
      <c r="AS67">
        <v>6.05820835</v>
      </c>
      <c r="AT67">
        <v>7.81030994</v>
      </c>
      <c r="CS67">
        <v>3.225</v>
      </c>
      <c r="CT67">
        <v>0.21793835</v>
      </c>
      <c r="CV67">
        <v>3.225</v>
      </c>
      <c r="CW67">
        <v>0.76429767</v>
      </c>
      <c r="CX67">
        <v>3.225</v>
      </c>
      <c r="CY67">
        <v>0.34345828</v>
      </c>
      <c r="CZ67">
        <v>3.225</v>
      </c>
      <c r="DA67">
        <v>1.30902969</v>
      </c>
      <c r="DB67">
        <v>3.225</v>
      </c>
      <c r="DC67">
        <v>0.33937153</v>
      </c>
      <c r="DD67">
        <v>3.225</v>
      </c>
      <c r="DE67">
        <v>0.88039019</v>
      </c>
      <c r="DF67">
        <v>3.225</v>
      </c>
      <c r="DG67">
        <v>0.20671632</v>
      </c>
      <c r="DH67">
        <v>3.225</v>
      </c>
      <c r="DI67">
        <v>0.8617243</v>
      </c>
      <c r="DJ67">
        <v>3.225</v>
      </c>
      <c r="DK67">
        <v>0.19902134</v>
      </c>
      <c r="DL67">
        <v>3.225</v>
      </c>
      <c r="DM67">
        <v>0.89796147</v>
      </c>
      <c r="DR67">
        <v>32.09018</v>
      </c>
      <c r="DS67">
        <v>1.9637</v>
      </c>
      <c r="DT67">
        <v>1.82508</v>
      </c>
      <c r="DU67">
        <v>0.50825</v>
      </c>
      <c r="DV67">
        <f>AVERAGE(DS67:DU67)</f>
        <v>1.43234333333333</v>
      </c>
      <c r="DX67">
        <v>33.63381</v>
      </c>
      <c r="DY67">
        <v>0.6176</v>
      </c>
      <c r="DZ67">
        <v>0.48515</v>
      </c>
      <c r="EA67">
        <v>0.99494</v>
      </c>
      <c r="EB67">
        <f>AVERAGE(DY67:EA67)</f>
        <v>0.69923</v>
      </c>
      <c r="ED67">
        <v>34.91909</v>
      </c>
      <c r="EE67">
        <v>0.98762</v>
      </c>
      <c r="EF67">
        <v>1.53399</v>
      </c>
      <c r="EG67">
        <v>0.47822</v>
      </c>
      <c r="EH67">
        <f>AVERAGE(EE67:EG67)</f>
        <v>0.999943333333333</v>
      </c>
      <c r="EJ67">
        <v>31.48051</v>
      </c>
      <c r="EK67">
        <v>0.61993</v>
      </c>
      <c r="EL67">
        <v>1.31063</v>
      </c>
      <c r="EM67">
        <v>1.51446</v>
      </c>
      <c r="EN67">
        <f>AVERAGE(EK67:EM67)</f>
        <v>1.14834</v>
      </c>
    </row>
    <row r="68" spans="24:144">
      <c r="X68">
        <v>32.934</v>
      </c>
      <c r="Y68">
        <v>1.14648667514205</v>
      </c>
      <c r="Z68">
        <v>32.934</v>
      </c>
      <c r="AA68">
        <v>1.16424945854585</v>
      </c>
      <c r="AB68">
        <v>32.934</v>
      </c>
      <c r="AC68">
        <v>1.16580364933952</v>
      </c>
      <c r="AD68">
        <v>32.934</v>
      </c>
      <c r="AE68">
        <v>1.13082566570898</v>
      </c>
      <c r="AF68">
        <v>32.934</v>
      </c>
      <c r="AG68">
        <v>1.13337525450517</v>
      </c>
      <c r="AJ68">
        <v>320</v>
      </c>
      <c r="AK68">
        <v>4.15578751</v>
      </c>
      <c r="AL68">
        <v>6.43530588</v>
      </c>
      <c r="AM68">
        <v>3.68548122</v>
      </c>
      <c r="AN68">
        <v>5.82335951</v>
      </c>
      <c r="AO68">
        <v>6.50810195</v>
      </c>
      <c r="AP68">
        <v>8.41759723</v>
      </c>
      <c r="AQ68">
        <v>2.8778258</v>
      </c>
      <c r="AR68">
        <v>4.13353048</v>
      </c>
      <c r="AS68">
        <v>6.24850108</v>
      </c>
      <c r="AT68">
        <v>8.02615074</v>
      </c>
      <c r="CS68">
        <v>3.275</v>
      </c>
      <c r="CT68">
        <v>0.22307548</v>
      </c>
      <c r="CV68">
        <v>3.275</v>
      </c>
      <c r="CW68">
        <v>1.63050566</v>
      </c>
      <c r="CX68">
        <v>3.275</v>
      </c>
      <c r="CY68">
        <v>0.30163134</v>
      </c>
      <c r="CZ68">
        <v>3.275</v>
      </c>
      <c r="DA68">
        <v>1.58670651</v>
      </c>
      <c r="DB68">
        <v>3.275</v>
      </c>
      <c r="DC68">
        <v>0.25695939</v>
      </c>
      <c r="DD68">
        <v>3.275</v>
      </c>
      <c r="DE68">
        <v>1.30902778</v>
      </c>
      <c r="DF68">
        <v>3.275</v>
      </c>
      <c r="DG68">
        <v>0.24583819</v>
      </c>
      <c r="DH68">
        <v>3.275</v>
      </c>
      <c r="DI68">
        <v>0.74011479</v>
      </c>
      <c r="DJ68">
        <v>3.275</v>
      </c>
      <c r="DK68">
        <v>0.19299086</v>
      </c>
      <c r="DL68">
        <v>3.275</v>
      </c>
      <c r="DM68">
        <v>0.73494717</v>
      </c>
      <c r="DR68">
        <v>32.58011</v>
      </c>
      <c r="DS68">
        <v>1.46469</v>
      </c>
      <c r="DT68">
        <v>2.29175</v>
      </c>
      <c r="DU68">
        <v>0.30957</v>
      </c>
      <c r="DV68">
        <f>AVERAGE(DS68:DU68)</f>
        <v>1.35533666666667</v>
      </c>
      <c r="DX68">
        <v>34.1473</v>
      </c>
      <c r="DY68">
        <v>0.59758</v>
      </c>
      <c r="DZ68">
        <v>0.37734</v>
      </c>
      <c r="EA68">
        <v>0.83938</v>
      </c>
      <c r="EB68">
        <f>AVERAGE(DY68:EA68)</f>
        <v>0.604766666666667</v>
      </c>
      <c r="ED68">
        <v>35.45221</v>
      </c>
      <c r="EE68">
        <v>1.05809</v>
      </c>
      <c r="EF68">
        <v>1.33762</v>
      </c>
      <c r="EG68">
        <v>0.70231</v>
      </c>
      <c r="EH68">
        <f>AVERAGE(EE68:EG68)</f>
        <v>1.03267333333333</v>
      </c>
      <c r="EJ68">
        <v>31.9539</v>
      </c>
      <c r="EK68">
        <v>0.54389</v>
      </c>
      <c r="EL68">
        <v>1.40462</v>
      </c>
      <c r="EM68">
        <v>1.22719</v>
      </c>
      <c r="EN68">
        <f>AVERAGE(EK68:EM68)</f>
        <v>1.05856666666667</v>
      </c>
    </row>
    <row r="69" spans="24:144">
      <c r="X69">
        <v>33.433</v>
      </c>
      <c r="Y69">
        <v>1.14666993328951</v>
      </c>
      <c r="Z69">
        <v>33.433</v>
      </c>
      <c r="AA69">
        <v>1.17535337098663</v>
      </c>
      <c r="AB69">
        <v>33.433</v>
      </c>
      <c r="AC69">
        <v>1.1559931554338</v>
      </c>
      <c r="AD69">
        <v>33.433</v>
      </c>
      <c r="AE69">
        <v>1.13991494471773</v>
      </c>
      <c r="AF69">
        <v>33.433</v>
      </c>
      <c r="AG69">
        <v>1.13931490134775</v>
      </c>
      <c r="AJ69">
        <v>325</v>
      </c>
      <c r="AK69">
        <v>4.21588049</v>
      </c>
      <c r="AL69">
        <v>6.513606</v>
      </c>
      <c r="AM69">
        <v>3.76971128</v>
      </c>
      <c r="AN69">
        <v>5.95940943</v>
      </c>
      <c r="AO69">
        <v>6.57419291</v>
      </c>
      <c r="AP69">
        <v>8.51007495</v>
      </c>
      <c r="AQ69">
        <v>2.93187411</v>
      </c>
      <c r="AR69">
        <v>4.22221789</v>
      </c>
      <c r="AS69">
        <v>6.36233018</v>
      </c>
      <c r="AT69">
        <v>8.15328268</v>
      </c>
      <c r="CS69">
        <v>3.325</v>
      </c>
      <c r="CT69">
        <v>0.18224591</v>
      </c>
      <c r="CV69">
        <v>3.325</v>
      </c>
      <c r="CW69">
        <v>2.15705116</v>
      </c>
      <c r="CX69">
        <v>3.325</v>
      </c>
      <c r="CY69">
        <v>0.27433884</v>
      </c>
      <c r="CZ69">
        <v>3.325</v>
      </c>
      <c r="DA69">
        <v>1.77024756</v>
      </c>
      <c r="DB69">
        <v>3.325</v>
      </c>
      <c r="DC69">
        <v>0.31489205</v>
      </c>
      <c r="DD69">
        <v>3.325</v>
      </c>
      <c r="DE69">
        <v>1.60124795</v>
      </c>
      <c r="DF69">
        <v>3.325</v>
      </c>
      <c r="DG69">
        <v>0.23850029</v>
      </c>
      <c r="DH69">
        <v>3.325</v>
      </c>
      <c r="DI69">
        <v>1.28549364</v>
      </c>
      <c r="DJ69">
        <v>3.325</v>
      </c>
      <c r="DK69">
        <v>0.19950778</v>
      </c>
      <c r="DL69">
        <v>3.325</v>
      </c>
      <c r="DM69">
        <v>1.15476636</v>
      </c>
      <c r="DR69">
        <v>33.07004</v>
      </c>
      <c r="DS69">
        <v>1.49703</v>
      </c>
      <c r="DT69">
        <v>2.21782</v>
      </c>
      <c r="DU69">
        <v>0.1802</v>
      </c>
      <c r="DV69">
        <f>AVERAGE(DS69:DU69)</f>
        <v>1.29835</v>
      </c>
      <c r="DX69">
        <v>34.6608</v>
      </c>
      <c r="DY69">
        <v>0.76854</v>
      </c>
      <c r="DZ69">
        <v>0.35732</v>
      </c>
      <c r="EA69">
        <v>1.03344</v>
      </c>
      <c r="EB69">
        <f>AVERAGE(DY69:EA69)</f>
        <v>0.719766666666667</v>
      </c>
      <c r="ED69">
        <v>35.98532</v>
      </c>
      <c r="EE69">
        <v>0.73812</v>
      </c>
      <c r="EF69">
        <v>1.23944</v>
      </c>
      <c r="EG69">
        <v>0.64571</v>
      </c>
      <c r="EH69">
        <f>AVERAGE(EE69:EG69)</f>
        <v>0.874423333333333</v>
      </c>
      <c r="EJ69">
        <v>32.42729</v>
      </c>
      <c r="EK69">
        <v>0.54178</v>
      </c>
      <c r="EL69">
        <v>1.31274</v>
      </c>
      <c r="EM69">
        <v>1.26099</v>
      </c>
      <c r="EN69">
        <f>AVERAGE(EK69:EM69)</f>
        <v>1.03850333333333</v>
      </c>
    </row>
    <row r="70" spans="24:144">
      <c r="X70">
        <v>33.932</v>
      </c>
      <c r="Y70">
        <v>1.14912286333485</v>
      </c>
      <c r="Z70">
        <v>33.932</v>
      </c>
      <c r="AA70">
        <v>1.17373344826173</v>
      </c>
      <c r="AB70">
        <v>33.932</v>
      </c>
      <c r="AC70">
        <v>1.15795084082693</v>
      </c>
      <c r="AD70">
        <v>33.932</v>
      </c>
      <c r="AE70">
        <v>1.13540557931712</v>
      </c>
      <c r="AF70">
        <v>33.932</v>
      </c>
      <c r="AG70">
        <v>1.13945317950252</v>
      </c>
      <c r="AJ70">
        <v>330</v>
      </c>
      <c r="AK70">
        <v>4.34194623</v>
      </c>
      <c r="AL70">
        <v>6.62293537</v>
      </c>
      <c r="AM70">
        <v>3.83635768</v>
      </c>
      <c r="AN70">
        <v>6.02449059</v>
      </c>
      <c r="AO70">
        <v>6.70161586</v>
      </c>
      <c r="AP70">
        <v>8.66108541</v>
      </c>
      <c r="AQ70">
        <v>2.97525272</v>
      </c>
      <c r="AR70">
        <v>4.29411542</v>
      </c>
      <c r="AS70">
        <v>6.44502994</v>
      </c>
      <c r="AT70">
        <v>8.27915582</v>
      </c>
      <c r="CS70">
        <v>3.375</v>
      </c>
      <c r="CT70">
        <v>0.28743995</v>
      </c>
      <c r="CV70">
        <v>3.375</v>
      </c>
      <c r="CW70">
        <v>2.37276153</v>
      </c>
      <c r="CX70">
        <v>3.375</v>
      </c>
      <c r="CY70">
        <v>0.28993914</v>
      </c>
      <c r="CZ70">
        <v>3.375</v>
      </c>
      <c r="DA70">
        <v>2.50257419</v>
      </c>
      <c r="DB70">
        <v>3.375</v>
      </c>
      <c r="DC70">
        <v>0.25893754</v>
      </c>
      <c r="DD70">
        <v>3.375</v>
      </c>
      <c r="DE70">
        <v>1.46483656</v>
      </c>
      <c r="DF70">
        <v>3.375</v>
      </c>
      <c r="DG70">
        <v>0.19231152</v>
      </c>
      <c r="DH70">
        <v>3.375</v>
      </c>
      <c r="DI70">
        <v>1.69730499</v>
      </c>
      <c r="DJ70">
        <v>3.375</v>
      </c>
      <c r="DK70">
        <v>0.16682859</v>
      </c>
      <c r="DL70">
        <v>3.375</v>
      </c>
      <c r="DM70">
        <v>1.35399278</v>
      </c>
      <c r="DR70">
        <v>33.55996</v>
      </c>
      <c r="DS70">
        <v>1.41848</v>
      </c>
      <c r="DT70">
        <v>2.24554</v>
      </c>
      <c r="DU70">
        <v>0.0462</v>
      </c>
      <c r="DV70">
        <f>AVERAGE(DS70:DU70)</f>
        <v>1.23674</v>
      </c>
      <c r="DX70">
        <v>35.17429</v>
      </c>
      <c r="DY70">
        <v>1.01342</v>
      </c>
      <c r="DZ70">
        <v>0.49593</v>
      </c>
      <c r="EA70">
        <v>1.18746</v>
      </c>
      <c r="EB70">
        <f>AVERAGE(DY70:EA70)</f>
        <v>0.898936666666667</v>
      </c>
      <c r="ED70">
        <v>36.51844</v>
      </c>
      <c r="EE70">
        <v>0.59373</v>
      </c>
      <c r="EF70">
        <v>1.16898</v>
      </c>
      <c r="EG70">
        <v>0.57987</v>
      </c>
      <c r="EH70">
        <f>AVERAGE(EE70:EG70)</f>
        <v>0.78086</v>
      </c>
      <c r="EJ70">
        <v>32.90068</v>
      </c>
      <c r="EK70">
        <v>0.42878</v>
      </c>
      <c r="EL70">
        <v>1.15538</v>
      </c>
      <c r="EM70">
        <v>1.49122</v>
      </c>
      <c r="EN70">
        <f>AVERAGE(EK70:EM70)</f>
        <v>1.02512666666667</v>
      </c>
    </row>
    <row r="71" spans="24:144">
      <c r="X71">
        <v>34.431</v>
      </c>
      <c r="Y71">
        <v>1.15004563207912</v>
      </c>
      <c r="Z71">
        <v>34.431</v>
      </c>
      <c r="AA71">
        <v>1.17335165884683</v>
      </c>
      <c r="AB71">
        <v>34.431</v>
      </c>
      <c r="AC71">
        <v>1.16076683261438</v>
      </c>
      <c r="AD71">
        <v>34.431</v>
      </c>
      <c r="AE71">
        <v>1.12743287332492</v>
      </c>
      <c r="AF71">
        <v>34.431</v>
      </c>
      <c r="AG71">
        <v>1.12870444408096</v>
      </c>
      <c r="AJ71">
        <v>335</v>
      </c>
      <c r="AK71">
        <v>4.43162039</v>
      </c>
      <c r="AL71">
        <v>6.70008765</v>
      </c>
      <c r="AM71">
        <v>3.88407831</v>
      </c>
      <c r="AN71">
        <v>6.11575522</v>
      </c>
      <c r="AO71">
        <v>6.86625004</v>
      </c>
      <c r="AP71">
        <v>8.85399346</v>
      </c>
      <c r="AQ71">
        <v>3.02241129</v>
      </c>
      <c r="AR71">
        <v>4.37949492</v>
      </c>
      <c r="AS71">
        <v>6.57049363</v>
      </c>
      <c r="AT71">
        <v>8.41524513</v>
      </c>
      <c r="CS71">
        <v>3.425</v>
      </c>
      <c r="CT71">
        <v>0.18249431</v>
      </c>
      <c r="CV71">
        <v>3.425</v>
      </c>
      <c r="CW71">
        <v>3.52375052</v>
      </c>
      <c r="CX71">
        <v>3.425</v>
      </c>
      <c r="CY71">
        <v>0.28728133</v>
      </c>
      <c r="CZ71">
        <v>3.425</v>
      </c>
      <c r="DA71">
        <v>2.13988681</v>
      </c>
      <c r="DB71">
        <v>3.425</v>
      </c>
      <c r="DC71">
        <v>0.23494525</v>
      </c>
      <c r="DD71">
        <v>3.425</v>
      </c>
      <c r="DE71">
        <v>2.0468403</v>
      </c>
      <c r="DF71">
        <v>3.425</v>
      </c>
      <c r="DG71">
        <v>0.2040282</v>
      </c>
      <c r="DH71">
        <v>3.425</v>
      </c>
      <c r="DI71">
        <v>1.9864652</v>
      </c>
      <c r="DJ71">
        <v>3.425</v>
      </c>
      <c r="DK71">
        <v>0.18802797</v>
      </c>
      <c r="DL71">
        <v>3.425</v>
      </c>
      <c r="DM71">
        <v>1.38779103</v>
      </c>
      <c r="DR71">
        <v>34.04989</v>
      </c>
      <c r="DS71">
        <v>1.34917</v>
      </c>
      <c r="DT71">
        <v>2.6198</v>
      </c>
      <c r="DU71">
        <v>0.00462</v>
      </c>
      <c r="DV71">
        <f>AVERAGE(DS71:DU71)</f>
        <v>1.32453</v>
      </c>
      <c r="DX71">
        <v>35.68778</v>
      </c>
      <c r="DY71">
        <v>1.04114</v>
      </c>
      <c r="DZ71">
        <v>0.56062</v>
      </c>
      <c r="EA71">
        <v>1.17976</v>
      </c>
      <c r="EB71">
        <f>AVERAGE(DY71:EA71)</f>
        <v>0.927173333333333</v>
      </c>
      <c r="ED71">
        <v>37.05155</v>
      </c>
      <c r="EE71">
        <v>0.59373</v>
      </c>
      <c r="EF71">
        <v>1.33531</v>
      </c>
      <c r="EG71">
        <v>0.60759</v>
      </c>
      <c r="EH71">
        <f>AVERAGE(EE71:EG71)</f>
        <v>0.845543333333333</v>
      </c>
      <c r="EJ71">
        <v>33.37407</v>
      </c>
      <c r="EK71">
        <v>0.52172</v>
      </c>
      <c r="EL71">
        <v>1.2705</v>
      </c>
      <c r="EM71">
        <v>1.52924</v>
      </c>
      <c r="EN71">
        <f>AVERAGE(EK71:EM71)</f>
        <v>1.10715333333333</v>
      </c>
    </row>
    <row r="72" spans="24:144">
      <c r="X72">
        <v>34.93</v>
      </c>
      <c r="Y72">
        <v>1.14768576020897</v>
      </c>
      <c r="Z72">
        <v>34.93</v>
      </c>
      <c r="AA72">
        <v>1.18040796875884</v>
      </c>
      <c r="AB72">
        <v>34.93</v>
      </c>
      <c r="AC72">
        <v>1.16500660295865</v>
      </c>
      <c r="AD72">
        <v>34.93</v>
      </c>
      <c r="AE72">
        <v>1.13393184411458</v>
      </c>
      <c r="AF72">
        <v>34.93</v>
      </c>
      <c r="AG72">
        <v>1.13607642140101</v>
      </c>
      <c r="AJ72">
        <v>340</v>
      </c>
      <c r="AK72">
        <v>4.52926294</v>
      </c>
      <c r="AL72">
        <v>6.8578246</v>
      </c>
      <c r="AM72">
        <v>3.9595915</v>
      </c>
      <c r="AN72">
        <v>6.20493373</v>
      </c>
      <c r="AO72">
        <v>7.06469722</v>
      </c>
      <c r="AP72">
        <v>9.06138637</v>
      </c>
      <c r="AQ72">
        <v>3.10050003</v>
      </c>
      <c r="AR72">
        <v>4.47180395</v>
      </c>
      <c r="AS72">
        <v>6.73493976</v>
      </c>
      <c r="AT72">
        <v>8.6091576</v>
      </c>
      <c r="CS72">
        <v>3.475</v>
      </c>
      <c r="CT72">
        <v>0.21899362</v>
      </c>
      <c r="CV72">
        <v>3.475</v>
      </c>
      <c r="CW72">
        <v>3.15976512</v>
      </c>
      <c r="CX72">
        <v>3.475</v>
      </c>
      <c r="CY72">
        <v>0.3181442</v>
      </c>
      <c r="CZ72">
        <v>3.475</v>
      </c>
      <c r="DA72">
        <v>2.6424806</v>
      </c>
      <c r="DB72">
        <v>3.475</v>
      </c>
      <c r="DC72">
        <v>0.32032701</v>
      </c>
      <c r="DD72">
        <v>3.475</v>
      </c>
      <c r="DE72">
        <v>2.30852336</v>
      </c>
      <c r="DF72">
        <v>3.475</v>
      </c>
      <c r="DG72">
        <v>0.21835507</v>
      </c>
      <c r="DH72">
        <v>3.475</v>
      </c>
      <c r="DI72">
        <v>1.8342876</v>
      </c>
      <c r="DJ72">
        <v>3.475</v>
      </c>
      <c r="DK72">
        <v>0.19670658</v>
      </c>
      <c r="DL72">
        <v>3.475</v>
      </c>
      <c r="DM72">
        <v>1.68872599</v>
      </c>
      <c r="EJ72">
        <v>33.84747</v>
      </c>
      <c r="EK72">
        <v>0.48264</v>
      </c>
      <c r="EL72">
        <v>1.22508</v>
      </c>
      <c r="EM72">
        <v>1.27472</v>
      </c>
      <c r="EN72">
        <f>AVERAGE(EK72:EM72)</f>
        <v>0.994146666666667</v>
      </c>
    </row>
    <row r="73" spans="24:144">
      <c r="X73">
        <v>35.429</v>
      </c>
      <c r="Y73">
        <v>1.15120811154906</v>
      </c>
      <c r="Z73">
        <v>35.429</v>
      </c>
      <c r="AA73">
        <v>1.18302768029952</v>
      </c>
      <c r="AB73">
        <v>35.429</v>
      </c>
      <c r="AC73">
        <v>1.15501721727857</v>
      </c>
      <c r="AD73">
        <v>35.429</v>
      </c>
      <c r="AE73">
        <v>1.14113322435675</v>
      </c>
      <c r="AF73">
        <v>35.429</v>
      </c>
      <c r="AG73">
        <v>1.13334259359654</v>
      </c>
      <c r="AJ73">
        <v>345</v>
      </c>
      <c r="AK73">
        <v>4.64760424</v>
      </c>
      <c r="AL73">
        <v>7.00118204</v>
      </c>
      <c r="AM73">
        <v>4.04538852</v>
      </c>
      <c r="AN73">
        <v>6.29143207</v>
      </c>
      <c r="AO73">
        <v>7.16803785</v>
      </c>
      <c r="AP73">
        <v>9.22663106</v>
      </c>
      <c r="AQ73">
        <v>3.16829512</v>
      </c>
      <c r="AR73">
        <v>4.58195369</v>
      </c>
      <c r="AS73">
        <v>6.90912837</v>
      </c>
      <c r="AT73">
        <v>8.77971919</v>
      </c>
      <c r="CS73">
        <v>3.525</v>
      </c>
      <c r="CT73">
        <v>0.26349787</v>
      </c>
      <c r="CV73">
        <v>3.525</v>
      </c>
      <c r="CW73">
        <v>3.83845453</v>
      </c>
      <c r="CX73">
        <v>3.525</v>
      </c>
      <c r="CY73">
        <v>0.32003152</v>
      </c>
      <c r="CZ73">
        <v>3.525</v>
      </c>
      <c r="DA73">
        <v>3.80071329</v>
      </c>
      <c r="DB73">
        <v>3.525</v>
      </c>
      <c r="DC73">
        <v>0.2957391</v>
      </c>
      <c r="DD73">
        <v>3.525</v>
      </c>
      <c r="DE73">
        <v>2.62014469</v>
      </c>
      <c r="DF73">
        <v>3.525</v>
      </c>
      <c r="DG73">
        <v>0.23832213</v>
      </c>
      <c r="DH73">
        <v>3.525</v>
      </c>
      <c r="DI73">
        <v>2.13296269</v>
      </c>
      <c r="DJ73">
        <v>3.525</v>
      </c>
      <c r="DK73">
        <v>0.20482063</v>
      </c>
      <c r="DL73">
        <v>3.525</v>
      </c>
      <c r="DM73">
        <v>2.01352334</v>
      </c>
      <c r="EJ73">
        <v>34.32086</v>
      </c>
      <c r="EK73">
        <v>0.39815</v>
      </c>
      <c r="EL73">
        <v>0.93043</v>
      </c>
      <c r="EM73">
        <v>0.93465</v>
      </c>
      <c r="EN73">
        <f>AVERAGE(EK73:EM73)</f>
        <v>0.75441</v>
      </c>
    </row>
    <row r="74" spans="24:144">
      <c r="X74">
        <v>35.928</v>
      </c>
      <c r="Y74">
        <v>1.15622971195111</v>
      </c>
      <c r="Z74">
        <v>35.928</v>
      </c>
      <c r="AA74">
        <v>1.18301467308049</v>
      </c>
      <c r="AB74">
        <v>35.928</v>
      </c>
      <c r="AC74">
        <v>1.16599124907876</v>
      </c>
      <c r="AD74">
        <v>35.928</v>
      </c>
      <c r="AE74">
        <v>1.14780724584791</v>
      </c>
      <c r="AF74">
        <v>35.928</v>
      </c>
      <c r="AG74">
        <v>1.13565458812668</v>
      </c>
      <c r="AJ74">
        <v>350</v>
      </c>
      <c r="AK74">
        <v>4.71510258</v>
      </c>
      <c r="AL74">
        <v>7.16959602</v>
      </c>
      <c r="AM74">
        <v>4.15319246</v>
      </c>
      <c r="AN74">
        <v>6.43756637</v>
      </c>
      <c r="AO74">
        <v>7.40192248</v>
      </c>
      <c r="AP74">
        <v>9.4561905</v>
      </c>
      <c r="AQ74">
        <v>3.22505011</v>
      </c>
      <c r="AR74">
        <v>4.62896412</v>
      </c>
      <c r="AS74">
        <v>7.08647891</v>
      </c>
      <c r="AT74">
        <v>8.98225926</v>
      </c>
      <c r="CS74">
        <v>3.575</v>
      </c>
      <c r="CT74">
        <v>0.24632592</v>
      </c>
      <c r="CV74">
        <v>3.575</v>
      </c>
      <c r="CW74">
        <v>4.3538107</v>
      </c>
      <c r="CX74">
        <v>3.575</v>
      </c>
      <c r="CY74">
        <v>0.29004794</v>
      </c>
      <c r="CZ74">
        <v>3.575</v>
      </c>
      <c r="DA74">
        <v>3.49540725</v>
      </c>
      <c r="DB74">
        <v>3.575</v>
      </c>
      <c r="DC74">
        <v>0.28752466</v>
      </c>
      <c r="DD74">
        <v>3.575</v>
      </c>
      <c r="DE74">
        <v>3.21605165</v>
      </c>
      <c r="DF74">
        <v>3.575</v>
      </c>
      <c r="DG74">
        <v>0.21265846</v>
      </c>
      <c r="DH74">
        <v>3.575</v>
      </c>
      <c r="DI74">
        <v>2.27407678</v>
      </c>
      <c r="DJ74">
        <v>3.575</v>
      </c>
      <c r="DK74">
        <v>0.16196032</v>
      </c>
      <c r="DL74">
        <v>3.575</v>
      </c>
      <c r="DM74">
        <v>2.19223911</v>
      </c>
      <c r="EJ74">
        <v>34.79425</v>
      </c>
      <c r="EK74">
        <v>0.41611</v>
      </c>
      <c r="EL74">
        <v>0.97795</v>
      </c>
      <c r="EM74">
        <v>0.83538</v>
      </c>
      <c r="EN74">
        <f>AVERAGE(EK74:EM74)</f>
        <v>0.743146666666667</v>
      </c>
    </row>
    <row r="75" spans="24:144">
      <c r="X75">
        <v>36.427</v>
      </c>
      <c r="Y75">
        <v>1.15547209724497</v>
      </c>
      <c r="Z75">
        <v>36.427</v>
      </c>
      <c r="AA75">
        <v>1.18375984541934</v>
      </c>
      <c r="AB75">
        <v>36.427</v>
      </c>
      <c r="AC75">
        <v>1.17101066010211</v>
      </c>
      <c r="AD75">
        <v>36.427</v>
      </c>
      <c r="AE75">
        <v>1.141730106636</v>
      </c>
      <c r="AF75">
        <v>36.427</v>
      </c>
      <c r="AG75">
        <v>1.13234021703758</v>
      </c>
      <c r="AJ75">
        <v>355</v>
      </c>
      <c r="AK75">
        <v>4.79579032</v>
      </c>
      <c r="AL75">
        <v>7.29719411</v>
      </c>
      <c r="AM75">
        <v>4.27675807</v>
      </c>
      <c r="AN75">
        <v>6.55726632</v>
      </c>
      <c r="AO75">
        <v>7.54393374</v>
      </c>
      <c r="AP75">
        <v>9.6577713</v>
      </c>
      <c r="AQ75">
        <v>3.28608369</v>
      </c>
      <c r="AR75">
        <v>4.6834973</v>
      </c>
      <c r="AS75">
        <v>7.25255796</v>
      </c>
      <c r="AT75">
        <v>9.16414153</v>
      </c>
      <c r="CS75">
        <v>3.625</v>
      </c>
      <c r="CT75">
        <v>0.27791013</v>
      </c>
      <c r="CV75">
        <v>3.625</v>
      </c>
      <c r="CW75">
        <v>2.90368168</v>
      </c>
      <c r="CX75">
        <v>3.625</v>
      </c>
      <c r="CY75">
        <v>0.3180058</v>
      </c>
      <c r="CZ75">
        <v>3.625</v>
      </c>
      <c r="DA75">
        <v>3.88531285</v>
      </c>
      <c r="DB75">
        <v>3.625</v>
      </c>
      <c r="DC75">
        <v>0.22077456</v>
      </c>
      <c r="DD75">
        <v>3.625</v>
      </c>
      <c r="DE75">
        <v>3.11246135</v>
      </c>
      <c r="DF75">
        <v>3.625</v>
      </c>
      <c r="DG75">
        <v>0.22535489</v>
      </c>
      <c r="DH75">
        <v>3.625</v>
      </c>
      <c r="DI75">
        <v>3.22510252</v>
      </c>
      <c r="DJ75">
        <v>3.625</v>
      </c>
      <c r="DK75">
        <v>0.19109388</v>
      </c>
      <c r="DL75">
        <v>3.625</v>
      </c>
      <c r="DM75">
        <v>2.7907453</v>
      </c>
      <c r="EJ75">
        <v>35.26764</v>
      </c>
      <c r="EK75">
        <v>0.31261</v>
      </c>
      <c r="EL75">
        <v>1.10574</v>
      </c>
      <c r="EM75">
        <v>0.86178</v>
      </c>
      <c r="EN75">
        <f>AVERAGE(EK75:EM75)</f>
        <v>0.760043333333333</v>
      </c>
    </row>
    <row r="76" spans="24:144">
      <c r="X76">
        <v>36.926</v>
      </c>
      <c r="Y76">
        <v>1.14994520512951</v>
      </c>
      <c r="Z76">
        <v>36.926</v>
      </c>
      <c r="AA76">
        <v>1.17828661987328</v>
      </c>
      <c r="AB76">
        <v>36.926</v>
      </c>
      <c r="AC76">
        <v>1.16523145630732</v>
      </c>
      <c r="AD76">
        <v>36.926</v>
      </c>
      <c r="AE76">
        <v>1.14812206744763</v>
      </c>
      <c r="AF76">
        <v>36.926</v>
      </c>
      <c r="AG76">
        <v>1.13915576223422</v>
      </c>
      <c r="AJ76">
        <v>360</v>
      </c>
      <c r="AK76">
        <v>4.89364001</v>
      </c>
      <c r="AL76">
        <v>7.4230949</v>
      </c>
      <c r="AM76">
        <v>4.37907897</v>
      </c>
      <c r="AN76">
        <v>6.63641429</v>
      </c>
      <c r="AO76">
        <v>7.73393895</v>
      </c>
      <c r="AP76">
        <v>9.86048479</v>
      </c>
      <c r="AQ76">
        <v>3.36288327</v>
      </c>
      <c r="AR76">
        <v>4.74453523</v>
      </c>
      <c r="AS76">
        <v>7.41960571</v>
      </c>
      <c r="AT76">
        <v>9.36358746</v>
      </c>
      <c r="CS76">
        <v>3.675</v>
      </c>
      <c r="CT76">
        <v>0.27039951</v>
      </c>
      <c r="CV76">
        <v>3.675</v>
      </c>
      <c r="CW76">
        <v>6.59215348</v>
      </c>
      <c r="CX76">
        <v>3.675</v>
      </c>
      <c r="CY76">
        <v>0.264497</v>
      </c>
      <c r="CZ76">
        <v>3.675</v>
      </c>
      <c r="DA76">
        <v>4.00082901</v>
      </c>
      <c r="DB76">
        <v>3.675</v>
      </c>
      <c r="DC76">
        <v>0.23986899</v>
      </c>
      <c r="DD76">
        <v>3.675</v>
      </c>
      <c r="DE76">
        <v>3.84193144</v>
      </c>
      <c r="DF76">
        <v>3.675</v>
      </c>
      <c r="DG76">
        <v>0.2312791</v>
      </c>
      <c r="DH76">
        <v>3.675</v>
      </c>
      <c r="DI76">
        <v>3.44130905</v>
      </c>
      <c r="DJ76">
        <v>3.675</v>
      </c>
      <c r="DK76">
        <v>0.22361791</v>
      </c>
      <c r="DL76">
        <v>3.675</v>
      </c>
      <c r="DM76">
        <v>3.11501001</v>
      </c>
      <c r="EJ76">
        <v>35.74103</v>
      </c>
      <c r="EK76">
        <v>0.28515</v>
      </c>
      <c r="EL76">
        <v>1.11102</v>
      </c>
      <c r="EM76">
        <v>1.01597</v>
      </c>
      <c r="EN76">
        <f>AVERAGE(EK76:EM76)</f>
        <v>0.804046666666667</v>
      </c>
    </row>
    <row r="77" spans="24:144">
      <c r="X77">
        <v>37.425</v>
      </c>
      <c r="Y77">
        <v>1.14979498042597</v>
      </c>
      <c r="Z77">
        <v>37.425</v>
      </c>
      <c r="AA77">
        <v>1.18169026230155</v>
      </c>
      <c r="AB77">
        <v>37.425</v>
      </c>
      <c r="AC77">
        <v>1.17424818151729</v>
      </c>
      <c r="AD77">
        <v>37.425</v>
      </c>
      <c r="AE77">
        <v>1.14250345219888</v>
      </c>
      <c r="AF77">
        <v>37.425</v>
      </c>
      <c r="AG77">
        <v>1.1458322654068</v>
      </c>
      <c r="AJ77">
        <v>365</v>
      </c>
      <c r="AK77">
        <v>4.99597841</v>
      </c>
      <c r="AL77">
        <v>7.56371892</v>
      </c>
      <c r="AM77">
        <v>4.46287757</v>
      </c>
      <c r="AN77">
        <v>6.79100881</v>
      </c>
      <c r="AO77">
        <v>7.91993882</v>
      </c>
      <c r="AP77">
        <v>10.10313032</v>
      </c>
      <c r="AQ77">
        <v>3.42490408</v>
      </c>
      <c r="AR77">
        <v>4.78850361</v>
      </c>
      <c r="AS77">
        <v>7.58736096</v>
      </c>
      <c r="AT77">
        <v>9.54403244</v>
      </c>
      <c r="CS77">
        <v>3.725</v>
      </c>
      <c r="CT77">
        <v>0.19058534</v>
      </c>
      <c r="CV77">
        <v>3.725</v>
      </c>
      <c r="CW77">
        <v>5.27059234</v>
      </c>
      <c r="CX77">
        <v>3.725</v>
      </c>
      <c r="CY77">
        <v>0.32059085</v>
      </c>
      <c r="CZ77">
        <v>3.725</v>
      </c>
      <c r="DA77">
        <v>4.01679693</v>
      </c>
      <c r="DB77">
        <v>3.725</v>
      </c>
      <c r="DC77">
        <v>0.2299882</v>
      </c>
      <c r="DD77">
        <v>3.725</v>
      </c>
      <c r="DE77">
        <v>3.827474</v>
      </c>
      <c r="DF77">
        <v>3.725</v>
      </c>
      <c r="DG77">
        <v>0.28065915</v>
      </c>
      <c r="DH77">
        <v>3.725</v>
      </c>
      <c r="DI77">
        <v>3.74632453</v>
      </c>
      <c r="DJ77">
        <v>3.725</v>
      </c>
      <c r="DK77">
        <v>0.22743737</v>
      </c>
      <c r="DL77">
        <v>3.725</v>
      </c>
      <c r="DM77">
        <v>2.92697226</v>
      </c>
      <c r="EJ77">
        <v>36.21442</v>
      </c>
      <c r="EK77">
        <v>0.43934</v>
      </c>
      <c r="EL77">
        <v>0.78046</v>
      </c>
      <c r="EM77">
        <v>1.0033</v>
      </c>
      <c r="EN77">
        <f>AVERAGE(EK77:EM77)</f>
        <v>0.741033333333333</v>
      </c>
    </row>
    <row r="78" spans="24:144">
      <c r="X78">
        <v>37.924</v>
      </c>
      <c r="Y78">
        <v>1.15527864403116</v>
      </c>
      <c r="Z78">
        <v>37.924</v>
      </c>
      <c r="AA78">
        <v>1.17400236715894</v>
      </c>
      <c r="AB78">
        <v>37.924</v>
      </c>
      <c r="AC78">
        <v>1.16663114769708</v>
      </c>
      <c r="AD78">
        <v>37.924</v>
      </c>
      <c r="AE78">
        <v>1.14456601757666</v>
      </c>
      <c r="AF78">
        <v>37.924</v>
      </c>
      <c r="AG78">
        <v>1.14689891757252</v>
      </c>
      <c r="AJ78">
        <v>370</v>
      </c>
      <c r="AK78">
        <v>5.06925148</v>
      </c>
      <c r="AL78">
        <v>7.73508062</v>
      </c>
      <c r="AM78">
        <v>4.5712429</v>
      </c>
      <c r="AN78">
        <v>6.93573015</v>
      </c>
      <c r="AO78">
        <v>8.11084274</v>
      </c>
      <c r="AP78">
        <v>10.3416956</v>
      </c>
      <c r="AQ78">
        <v>3.53400444</v>
      </c>
      <c r="AR78">
        <v>4.90739185</v>
      </c>
      <c r="AS78">
        <v>7.80922616</v>
      </c>
      <c r="AT78">
        <v>9.75836924</v>
      </c>
      <c r="CS78">
        <v>3.775</v>
      </c>
      <c r="CT78">
        <v>0.25626366</v>
      </c>
      <c r="CV78">
        <v>3.775</v>
      </c>
      <c r="CW78">
        <v>6.24753123</v>
      </c>
      <c r="CX78">
        <v>3.775</v>
      </c>
      <c r="CY78">
        <v>0.30269551</v>
      </c>
      <c r="CZ78">
        <v>3.775</v>
      </c>
      <c r="DA78">
        <v>4.41864499</v>
      </c>
      <c r="DB78">
        <v>3.775</v>
      </c>
      <c r="DC78">
        <v>0.30536758</v>
      </c>
      <c r="DD78">
        <v>3.775</v>
      </c>
      <c r="DE78">
        <v>4.05516842</v>
      </c>
      <c r="DF78">
        <v>3.775</v>
      </c>
      <c r="DG78">
        <v>0.24480779</v>
      </c>
      <c r="DH78">
        <v>3.775</v>
      </c>
      <c r="DI78">
        <v>3.95321881</v>
      </c>
      <c r="DJ78">
        <v>3.775</v>
      </c>
      <c r="DK78">
        <v>0.21192769</v>
      </c>
      <c r="DL78">
        <v>3.775</v>
      </c>
      <c r="DM78">
        <v>3.31291794</v>
      </c>
      <c r="EJ78">
        <v>36.68781</v>
      </c>
      <c r="EK78">
        <v>0.60726</v>
      </c>
      <c r="EL78">
        <v>0.68224</v>
      </c>
      <c r="EM78">
        <v>1.08884</v>
      </c>
      <c r="EN78">
        <f>AVERAGE(EK78:EM78)</f>
        <v>0.79278</v>
      </c>
    </row>
    <row r="79" spans="24:144">
      <c r="X79">
        <v>38.423</v>
      </c>
      <c r="Y79">
        <v>1.15413845073947</v>
      </c>
      <c r="Z79">
        <v>38.423</v>
      </c>
      <c r="AA79">
        <v>1.18237906810973</v>
      </c>
      <c r="AB79">
        <v>38.423</v>
      </c>
      <c r="AC79">
        <v>1.16893902296007</v>
      </c>
      <c r="AD79">
        <v>38.423</v>
      </c>
      <c r="AE79">
        <v>1.15134665166546</v>
      </c>
      <c r="AF79">
        <v>38.423</v>
      </c>
      <c r="AG79">
        <v>1.14593971326209</v>
      </c>
      <c r="AJ79">
        <v>375</v>
      </c>
      <c r="AK79">
        <v>5.15720258</v>
      </c>
      <c r="AL79">
        <v>7.8830147</v>
      </c>
      <c r="AM79">
        <v>4.67100366</v>
      </c>
      <c r="AN79">
        <v>7.02398811</v>
      </c>
      <c r="AO79">
        <v>8.35718585</v>
      </c>
      <c r="AP79">
        <v>10.61363635</v>
      </c>
      <c r="AQ79">
        <v>3.6377662</v>
      </c>
      <c r="AR79">
        <v>4.98682339</v>
      </c>
      <c r="AS79">
        <v>7.96724416</v>
      </c>
      <c r="AT79">
        <v>9.90516765</v>
      </c>
      <c r="CS79">
        <v>3.825</v>
      </c>
      <c r="CT79">
        <v>0.258215</v>
      </c>
      <c r="CV79">
        <v>3.825</v>
      </c>
      <c r="CW79">
        <v>6.30259789</v>
      </c>
      <c r="CX79">
        <v>3.825</v>
      </c>
      <c r="CY79">
        <v>0.27640663</v>
      </c>
      <c r="CZ79">
        <v>3.825</v>
      </c>
      <c r="DA79">
        <v>4.65284489</v>
      </c>
      <c r="DB79">
        <v>3.825</v>
      </c>
      <c r="DC79">
        <v>0.30074126</v>
      </c>
      <c r="DD79">
        <v>3.825</v>
      </c>
      <c r="DE79">
        <v>4.4783458</v>
      </c>
      <c r="DF79">
        <v>3.825</v>
      </c>
      <c r="DG79">
        <v>0.23290417</v>
      </c>
      <c r="DH79">
        <v>3.825</v>
      </c>
      <c r="DI79">
        <v>4.19184184</v>
      </c>
      <c r="DJ79">
        <v>3.825</v>
      </c>
      <c r="DK79">
        <v>0.2249783</v>
      </c>
      <c r="DL79">
        <v>3.825</v>
      </c>
      <c r="DM79">
        <v>3.42599041</v>
      </c>
      <c r="EJ79">
        <v>37.1612</v>
      </c>
      <c r="EK79">
        <v>0.51116</v>
      </c>
      <c r="EL79">
        <v>0.74983</v>
      </c>
      <c r="EM79">
        <v>1.02865</v>
      </c>
      <c r="EN79">
        <f>AVERAGE(EK79:EM79)</f>
        <v>0.763213333333333</v>
      </c>
    </row>
    <row r="80" spans="24:144">
      <c r="X80">
        <v>38.922</v>
      </c>
      <c r="Y80">
        <v>1.15518143050362</v>
      </c>
      <c r="Z80">
        <v>38.922</v>
      </c>
      <c r="AA80">
        <v>1.18102062968417</v>
      </c>
      <c r="AB80">
        <v>38.922</v>
      </c>
      <c r="AC80">
        <v>1.17684741988457</v>
      </c>
      <c r="AD80">
        <v>38.922</v>
      </c>
      <c r="AE80">
        <v>1.15782076800899</v>
      </c>
      <c r="AF80">
        <v>38.922</v>
      </c>
      <c r="AG80">
        <v>1.14696136455733</v>
      </c>
      <c r="AJ80">
        <v>380</v>
      </c>
      <c r="AK80">
        <v>5.27050643</v>
      </c>
      <c r="AL80">
        <v>8.05565504</v>
      </c>
      <c r="AM80">
        <v>4.81832613</v>
      </c>
      <c r="AN80">
        <v>7.13237062</v>
      </c>
      <c r="AO80">
        <v>8.56267571</v>
      </c>
      <c r="AP80">
        <v>10.88789442</v>
      </c>
      <c r="AQ80">
        <v>3.71680248</v>
      </c>
      <c r="AR80">
        <v>5.06718864</v>
      </c>
      <c r="AS80">
        <v>8.14365508</v>
      </c>
      <c r="AT80">
        <v>10.1118267</v>
      </c>
      <c r="CS80">
        <v>3.875</v>
      </c>
      <c r="CT80">
        <v>0.25159447</v>
      </c>
      <c r="CV80">
        <v>3.875</v>
      </c>
      <c r="CW80">
        <v>8.68210598</v>
      </c>
      <c r="CX80">
        <v>3.875</v>
      </c>
      <c r="CY80">
        <v>0.3815362</v>
      </c>
      <c r="CZ80">
        <v>3.875</v>
      </c>
      <c r="DA80">
        <v>4.78855986</v>
      </c>
      <c r="DB80">
        <v>3.875</v>
      </c>
      <c r="DC80">
        <v>0.30591083</v>
      </c>
      <c r="DD80">
        <v>3.875</v>
      </c>
      <c r="DE80">
        <v>4.79716481</v>
      </c>
      <c r="DF80">
        <v>3.875</v>
      </c>
      <c r="DG80">
        <v>0.31608469</v>
      </c>
      <c r="DH80">
        <v>3.875</v>
      </c>
      <c r="DI80">
        <v>4.58744926</v>
      </c>
      <c r="DJ80">
        <v>3.875</v>
      </c>
      <c r="DK80">
        <v>0.21469015</v>
      </c>
      <c r="DL80">
        <v>3.875</v>
      </c>
      <c r="DM80">
        <v>4.07425411</v>
      </c>
      <c r="EJ80">
        <v>37.63459</v>
      </c>
      <c r="EK80">
        <v>0.71498</v>
      </c>
      <c r="EL80">
        <v>0.88502</v>
      </c>
      <c r="EM80">
        <v>0.96</v>
      </c>
      <c r="EN80">
        <f>AVERAGE(EK80:EM80)</f>
        <v>0.853333333333333</v>
      </c>
    </row>
    <row r="81" spans="24:117">
      <c r="X81">
        <v>39.421</v>
      </c>
      <c r="Y81">
        <v>1.15201649580842</v>
      </c>
      <c r="Z81">
        <v>39.421</v>
      </c>
      <c r="AA81">
        <v>1.18057027815844</v>
      </c>
      <c r="AB81">
        <v>39.421</v>
      </c>
      <c r="AC81">
        <v>1.16823554395037</v>
      </c>
      <c r="AD81">
        <v>39.421</v>
      </c>
      <c r="AE81">
        <v>1.16014920961132</v>
      </c>
      <c r="AF81">
        <v>39.421</v>
      </c>
      <c r="AG81">
        <v>1.15363024771407</v>
      </c>
      <c r="AJ81">
        <v>385</v>
      </c>
      <c r="AK81">
        <v>5.3379912</v>
      </c>
      <c r="AL81">
        <v>8.20030702</v>
      </c>
      <c r="AM81">
        <v>4.94788931</v>
      </c>
      <c r="AN81">
        <v>7.24591424</v>
      </c>
      <c r="AO81">
        <v>8.76482839</v>
      </c>
      <c r="AP81">
        <v>11.0964806</v>
      </c>
      <c r="AQ81">
        <v>3.7918242</v>
      </c>
      <c r="AR81">
        <v>5.16887563</v>
      </c>
      <c r="AS81">
        <v>8.27068932</v>
      </c>
      <c r="AT81">
        <v>10.27178622</v>
      </c>
      <c r="CS81">
        <v>3.925</v>
      </c>
      <c r="CT81">
        <v>0.27792205</v>
      </c>
      <c r="CV81">
        <v>3.925</v>
      </c>
      <c r="CW81">
        <v>7.53352674</v>
      </c>
      <c r="CX81">
        <v>3.925</v>
      </c>
      <c r="CY81">
        <v>0.3893777</v>
      </c>
      <c r="CZ81">
        <v>3.925</v>
      </c>
      <c r="DA81">
        <v>5.68918008</v>
      </c>
      <c r="DB81">
        <v>3.925</v>
      </c>
      <c r="DC81">
        <v>0.26050351</v>
      </c>
      <c r="DD81">
        <v>3.925</v>
      </c>
      <c r="DE81">
        <v>4.8342233</v>
      </c>
      <c r="DF81">
        <v>3.925</v>
      </c>
      <c r="DG81">
        <v>0.27911791</v>
      </c>
      <c r="DH81">
        <v>3.925</v>
      </c>
      <c r="DI81">
        <v>4.70402557</v>
      </c>
      <c r="DJ81">
        <v>3.925</v>
      </c>
      <c r="DK81">
        <v>0.26211974</v>
      </c>
      <c r="DL81">
        <v>3.925</v>
      </c>
      <c r="DM81">
        <v>3.84319298</v>
      </c>
    </row>
    <row r="82" spans="24:117">
      <c r="X82">
        <v>39.92</v>
      </c>
      <c r="Y82">
        <v>1.15748830960919</v>
      </c>
      <c r="Z82">
        <v>39.92</v>
      </c>
      <c r="AA82">
        <v>1.18965384895661</v>
      </c>
      <c r="AB82">
        <v>39.92</v>
      </c>
      <c r="AC82">
        <v>1.16395937855732</v>
      </c>
      <c r="AD82">
        <v>39.92</v>
      </c>
      <c r="AE82">
        <v>1.16180364472779</v>
      </c>
      <c r="AF82">
        <v>39.92</v>
      </c>
      <c r="AG82">
        <v>1.15203744375658</v>
      </c>
      <c r="AJ82">
        <v>390</v>
      </c>
      <c r="AK82">
        <v>5.41416483</v>
      </c>
      <c r="AL82">
        <v>8.30205554</v>
      </c>
      <c r="AM82">
        <v>5.01950287</v>
      </c>
      <c r="AN82">
        <v>7.36196179</v>
      </c>
      <c r="AO82">
        <v>8.9421602</v>
      </c>
      <c r="AP82">
        <v>11.26528691</v>
      </c>
      <c r="AQ82">
        <v>3.93829149</v>
      </c>
      <c r="AR82">
        <v>5.33824122</v>
      </c>
      <c r="AS82">
        <v>8.45020032</v>
      </c>
      <c r="AT82">
        <v>10.42287863</v>
      </c>
      <c r="CS82">
        <v>3.975</v>
      </c>
      <c r="CT82">
        <v>0.39052188</v>
      </c>
      <c r="CV82">
        <v>3.975</v>
      </c>
      <c r="CW82">
        <v>8.15015177</v>
      </c>
      <c r="CX82">
        <v>3.975</v>
      </c>
      <c r="CY82">
        <v>0.40523773</v>
      </c>
      <c r="CZ82">
        <v>3.975</v>
      </c>
      <c r="DA82">
        <v>5.78930091</v>
      </c>
      <c r="DB82">
        <v>3.975</v>
      </c>
      <c r="DC82">
        <v>0.28765276</v>
      </c>
      <c r="DD82">
        <v>3.975</v>
      </c>
      <c r="DE82">
        <v>5.57620486</v>
      </c>
      <c r="DF82">
        <v>3.975</v>
      </c>
      <c r="DG82">
        <v>0.30551604</v>
      </c>
      <c r="DH82">
        <v>3.975</v>
      </c>
      <c r="DI82">
        <v>4.80521848</v>
      </c>
      <c r="DJ82">
        <v>3.975</v>
      </c>
      <c r="DK82">
        <v>0.30925765</v>
      </c>
      <c r="DL82">
        <v>3.975</v>
      </c>
      <c r="DM82">
        <v>3.72000449</v>
      </c>
    </row>
    <row r="83" spans="24:117">
      <c r="X83">
        <v>40.419</v>
      </c>
      <c r="Y83">
        <v>1.16033150697515</v>
      </c>
      <c r="Z83">
        <v>40.419</v>
      </c>
      <c r="AA83">
        <v>1.19369025268289</v>
      </c>
      <c r="AB83">
        <v>40.419</v>
      </c>
      <c r="AC83">
        <v>1.17263285556143</v>
      </c>
      <c r="AD83">
        <v>40.419</v>
      </c>
      <c r="AE83">
        <v>1.16076197438228</v>
      </c>
      <c r="AF83">
        <v>40.419</v>
      </c>
      <c r="AG83">
        <v>1.15588115276236</v>
      </c>
      <c r="AJ83">
        <v>395</v>
      </c>
      <c r="AK83">
        <v>5.54216186</v>
      </c>
      <c r="AL83">
        <v>8.50424208</v>
      </c>
      <c r="AM83">
        <v>5.163971</v>
      </c>
      <c r="AN83">
        <v>7.54288954</v>
      </c>
      <c r="AO83">
        <v>9.20194583</v>
      </c>
      <c r="AP83">
        <v>11.55953433</v>
      </c>
      <c r="AQ83">
        <v>3.98633635</v>
      </c>
      <c r="AR83">
        <v>5.42237143</v>
      </c>
      <c r="AS83">
        <v>8.65786408</v>
      </c>
      <c r="AT83">
        <v>10.65309316</v>
      </c>
      <c r="CS83">
        <v>4.025</v>
      </c>
      <c r="CT83">
        <v>0.34201457</v>
      </c>
      <c r="CV83">
        <v>4.025</v>
      </c>
      <c r="CW83">
        <v>7.85078894</v>
      </c>
      <c r="CX83">
        <v>4.025</v>
      </c>
      <c r="CY83">
        <v>0.50756158</v>
      </c>
      <c r="CZ83">
        <v>4.025</v>
      </c>
      <c r="DA83">
        <v>5.12111953</v>
      </c>
      <c r="DB83">
        <v>4.025</v>
      </c>
      <c r="DC83">
        <v>0.31636556</v>
      </c>
      <c r="DD83">
        <v>4.025</v>
      </c>
      <c r="DE83">
        <v>5.14964533</v>
      </c>
      <c r="DF83">
        <v>4.025</v>
      </c>
      <c r="DG83">
        <v>0.24288541</v>
      </c>
      <c r="DH83">
        <v>4.025</v>
      </c>
      <c r="DI83">
        <v>4.82093103</v>
      </c>
      <c r="DJ83">
        <v>4.025</v>
      </c>
      <c r="DK83">
        <v>0.28905447</v>
      </c>
      <c r="DL83">
        <v>4.025</v>
      </c>
      <c r="DM83">
        <v>3.85028932</v>
      </c>
    </row>
    <row r="84" spans="24:117">
      <c r="X84">
        <v>40.918</v>
      </c>
      <c r="Y84">
        <v>1.15732646910661</v>
      </c>
      <c r="Z84">
        <v>40.918</v>
      </c>
      <c r="AA84">
        <v>1.18130763260733</v>
      </c>
      <c r="AB84">
        <v>40.918</v>
      </c>
      <c r="AC84">
        <v>1.16661540032175</v>
      </c>
      <c r="AD84">
        <v>40.918</v>
      </c>
      <c r="AE84">
        <v>1.1585369395225</v>
      </c>
      <c r="AF84">
        <v>40.918</v>
      </c>
      <c r="AG84">
        <v>1.16026081046246</v>
      </c>
      <c r="AJ84">
        <v>400</v>
      </c>
      <c r="AK84">
        <v>5.71394249</v>
      </c>
      <c r="AL84">
        <v>8.73119018</v>
      </c>
      <c r="AM84">
        <v>5.32896712</v>
      </c>
      <c r="AN84">
        <v>7.72329911</v>
      </c>
      <c r="AO84">
        <v>9.37616954</v>
      </c>
      <c r="AP84">
        <v>11.72025245</v>
      </c>
      <c r="AQ84">
        <v>4.09489898</v>
      </c>
      <c r="AR84">
        <v>5.55508003</v>
      </c>
      <c r="AS84">
        <v>8.75921843</v>
      </c>
      <c r="AT84">
        <v>10.7507727</v>
      </c>
      <c r="CS84">
        <v>4.075</v>
      </c>
      <c r="CT84">
        <v>0.38675754</v>
      </c>
      <c r="CV84">
        <v>4.075</v>
      </c>
      <c r="CW84">
        <v>7.0848672</v>
      </c>
      <c r="CX84">
        <v>4.075</v>
      </c>
      <c r="CY84">
        <v>0.47894715</v>
      </c>
      <c r="CZ84">
        <v>4.075</v>
      </c>
      <c r="DA84">
        <v>5.84173467</v>
      </c>
      <c r="DB84">
        <v>4.075</v>
      </c>
      <c r="DC84">
        <v>0.26788466</v>
      </c>
      <c r="DD84">
        <v>4.075</v>
      </c>
      <c r="DE84">
        <v>4.93827406</v>
      </c>
      <c r="DF84">
        <v>4.075</v>
      </c>
      <c r="DG84">
        <v>0.40552203</v>
      </c>
      <c r="DH84">
        <v>4.075</v>
      </c>
      <c r="DI84">
        <v>4.50288245</v>
      </c>
      <c r="DJ84">
        <v>4.075</v>
      </c>
      <c r="DK84">
        <v>0.28609174</v>
      </c>
      <c r="DL84">
        <v>4.075</v>
      </c>
      <c r="DM84">
        <v>4.02985759</v>
      </c>
    </row>
    <row r="85" spans="24:117">
      <c r="X85">
        <v>41.417</v>
      </c>
      <c r="Y85">
        <v>1.15713995726739</v>
      </c>
      <c r="Z85">
        <v>41.417</v>
      </c>
      <c r="AA85">
        <v>1.18022116581995</v>
      </c>
      <c r="AB85">
        <v>41.417</v>
      </c>
      <c r="AC85">
        <v>1.16006418585424</v>
      </c>
      <c r="AD85">
        <v>41.417</v>
      </c>
      <c r="AE85">
        <v>1.15937102929951</v>
      </c>
      <c r="AF85">
        <v>41.417</v>
      </c>
      <c r="AG85">
        <v>1.16565445629147</v>
      </c>
      <c r="AJ85">
        <v>405</v>
      </c>
      <c r="AK85">
        <v>5.80910292</v>
      </c>
      <c r="AL85">
        <v>8.92686098</v>
      </c>
      <c r="AM85">
        <v>5.49838099</v>
      </c>
      <c r="AN85">
        <v>7.81521882</v>
      </c>
      <c r="AO85">
        <v>9.59790913</v>
      </c>
      <c r="AP85">
        <v>11.94996076</v>
      </c>
      <c r="AQ85">
        <v>4.2154066</v>
      </c>
      <c r="AR85">
        <v>5.64935844</v>
      </c>
      <c r="AS85">
        <v>8.93010087</v>
      </c>
      <c r="AT85">
        <v>10.98974881</v>
      </c>
      <c r="CS85">
        <v>4.125</v>
      </c>
      <c r="CT85">
        <v>0.34783551</v>
      </c>
      <c r="CV85">
        <v>4.125</v>
      </c>
      <c r="CW85">
        <v>7.66163218</v>
      </c>
      <c r="CX85">
        <v>4.125</v>
      </c>
      <c r="CY85">
        <v>0.4713679</v>
      </c>
      <c r="CZ85">
        <v>4.125</v>
      </c>
      <c r="DA85">
        <v>6.12604971</v>
      </c>
      <c r="DB85">
        <v>4.125</v>
      </c>
      <c r="DC85">
        <v>0.35520369</v>
      </c>
      <c r="DD85">
        <v>4.125</v>
      </c>
      <c r="DE85">
        <v>6.02709629</v>
      </c>
      <c r="DF85">
        <v>4.125</v>
      </c>
      <c r="DG85">
        <v>0.34091794</v>
      </c>
      <c r="DH85">
        <v>4.125</v>
      </c>
      <c r="DI85">
        <v>4.69536982</v>
      </c>
      <c r="DJ85">
        <v>4.125</v>
      </c>
      <c r="DK85">
        <v>0.3170895</v>
      </c>
      <c r="DL85">
        <v>4.125</v>
      </c>
      <c r="DM85">
        <v>3.9025441</v>
      </c>
    </row>
    <row r="86" spans="24:117">
      <c r="X86">
        <v>41.916</v>
      </c>
      <c r="Y86">
        <v>1.1599566378377</v>
      </c>
      <c r="Z86">
        <v>41.916</v>
      </c>
      <c r="AA86">
        <v>1.17864363557317</v>
      </c>
      <c r="AB86">
        <v>41.916</v>
      </c>
      <c r="AC86">
        <v>1.16964258262422</v>
      </c>
      <c r="AD86">
        <v>41.916</v>
      </c>
      <c r="AE86">
        <v>1.16132036255732</v>
      </c>
      <c r="AF86">
        <v>41.916</v>
      </c>
      <c r="AG86">
        <v>1.15952042996768</v>
      </c>
      <c r="AJ86">
        <v>410</v>
      </c>
      <c r="AK86">
        <v>5.95247219</v>
      </c>
      <c r="AL86">
        <v>9.21771744</v>
      </c>
      <c r="AM86">
        <v>5.66153404</v>
      </c>
      <c r="AN86">
        <v>7.97723108</v>
      </c>
      <c r="AO86">
        <v>9.88752114</v>
      </c>
      <c r="AP86">
        <v>12.19808665</v>
      </c>
      <c r="AQ86">
        <v>4.27805555</v>
      </c>
      <c r="AR86">
        <v>5.73486778</v>
      </c>
      <c r="AS86">
        <v>9.18935559</v>
      </c>
      <c r="AT86">
        <v>11.28382035</v>
      </c>
      <c r="CS86">
        <v>4.175</v>
      </c>
      <c r="CT86">
        <v>0.35400322</v>
      </c>
      <c r="CV86">
        <v>4.175</v>
      </c>
      <c r="CW86">
        <v>7.20559105</v>
      </c>
      <c r="CX86">
        <v>4.175</v>
      </c>
      <c r="CY86">
        <v>0.51041337</v>
      </c>
      <c r="CZ86">
        <v>4.175</v>
      </c>
      <c r="DA86">
        <v>5.27233814</v>
      </c>
      <c r="DB86">
        <v>4.175</v>
      </c>
      <c r="DC86">
        <v>0.33565097</v>
      </c>
      <c r="DD86">
        <v>4.175</v>
      </c>
      <c r="DE86">
        <v>5.47501747</v>
      </c>
      <c r="DF86">
        <v>4.175</v>
      </c>
      <c r="DG86">
        <v>0.36771046</v>
      </c>
      <c r="DH86">
        <v>4.175</v>
      </c>
      <c r="DI86">
        <v>4.25303396</v>
      </c>
      <c r="DJ86">
        <v>4.175</v>
      </c>
      <c r="DK86">
        <v>0.3114869</v>
      </c>
      <c r="DL86">
        <v>4.175</v>
      </c>
      <c r="DM86">
        <v>4.01117259</v>
      </c>
    </row>
    <row r="87" spans="24:117">
      <c r="X87">
        <v>42.415</v>
      </c>
      <c r="Y87">
        <v>1.17186890910559</v>
      </c>
      <c r="Z87">
        <v>42.415</v>
      </c>
      <c r="AA87">
        <v>1.1798229424342</v>
      </c>
      <c r="AB87">
        <v>42.415</v>
      </c>
      <c r="AC87">
        <v>1.1623486482909</v>
      </c>
      <c r="AD87">
        <v>42.415</v>
      </c>
      <c r="AE87">
        <v>1.15494552204075</v>
      </c>
      <c r="AF87">
        <v>42.415</v>
      </c>
      <c r="AG87">
        <v>1.1615738028404</v>
      </c>
      <c r="AJ87">
        <v>415</v>
      </c>
      <c r="AK87">
        <v>6.14808205</v>
      </c>
      <c r="AL87">
        <v>9.41646744</v>
      </c>
      <c r="AM87">
        <v>5.82127382</v>
      </c>
      <c r="AN87">
        <v>8.1473707</v>
      </c>
      <c r="AO87">
        <v>10.16081922</v>
      </c>
      <c r="AP87">
        <v>12.50962498</v>
      </c>
      <c r="AQ87">
        <v>4.36225358</v>
      </c>
      <c r="AR87">
        <v>5.79456496</v>
      </c>
      <c r="AS87">
        <v>9.42975015</v>
      </c>
      <c r="AT87">
        <v>11.53867799</v>
      </c>
      <c r="CS87">
        <v>4.225</v>
      </c>
      <c r="CT87">
        <v>0.31040125</v>
      </c>
      <c r="CV87">
        <v>4.225</v>
      </c>
      <c r="CW87">
        <v>6.14541569</v>
      </c>
      <c r="CX87">
        <v>4.225</v>
      </c>
      <c r="CY87">
        <v>0.51728316</v>
      </c>
      <c r="CZ87">
        <v>4.225</v>
      </c>
      <c r="DA87">
        <v>5.21979293</v>
      </c>
      <c r="DB87">
        <v>4.225</v>
      </c>
      <c r="DC87">
        <v>0.31150142</v>
      </c>
      <c r="DD87">
        <v>4.225</v>
      </c>
      <c r="DE87">
        <v>4.8674354</v>
      </c>
      <c r="DF87">
        <v>4.225</v>
      </c>
      <c r="DG87">
        <v>0.37496652</v>
      </c>
      <c r="DH87">
        <v>4.225</v>
      </c>
      <c r="DI87">
        <v>4.12427663</v>
      </c>
      <c r="DJ87">
        <v>4.225</v>
      </c>
      <c r="DK87">
        <v>0.36118779</v>
      </c>
      <c r="DL87">
        <v>4.225</v>
      </c>
      <c r="DM87">
        <v>3.94079644</v>
      </c>
    </row>
    <row r="88" spans="24:117">
      <c r="X88">
        <v>42.914</v>
      </c>
      <c r="Y88">
        <v>1.16875698995182</v>
      </c>
      <c r="Z88">
        <v>42.914</v>
      </c>
      <c r="AA88">
        <v>1.182023927466</v>
      </c>
      <c r="AB88">
        <v>42.914</v>
      </c>
      <c r="AC88">
        <v>1.17920870182205</v>
      </c>
      <c r="AD88">
        <v>42.914</v>
      </c>
      <c r="AE88">
        <v>1.15926799059982</v>
      </c>
      <c r="AF88">
        <v>42.914</v>
      </c>
      <c r="AG88">
        <v>1.16850408351955</v>
      </c>
      <c r="AJ88">
        <v>420</v>
      </c>
      <c r="AK88">
        <v>6.26980834</v>
      </c>
      <c r="AL88">
        <v>9.64454816</v>
      </c>
      <c r="AM88">
        <v>6.04385482</v>
      </c>
      <c r="AN88">
        <v>8.31521915</v>
      </c>
      <c r="AO88">
        <v>10.45541259</v>
      </c>
      <c r="AP88">
        <v>12.7825363</v>
      </c>
      <c r="AQ88">
        <v>4.50150811</v>
      </c>
      <c r="AR88">
        <v>5.97703296</v>
      </c>
      <c r="AS88">
        <v>9.71352903</v>
      </c>
      <c r="AT88">
        <v>11.86483858</v>
      </c>
      <c r="CS88">
        <v>4.275</v>
      </c>
      <c r="CT88">
        <v>0.34452608</v>
      </c>
      <c r="CV88">
        <v>4.275</v>
      </c>
      <c r="CW88">
        <v>7.22040524</v>
      </c>
      <c r="CX88">
        <v>4.275</v>
      </c>
      <c r="CY88">
        <v>0.472062</v>
      </c>
      <c r="CZ88">
        <v>4.275</v>
      </c>
      <c r="DA88">
        <v>4.02750946</v>
      </c>
      <c r="DB88">
        <v>4.275</v>
      </c>
      <c r="DC88">
        <v>0.34129758</v>
      </c>
      <c r="DD88">
        <v>4.275</v>
      </c>
      <c r="DE88">
        <v>5.11053437</v>
      </c>
      <c r="DF88">
        <v>4.275</v>
      </c>
      <c r="DG88">
        <v>0.42839773</v>
      </c>
      <c r="DH88">
        <v>4.275</v>
      </c>
      <c r="DI88">
        <v>4.11243787</v>
      </c>
      <c r="DJ88">
        <v>4.275</v>
      </c>
      <c r="DK88">
        <v>0.38435374</v>
      </c>
      <c r="DL88">
        <v>4.275</v>
      </c>
      <c r="DM88">
        <v>4.06481934</v>
      </c>
    </row>
    <row r="89" spans="24:117">
      <c r="X89">
        <v>43.413</v>
      </c>
      <c r="Y89">
        <v>1.16127696622759</v>
      </c>
      <c r="Z89">
        <v>43.413</v>
      </c>
      <c r="AA89">
        <v>1.18567882362013</v>
      </c>
      <c r="AB89">
        <v>43.413</v>
      </c>
      <c r="AC89">
        <v>1.16495237330112</v>
      </c>
      <c r="AD89">
        <v>43.413</v>
      </c>
      <c r="AE89">
        <v>1.16032380621288</v>
      </c>
      <c r="AF89">
        <v>43.413</v>
      </c>
      <c r="AG89">
        <v>1.16033891584303</v>
      </c>
      <c r="AJ89">
        <v>425</v>
      </c>
      <c r="AK89">
        <v>6.5048312</v>
      </c>
      <c r="AL89">
        <v>9.87107325</v>
      </c>
      <c r="AM89">
        <v>6.2067146</v>
      </c>
      <c r="AN89">
        <v>8.51190681</v>
      </c>
      <c r="AO89">
        <v>10.80631731</v>
      </c>
      <c r="AP89">
        <v>13.12055837</v>
      </c>
      <c r="AQ89">
        <v>4.70595128</v>
      </c>
      <c r="AR89">
        <v>6.14734929</v>
      </c>
      <c r="AS89">
        <v>10.07490829</v>
      </c>
      <c r="AT89">
        <v>12.27999976</v>
      </c>
      <c r="CS89">
        <v>4.325</v>
      </c>
      <c r="CT89">
        <v>0.40392755</v>
      </c>
      <c r="CV89">
        <v>4.325</v>
      </c>
      <c r="CW89">
        <v>6.71445396</v>
      </c>
      <c r="CX89">
        <v>4.325</v>
      </c>
      <c r="CY89">
        <v>0.46121049</v>
      </c>
      <c r="CZ89">
        <v>4.325</v>
      </c>
      <c r="DA89">
        <v>3.93492716</v>
      </c>
      <c r="DB89">
        <v>4.325</v>
      </c>
      <c r="DC89">
        <v>0.38773489</v>
      </c>
      <c r="DD89">
        <v>4.325</v>
      </c>
      <c r="DE89">
        <v>4.30773463</v>
      </c>
      <c r="DF89">
        <v>4.325</v>
      </c>
      <c r="DG89">
        <v>0.44891108</v>
      </c>
      <c r="DH89">
        <v>4.325</v>
      </c>
      <c r="DI89">
        <v>3.35395674</v>
      </c>
      <c r="DJ89">
        <v>4.325</v>
      </c>
      <c r="DK89">
        <v>0.42631318</v>
      </c>
      <c r="DL89">
        <v>4.325</v>
      </c>
      <c r="DM89">
        <v>3.71028524</v>
      </c>
    </row>
    <row r="90" spans="24:117">
      <c r="X90">
        <v>43.912</v>
      </c>
      <c r="Y90">
        <v>1.16577744852168</v>
      </c>
      <c r="Z90">
        <v>43.912</v>
      </c>
      <c r="AA90">
        <v>1.19078786416742</v>
      </c>
      <c r="AB90">
        <v>43.912</v>
      </c>
      <c r="AC90">
        <v>1.18678363743004</v>
      </c>
      <c r="AD90">
        <v>43.912</v>
      </c>
      <c r="AE90">
        <v>1.16332153359547</v>
      </c>
      <c r="AF90">
        <v>43.912</v>
      </c>
      <c r="AG90">
        <v>1.15737765965929</v>
      </c>
      <c r="AJ90">
        <v>430</v>
      </c>
      <c r="AK90">
        <v>6.72550991</v>
      </c>
      <c r="AL90">
        <v>10.15981323</v>
      </c>
      <c r="AM90">
        <v>6.46758726</v>
      </c>
      <c r="AN90">
        <v>8.8110078</v>
      </c>
      <c r="AO90">
        <v>11.38474065</v>
      </c>
      <c r="AP90">
        <v>13.61301489</v>
      </c>
      <c r="AQ90">
        <v>4.87153394</v>
      </c>
      <c r="AR90">
        <v>6.32634757</v>
      </c>
      <c r="AS90">
        <v>10.3893498</v>
      </c>
      <c r="AT90">
        <v>12.62465382</v>
      </c>
      <c r="CS90">
        <v>4.375</v>
      </c>
      <c r="CT90">
        <v>0.48027646</v>
      </c>
      <c r="CV90">
        <v>4.375</v>
      </c>
      <c r="CW90">
        <v>6.47879787</v>
      </c>
      <c r="CX90">
        <v>4.375</v>
      </c>
      <c r="CY90">
        <v>0.49298472</v>
      </c>
      <c r="CZ90">
        <v>4.375</v>
      </c>
      <c r="DA90">
        <v>3.51207596</v>
      </c>
      <c r="DB90">
        <v>4.375</v>
      </c>
      <c r="DC90">
        <v>0.3081908</v>
      </c>
      <c r="DD90">
        <v>4.375</v>
      </c>
      <c r="DE90">
        <v>3.44441114</v>
      </c>
      <c r="DF90">
        <v>4.375</v>
      </c>
      <c r="DG90">
        <v>0.43658963</v>
      </c>
      <c r="DH90">
        <v>4.375</v>
      </c>
      <c r="DI90">
        <v>3.39814032</v>
      </c>
      <c r="DJ90">
        <v>4.375</v>
      </c>
      <c r="DK90">
        <v>0.42726189</v>
      </c>
      <c r="DL90">
        <v>4.375</v>
      </c>
      <c r="DM90">
        <v>3.33051531</v>
      </c>
    </row>
    <row r="91" spans="24:117">
      <c r="X91">
        <v>44.411</v>
      </c>
      <c r="Y91">
        <v>1.17324828964543</v>
      </c>
      <c r="Z91">
        <v>44.411</v>
      </c>
      <c r="AA91">
        <v>1.18751432706172</v>
      </c>
      <c r="AB91">
        <v>44.411</v>
      </c>
      <c r="AC91">
        <v>1.18467196392691</v>
      </c>
      <c r="AD91">
        <v>44.411</v>
      </c>
      <c r="AE91">
        <v>1.1658246050628</v>
      </c>
      <c r="AF91">
        <v>44.411</v>
      </c>
      <c r="AG91">
        <v>1.15106432401197</v>
      </c>
      <c r="AJ91">
        <v>435</v>
      </c>
      <c r="AK91">
        <v>6.80902628</v>
      </c>
      <c r="AL91">
        <v>10.3425804</v>
      </c>
      <c r="AM91">
        <v>6.63952147</v>
      </c>
      <c r="AN91">
        <v>8.97253213</v>
      </c>
      <c r="AO91">
        <v>11.90352802</v>
      </c>
      <c r="AP91">
        <v>14.07653957</v>
      </c>
      <c r="AQ91">
        <v>5.04495138</v>
      </c>
      <c r="AR91">
        <v>6.46832998</v>
      </c>
      <c r="AS91">
        <v>10.83607633</v>
      </c>
      <c r="AT91">
        <v>13.07768578</v>
      </c>
      <c r="CS91">
        <v>4.425</v>
      </c>
      <c r="CT91">
        <v>0.48877806</v>
      </c>
      <c r="CV91">
        <v>4.425</v>
      </c>
      <c r="CW91">
        <v>4.22214207</v>
      </c>
      <c r="CX91">
        <v>4.425</v>
      </c>
      <c r="CY91">
        <v>0.51977099</v>
      </c>
      <c r="CZ91">
        <v>4.425</v>
      </c>
      <c r="DA91">
        <v>2.93339301</v>
      </c>
      <c r="DB91">
        <v>4.425</v>
      </c>
      <c r="DC91">
        <v>0.34324507</v>
      </c>
      <c r="DD91">
        <v>4.425</v>
      </c>
      <c r="DE91">
        <v>2.83701932</v>
      </c>
      <c r="DF91">
        <v>4.425</v>
      </c>
      <c r="DG91">
        <v>0.5013618</v>
      </c>
      <c r="DH91">
        <v>4.425</v>
      </c>
      <c r="DI91">
        <v>2.70712063</v>
      </c>
      <c r="DJ91">
        <v>4.425</v>
      </c>
      <c r="DK91">
        <v>0.46965189</v>
      </c>
      <c r="DL91">
        <v>4.425</v>
      </c>
      <c r="DM91">
        <v>2.84434011</v>
      </c>
    </row>
    <row r="92" spans="24:117">
      <c r="X92">
        <v>44.91</v>
      </c>
      <c r="Y92">
        <v>1.16925963177254</v>
      </c>
      <c r="Z92">
        <v>44.91</v>
      </c>
      <c r="AA92">
        <v>1.19239997283239</v>
      </c>
      <c r="AB92">
        <v>44.91</v>
      </c>
      <c r="AC92">
        <v>1.17655629506717</v>
      </c>
      <c r="AD92">
        <v>44.91</v>
      </c>
      <c r="AE92">
        <v>1.16632649998084</v>
      </c>
      <c r="AF92">
        <v>44.91</v>
      </c>
      <c r="AG92">
        <v>1.16068345729666</v>
      </c>
      <c r="AJ92">
        <v>440</v>
      </c>
      <c r="AK92">
        <v>6.97089687</v>
      </c>
      <c r="AL92">
        <v>10.54196053</v>
      </c>
      <c r="AM92">
        <v>6.74224762</v>
      </c>
      <c r="AN92">
        <v>9.14827895</v>
      </c>
      <c r="AO92">
        <v>12.47392942</v>
      </c>
      <c r="AP92">
        <v>14.67721014</v>
      </c>
      <c r="AQ92">
        <v>5.2442496</v>
      </c>
      <c r="AR92">
        <v>6.69281191</v>
      </c>
      <c r="AS92">
        <v>11.2976783</v>
      </c>
      <c r="AT92">
        <v>13.55432702</v>
      </c>
      <c r="CS92">
        <v>4.475</v>
      </c>
      <c r="CT92">
        <v>0.49049354</v>
      </c>
      <c r="CV92">
        <v>4.475</v>
      </c>
      <c r="CW92">
        <v>3.41380357</v>
      </c>
      <c r="CX92">
        <v>4.475</v>
      </c>
      <c r="CY92">
        <v>0.56543794</v>
      </c>
      <c r="CZ92">
        <v>4.475</v>
      </c>
      <c r="DA92">
        <v>2.12459942</v>
      </c>
      <c r="DB92">
        <v>4.475</v>
      </c>
      <c r="DC92">
        <v>0.37183546</v>
      </c>
      <c r="DD92">
        <v>4.475</v>
      </c>
      <c r="DE92">
        <v>2.36753354</v>
      </c>
      <c r="DF92">
        <v>4.475</v>
      </c>
      <c r="DG92">
        <v>0.48819518</v>
      </c>
      <c r="DH92">
        <v>4.475</v>
      </c>
      <c r="DI92">
        <v>2.07793138</v>
      </c>
      <c r="DJ92">
        <v>4.475</v>
      </c>
      <c r="DK92">
        <v>0.46768823</v>
      </c>
      <c r="DL92">
        <v>4.475</v>
      </c>
      <c r="DM92">
        <v>2.13933476</v>
      </c>
    </row>
    <row r="93" spans="24:117">
      <c r="X93">
        <v>45.409</v>
      </c>
      <c r="Y93">
        <v>1.16235207209781</v>
      </c>
      <c r="Z93">
        <v>45.409</v>
      </c>
      <c r="AA93">
        <v>1.19255917069123</v>
      </c>
      <c r="AB93">
        <v>45.409</v>
      </c>
      <c r="AC93">
        <v>1.18107905637595</v>
      </c>
      <c r="AD93">
        <v>45.409</v>
      </c>
      <c r="AE93">
        <v>1.16323030557065</v>
      </c>
      <c r="AF93">
        <v>45.409</v>
      </c>
      <c r="AG93">
        <v>1.17061850640015</v>
      </c>
      <c r="AJ93">
        <v>445</v>
      </c>
      <c r="AK93">
        <v>7.20691655</v>
      </c>
      <c r="AL93">
        <v>10.95548886</v>
      </c>
      <c r="AM93">
        <v>7.00420695</v>
      </c>
      <c r="AN93">
        <v>9.43695827</v>
      </c>
      <c r="AO93">
        <v>13.13609505</v>
      </c>
      <c r="AP93">
        <v>15.24276174</v>
      </c>
      <c r="AQ93">
        <v>5.51786165</v>
      </c>
      <c r="AR93">
        <v>6.97270827</v>
      </c>
      <c r="AS93">
        <v>11.77420595</v>
      </c>
      <c r="AT93">
        <v>14.05544075</v>
      </c>
      <c r="CS93">
        <v>4.525</v>
      </c>
      <c r="CT93">
        <v>0.54736586</v>
      </c>
      <c r="CV93">
        <v>4.525</v>
      </c>
      <c r="CW93">
        <v>3.49406997</v>
      </c>
      <c r="CX93">
        <v>4.525</v>
      </c>
      <c r="CY93">
        <v>0.50692697</v>
      </c>
      <c r="CZ93">
        <v>4.525</v>
      </c>
      <c r="DA93">
        <v>1.91167428</v>
      </c>
      <c r="DB93">
        <v>4.525</v>
      </c>
      <c r="DC93">
        <v>0.36366359</v>
      </c>
      <c r="DD93">
        <v>4.525</v>
      </c>
      <c r="DE93">
        <v>1.91799089</v>
      </c>
      <c r="DF93">
        <v>4.525</v>
      </c>
      <c r="DG93">
        <v>0.57256303</v>
      </c>
      <c r="DH93">
        <v>4.525</v>
      </c>
      <c r="DI93">
        <v>1.89469575</v>
      </c>
      <c r="DJ93">
        <v>4.525</v>
      </c>
      <c r="DK93">
        <v>0.44580882</v>
      </c>
      <c r="DL93">
        <v>4.525</v>
      </c>
      <c r="DM93">
        <v>1.62782366</v>
      </c>
    </row>
    <row r="94" spans="24:117">
      <c r="X94">
        <v>45.908</v>
      </c>
      <c r="Y94">
        <v>1.15865161587942</v>
      </c>
      <c r="Z94">
        <v>45.908</v>
      </c>
      <c r="AA94">
        <v>1.18665262154939</v>
      </c>
      <c r="AB94">
        <v>45.908</v>
      </c>
      <c r="AC94">
        <v>1.17948968890952</v>
      </c>
      <c r="AD94">
        <v>45.908</v>
      </c>
      <c r="AE94">
        <v>1.16600951316674</v>
      </c>
      <c r="AF94">
        <v>45.908</v>
      </c>
      <c r="AG94">
        <v>1.16915860800366</v>
      </c>
      <c r="AJ94">
        <v>450</v>
      </c>
      <c r="AK94">
        <v>7.51214175</v>
      </c>
      <c r="AL94">
        <v>11.29205827</v>
      </c>
      <c r="AM94">
        <v>7.21613079</v>
      </c>
      <c r="AN94">
        <v>9.70652111</v>
      </c>
      <c r="AO94">
        <v>13.72648285</v>
      </c>
      <c r="AP94">
        <v>15.7171702</v>
      </c>
      <c r="AQ94">
        <v>5.70987451</v>
      </c>
      <c r="AR94">
        <v>7.19990711</v>
      </c>
      <c r="AS94">
        <v>12.35111908</v>
      </c>
      <c r="AT94">
        <v>14.56249712</v>
      </c>
      <c r="CS94">
        <v>4.575</v>
      </c>
      <c r="CT94">
        <v>0.58961543</v>
      </c>
      <c r="CV94">
        <v>4.575</v>
      </c>
      <c r="CW94">
        <v>1.82299464</v>
      </c>
      <c r="CX94">
        <v>4.575</v>
      </c>
      <c r="CY94">
        <v>0.50556779</v>
      </c>
      <c r="CZ94">
        <v>4.575</v>
      </c>
      <c r="DA94">
        <v>1.46357045</v>
      </c>
      <c r="DB94">
        <v>4.575</v>
      </c>
      <c r="DC94">
        <v>0.40196053</v>
      </c>
      <c r="DD94">
        <v>4.575</v>
      </c>
      <c r="DE94">
        <v>1.4388185</v>
      </c>
      <c r="DF94">
        <v>4.575</v>
      </c>
      <c r="DG94">
        <v>0.54267342</v>
      </c>
      <c r="DH94">
        <v>4.575</v>
      </c>
      <c r="DI94">
        <v>1.66387548</v>
      </c>
      <c r="DJ94">
        <v>4.575</v>
      </c>
      <c r="DK94">
        <v>0.48961913</v>
      </c>
      <c r="DL94">
        <v>4.575</v>
      </c>
      <c r="DM94">
        <v>1.26085033</v>
      </c>
    </row>
    <row r="95" spans="24:117">
      <c r="X95">
        <v>46.407</v>
      </c>
      <c r="Y95">
        <v>1.17487464007636</v>
      </c>
      <c r="Z95">
        <v>46.407</v>
      </c>
      <c r="AA95">
        <v>1.19315082207307</v>
      </c>
      <c r="AB95">
        <v>46.407</v>
      </c>
      <c r="AC95">
        <v>1.18629315414455</v>
      </c>
      <c r="AD95">
        <v>46.407</v>
      </c>
      <c r="AE95">
        <v>1.15708194255296</v>
      </c>
      <c r="AF95">
        <v>46.407</v>
      </c>
      <c r="AG95">
        <v>1.17359660305994</v>
      </c>
      <c r="AJ95">
        <v>455</v>
      </c>
      <c r="AK95">
        <v>7.61890711</v>
      </c>
      <c r="AL95">
        <v>11.57435747</v>
      </c>
      <c r="AM95">
        <v>7.60379377</v>
      </c>
      <c r="AN95">
        <v>10.16003287</v>
      </c>
      <c r="AO95">
        <v>14.46209754</v>
      </c>
      <c r="AP95">
        <v>16.23710454</v>
      </c>
      <c r="AQ95">
        <v>5.98478499</v>
      </c>
      <c r="AR95">
        <v>7.51305797</v>
      </c>
      <c r="AS95">
        <v>12.88277003</v>
      </c>
      <c r="AT95">
        <v>15.09475953</v>
      </c>
      <c r="CS95">
        <v>4.625</v>
      </c>
      <c r="CT95">
        <v>0.57104892</v>
      </c>
      <c r="CV95">
        <v>4.625</v>
      </c>
      <c r="CW95">
        <v>2.08109064</v>
      </c>
      <c r="CX95">
        <v>4.625</v>
      </c>
      <c r="CY95">
        <v>0.55771436</v>
      </c>
      <c r="CZ95">
        <v>4.625</v>
      </c>
      <c r="DA95">
        <v>1.27297515</v>
      </c>
      <c r="DB95">
        <v>4.625</v>
      </c>
      <c r="DC95">
        <v>0.51311988</v>
      </c>
      <c r="DD95">
        <v>4.625</v>
      </c>
      <c r="DE95">
        <v>1.45544079</v>
      </c>
      <c r="DF95">
        <v>4.625</v>
      </c>
      <c r="DG95">
        <v>0.56134654</v>
      </c>
      <c r="DH95">
        <v>4.625</v>
      </c>
      <c r="DI95">
        <v>1.44253971</v>
      </c>
      <c r="DJ95">
        <v>4.625</v>
      </c>
      <c r="DK95">
        <v>0.50605875</v>
      </c>
      <c r="DL95">
        <v>4.625</v>
      </c>
      <c r="DM95">
        <v>1.17365177</v>
      </c>
    </row>
    <row r="96" spans="24:117">
      <c r="X96">
        <v>46.906</v>
      </c>
      <c r="Y96">
        <v>1.16770993527025</v>
      </c>
      <c r="Z96">
        <v>46.906</v>
      </c>
      <c r="AA96">
        <v>1.19765214116345</v>
      </c>
      <c r="AB96">
        <v>46.906</v>
      </c>
      <c r="AC96">
        <v>1.1772556174443</v>
      </c>
      <c r="AD96">
        <v>46.906</v>
      </c>
      <c r="AE96">
        <v>1.15997666761591</v>
      </c>
      <c r="AF96">
        <v>46.906</v>
      </c>
      <c r="AG96">
        <v>1.15680019717409</v>
      </c>
      <c r="AJ96">
        <v>460</v>
      </c>
      <c r="AK96">
        <v>8.14275412</v>
      </c>
      <c r="AL96">
        <v>11.97314773</v>
      </c>
      <c r="AM96">
        <v>8.1169848</v>
      </c>
      <c r="AN96">
        <v>10.68090511</v>
      </c>
      <c r="AO96">
        <v>14.93260034</v>
      </c>
      <c r="AP96">
        <v>16.60468989</v>
      </c>
      <c r="AQ96">
        <v>6.17282793</v>
      </c>
      <c r="AR96">
        <v>7.769959</v>
      </c>
      <c r="AS96">
        <v>13.66900112</v>
      </c>
      <c r="AT96">
        <v>15.84926208</v>
      </c>
      <c r="CS96">
        <v>4.675</v>
      </c>
      <c r="CT96">
        <v>0.50128091</v>
      </c>
      <c r="CV96">
        <v>4.675</v>
      </c>
      <c r="CW96">
        <v>2.40053056</v>
      </c>
      <c r="CX96">
        <v>4.675</v>
      </c>
      <c r="CY96">
        <v>0.57051967</v>
      </c>
      <c r="CZ96">
        <v>4.675</v>
      </c>
      <c r="DA96">
        <v>1.03175398</v>
      </c>
      <c r="DB96">
        <v>4.675</v>
      </c>
      <c r="DC96">
        <v>0.40928426</v>
      </c>
      <c r="DD96">
        <v>4.675</v>
      </c>
      <c r="DE96">
        <v>1.37792367</v>
      </c>
      <c r="DF96">
        <v>4.675</v>
      </c>
      <c r="DG96">
        <v>0.66633729</v>
      </c>
      <c r="DH96">
        <v>4.675</v>
      </c>
      <c r="DI96">
        <v>1.30639927</v>
      </c>
      <c r="DJ96">
        <v>4.675</v>
      </c>
      <c r="DK96">
        <v>0.49839723</v>
      </c>
      <c r="DL96">
        <v>4.675</v>
      </c>
      <c r="DM96">
        <v>0.98794442</v>
      </c>
    </row>
    <row r="97" spans="24:117">
      <c r="X97">
        <v>47.405</v>
      </c>
      <c r="Y97">
        <v>1.16829018471714</v>
      </c>
      <c r="Z97">
        <v>47.405</v>
      </c>
      <c r="AA97">
        <v>1.19043304357211</v>
      </c>
      <c r="AB97">
        <v>47.405</v>
      </c>
      <c r="AC97">
        <v>1.17854785027617</v>
      </c>
      <c r="AD97">
        <v>47.405</v>
      </c>
      <c r="AE97">
        <v>1.15464953275603</v>
      </c>
      <c r="AF97">
        <v>47.405</v>
      </c>
      <c r="AG97">
        <v>1.16390424057879</v>
      </c>
      <c r="AJ97">
        <v>465</v>
      </c>
      <c r="AK97">
        <v>8.28748269</v>
      </c>
      <c r="AL97">
        <v>12.2272278</v>
      </c>
      <c r="AM97">
        <v>8.64570516</v>
      </c>
      <c r="AN97">
        <v>11.42472448</v>
      </c>
      <c r="AO97">
        <v>15.49040805</v>
      </c>
      <c r="AP97">
        <v>17.04135567</v>
      </c>
      <c r="AQ97">
        <v>6.57629075</v>
      </c>
      <c r="AR97">
        <v>8.28224655</v>
      </c>
      <c r="AS97">
        <v>14.26359735</v>
      </c>
      <c r="AT97">
        <v>16.43755219</v>
      </c>
      <c r="CS97">
        <v>4.725</v>
      </c>
      <c r="CT97">
        <v>0.54149299</v>
      </c>
      <c r="CV97">
        <v>4.725</v>
      </c>
      <c r="CW97">
        <v>1.85151118</v>
      </c>
      <c r="CX97">
        <v>4.725</v>
      </c>
      <c r="CY97">
        <v>0.60379371</v>
      </c>
      <c r="CZ97">
        <v>4.725</v>
      </c>
      <c r="DA97">
        <v>1.10531985</v>
      </c>
      <c r="DB97">
        <v>4.725</v>
      </c>
      <c r="DC97">
        <v>0.4223258</v>
      </c>
      <c r="DD97">
        <v>4.725</v>
      </c>
      <c r="DE97">
        <v>1.29423006</v>
      </c>
      <c r="DF97">
        <v>4.725</v>
      </c>
      <c r="DG97">
        <v>0.64140755</v>
      </c>
      <c r="DH97">
        <v>4.725</v>
      </c>
      <c r="DI97">
        <v>1.16419786</v>
      </c>
      <c r="DJ97">
        <v>4.725</v>
      </c>
      <c r="DK97">
        <v>0.53350365</v>
      </c>
      <c r="DL97">
        <v>4.725</v>
      </c>
      <c r="DM97">
        <v>1.03622825</v>
      </c>
    </row>
    <row r="98" spans="24:117">
      <c r="X98">
        <v>47.904</v>
      </c>
      <c r="Y98">
        <v>1.16220999419816</v>
      </c>
      <c r="Z98">
        <v>47.904</v>
      </c>
      <c r="AA98">
        <v>1.20779088298758</v>
      </c>
      <c r="AB98">
        <v>47.904</v>
      </c>
      <c r="AC98">
        <v>1.17920348097935</v>
      </c>
      <c r="AD98">
        <v>47.904</v>
      </c>
      <c r="AE98">
        <v>1.16282636362717</v>
      </c>
      <c r="AF98">
        <v>47.904</v>
      </c>
      <c r="AG98">
        <v>1.1648385665257</v>
      </c>
      <c r="AJ98">
        <v>470</v>
      </c>
      <c r="AK98">
        <v>8.65046936</v>
      </c>
      <c r="AL98">
        <v>12.53126537</v>
      </c>
      <c r="AM98">
        <v>9.36384199</v>
      </c>
      <c r="AN98">
        <v>12.03580084</v>
      </c>
      <c r="AO98">
        <v>16.34438355</v>
      </c>
      <c r="AP98">
        <v>17.67934519</v>
      </c>
      <c r="AQ98">
        <v>7.054427</v>
      </c>
      <c r="AR98">
        <v>8.7602937</v>
      </c>
      <c r="AS98">
        <v>14.67901909</v>
      </c>
      <c r="AT98">
        <v>16.81281975</v>
      </c>
      <c r="CS98">
        <v>4.775</v>
      </c>
      <c r="CT98">
        <v>0.61858101</v>
      </c>
      <c r="CV98">
        <v>4.775</v>
      </c>
      <c r="CW98">
        <v>1.95239632</v>
      </c>
      <c r="CX98">
        <v>4.775</v>
      </c>
      <c r="CY98">
        <v>0.58530298</v>
      </c>
      <c r="CZ98">
        <v>4.775</v>
      </c>
      <c r="DA98">
        <v>1.19425456</v>
      </c>
      <c r="DB98">
        <v>4.775</v>
      </c>
      <c r="DC98">
        <v>0.4495788</v>
      </c>
      <c r="DD98">
        <v>4.775</v>
      </c>
      <c r="DE98">
        <v>1.41005867</v>
      </c>
      <c r="DF98">
        <v>4.775</v>
      </c>
      <c r="DG98">
        <v>0.68497868</v>
      </c>
      <c r="DH98">
        <v>4.775</v>
      </c>
      <c r="DI98">
        <v>1.32525582</v>
      </c>
      <c r="DJ98">
        <v>4.775</v>
      </c>
      <c r="DK98">
        <v>0.58340924</v>
      </c>
      <c r="DL98">
        <v>4.775</v>
      </c>
      <c r="DM98">
        <v>1.06725196</v>
      </c>
    </row>
    <row r="99" spans="24:117">
      <c r="X99">
        <v>48.403</v>
      </c>
      <c r="Y99">
        <v>1.16674608014472</v>
      </c>
      <c r="Z99">
        <v>48.403</v>
      </c>
      <c r="AA99">
        <v>1.20874736785613</v>
      </c>
      <c r="AB99">
        <v>48.403</v>
      </c>
      <c r="AC99">
        <v>1.16799501938043</v>
      </c>
      <c r="AD99">
        <v>48.403</v>
      </c>
      <c r="AE99">
        <v>1.16218179210722</v>
      </c>
      <c r="AF99">
        <v>48.403</v>
      </c>
      <c r="AG99">
        <v>1.16602994049758</v>
      </c>
      <c r="AJ99">
        <v>475</v>
      </c>
      <c r="AK99">
        <v>9.02967296</v>
      </c>
      <c r="AL99">
        <v>12.70308715</v>
      </c>
      <c r="AM99">
        <v>9.84992782</v>
      </c>
      <c r="AN99">
        <v>12.7672211</v>
      </c>
      <c r="AO99">
        <v>17.32208686</v>
      </c>
      <c r="AP99">
        <v>18.55708529</v>
      </c>
      <c r="AQ99">
        <v>7.46483264</v>
      </c>
      <c r="AR99">
        <v>9.33224626</v>
      </c>
      <c r="AS99">
        <v>15.40512889</v>
      </c>
      <c r="AT99">
        <v>17.50569328</v>
      </c>
      <c r="CS99">
        <v>4.825</v>
      </c>
      <c r="CT99">
        <v>0.67614645</v>
      </c>
      <c r="CV99">
        <v>4.825</v>
      </c>
      <c r="CW99">
        <v>1.638979</v>
      </c>
      <c r="CX99">
        <v>4.825</v>
      </c>
      <c r="CY99">
        <v>0.58481582</v>
      </c>
      <c r="CZ99">
        <v>4.825</v>
      </c>
      <c r="DA99">
        <v>1.11480516</v>
      </c>
      <c r="DB99">
        <v>4.825</v>
      </c>
      <c r="DC99">
        <v>0.49846355</v>
      </c>
      <c r="DD99">
        <v>4.825</v>
      </c>
      <c r="DE99">
        <v>1.38972676</v>
      </c>
      <c r="DF99">
        <v>4.825</v>
      </c>
      <c r="DG99">
        <v>0.66388598</v>
      </c>
      <c r="DH99">
        <v>4.825</v>
      </c>
      <c r="DI99">
        <v>1.15493944</v>
      </c>
      <c r="DJ99">
        <v>4.825</v>
      </c>
      <c r="DK99">
        <v>0.58158384</v>
      </c>
      <c r="DL99">
        <v>4.825</v>
      </c>
      <c r="DM99">
        <v>1.07101069</v>
      </c>
    </row>
    <row r="100" spans="24:117">
      <c r="X100">
        <v>48.902</v>
      </c>
      <c r="Y100">
        <v>1.17303637823504</v>
      </c>
      <c r="Z100">
        <v>48.902</v>
      </c>
      <c r="AA100">
        <v>1.20450161943019</v>
      </c>
      <c r="AB100">
        <v>48.902</v>
      </c>
      <c r="AC100">
        <v>1.17822573632716</v>
      </c>
      <c r="AD100">
        <v>48.902</v>
      </c>
      <c r="AE100">
        <v>1.16776777487238</v>
      </c>
      <c r="AF100">
        <v>48.902</v>
      </c>
      <c r="AG100">
        <v>1.17727995870363</v>
      </c>
      <c r="AJ100">
        <v>480</v>
      </c>
      <c r="AK100">
        <v>9.78859171</v>
      </c>
      <c r="AL100">
        <v>13.15434056</v>
      </c>
      <c r="AM100">
        <v>10.43131981</v>
      </c>
      <c r="AN100">
        <v>13.41999452</v>
      </c>
      <c r="AO100">
        <v>17.89398476</v>
      </c>
      <c r="AP100">
        <v>19.01301852</v>
      </c>
      <c r="AQ100">
        <v>7.70538297</v>
      </c>
      <c r="AR100">
        <v>9.71215391</v>
      </c>
      <c r="AS100">
        <v>16.06152554</v>
      </c>
      <c r="AT100">
        <v>18.1281808</v>
      </c>
      <c r="CS100">
        <v>4.875</v>
      </c>
      <c r="CT100">
        <v>0.64645168</v>
      </c>
      <c r="CV100">
        <v>4.875</v>
      </c>
      <c r="CW100">
        <v>2.20760598</v>
      </c>
      <c r="CX100">
        <v>4.875</v>
      </c>
      <c r="CY100">
        <v>0.64661841</v>
      </c>
      <c r="CZ100">
        <v>4.875</v>
      </c>
      <c r="DA100">
        <v>1.02044468</v>
      </c>
      <c r="DB100">
        <v>4.875</v>
      </c>
      <c r="DC100">
        <v>0.59612215</v>
      </c>
      <c r="DD100">
        <v>4.875</v>
      </c>
      <c r="DE100">
        <v>1.66103774</v>
      </c>
      <c r="DF100">
        <v>4.875</v>
      </c>
      <c r="DG100">
        <v>0.65716545</v>
      </c>
      <c r="DH100">
        <v>4.875</v>
      </c>
      <c r="DI100">
        <v>1.09365773</v>
      </c>
      <c r="DJ100">
        <v>4.875</v>
      </c>
      <c r="DK100">
        <v>0.6639538</v>
      </c>
      <c r="DL100">
        <v>4.875</v>
      </c>
      <c r="DM100">
        <v>0.95541525</v>
      </c>
    </row>
    <row r="101" spans="24:117">
      <c r="X101">
        <v>49.401</v>
      </c>
      <c r="Y101">
        <v>1.16530900445649</v>
      </c>
      <c r="Z101">
        <v>49.401</v>
      </c>
      <c r="AA101">
        <v>1.19179929815013</v>
      </c>
      <c r="AB101">
        <v>49.401</v>
      </c>
      <c r="AC101">
        <v>1.17097769605906</v>
      </c>
      <c r="AD101">
        <v>49.401</v>
      </c>
      <c r="AE101">
        <v>1.1632539550204</v>
      </c>
      <c r="AF101">
        <v>49.401</v>
      </c>
      <c r="AG101">
        <v>1.17771912125713</v>
      </c>
      <c r="AJ101">
        <v>485</v>
      </c>
      <c r="AK101">
        <v>10.3618214</v>
      </c>
      <c r="AL101">
        <v>13.9789148</v>
      </c>
      <c r="AM101">
        <v>11.05453353</v>
      </c>
      <c r="AN101">
        <v>14.12512466</v>
      </c>
      <c r="AO101">
        <v>19.04834025</v>
      </c>
      <c r="AP101">
        <v>19.7846449</v>
      </c>
      <c r="AQ101">
        <v>8.5120319</v>
      </c>
      <c r="AR101">
        <v>10.68474685</v>
      </c>
      <c r="AS101">
        <v>17.31361377</v>
      </c>
      <c r="AT101">
        <v>19.27347608</v>
      </c>
      <c r="CS101">
        <v>4.925</v>
      </c>
      <c r="CT101">
        <v>0.79952823</v>
      </c>
      <c r="CV101">
        <v>4.925</v>
      </c>
      <c r="CW101">
        <v>1.70418923</v>
      </c>
      <c r="CX101">
        <v>4.925</v>
      </c>
      <c r="CY101">
        <v>0.56686577</v>
      </c>
      <c r="CZ101">
        <v>4.925</v>
      </c>
      <c r="DA101">
        <v>1.06999387</v>
      </c>
      <c r="DB101">
        <v>4.925</v>
      </c>
      <c r="DC101">
        <v>0.56015834</v>
      </c>
      <c r="DD101">
        <v>4.925</v>
      </c>
      <c r="DE101">
        <v>1.40097727</v>
      </c>
      <c r="DF101">
        <v>4.925</v>
      </c>
      <c r="DG101">
        <v>0.66897646</v>
      </c>
      <c r="DH101">
        <v>4.925</v>
      </c>
      <c r="DI101">
        <v>1.21408774</v>
      </c>
      <c r="DJ101">
        <v>4.925</v>
      </c>
      <c r="DK101">
        <v>0.65753612</v>
      </c>
      <c r="DL101">
        <v>4.925</v>
      </c>
      <c r="DM101">
        <v>1.04915484</v>
      </c>
    </row>
    <row r="102" spans="24:117">
      <c r="X102">
        <v>49.9</v>
      </c>
      <c r="Y102">
        <v>1.16031388957202</v>
      </c>
      <c r="Z102">
        <v>49.9</v>
      </c>
      <c r="AA102">
        <v>1.18710706803438</v>
      </c>
      <c r="AB102">
        <v>49.9</v>
      </c>
      <c r="AC102">
        <v>1.17648720586532</v>
      </c>
      <c r="AD102">
        <v>49.9</v>
      </c>
      <c r="AE102">
        <v>1.1715163333367</v>
      </c>
      <c r="AF102">
        <v>49.9</v>
      </c>
      <c r="AG102">
        <v>1.18434423901179</v>
      </c>
      <c r="AJ102">
        <v>490</v>
      </c>
      <c r="AK102">
        <v>11.47418875</v>
      </c>
      <c r="AL102">
        <v>15.28121608</v>
      </c>
      <c r="AM102">
        <v>12.21755054</v>
      </c>
      <c r="AN102">
        <v>15.44837895</v>
      </c>
      <c r="AO102">
        <v>20.68017823</v>
      </c>
      <c r="AP102">
        <v>21.03151419</v>
      </c>
      <c r="AQ102">
        <v>9.45824865</v>
      </c>
      <c r="AR102">
        <v>11.83262297</v>
      </c>
      <c r="AS102">
        <v>18.76053046</v>
      </c>
      <c r="AT102">
        <v>20.64939842</v>
      </c>
      <c r="CS102">
        <v>4.975</v>
      </c>
      <c r="CT102">
        <v>0.75301074</v>
      </c>
      <c r="CV102">
        <v>4.975</v>
      </c>
      <c r="CW102">
        <v>1.86281121</v>
      </c>
      <c r="CX102">
        <v>4.975</v>
      </c>
      <c r="CY102">
        <v>0.50651158</v>
      </c>
      <c r="CZ102">
        <v>4.975</v>
      </c>
      <c r="DA102">
        <v>1.03140464</v>
      </c>
      <c r="DB102">
        <v>4.975</v>
      </c>
      <c r="DC102">
        <v>0.57044491</v>
      </c>
      <c r="DD102">
        <v>4.975</v>
      </c>
      <c r="DE102">
        <v>1.69358973</v>
      </c>
      <c r="DF102">
        <v>4.975</v>
      </c>
      <c r="DG102">
        <v>0.70148919</v>
      </c>
      <c r="DH102">
        <v>4.975</v>
      </c>
      <c r="DI102">
        <v>1.2674029</v>
      </c>
      <c r="DJ102">
        <v>4.975</v>
      </c>
      <c r="DK102">
        <v>0.68003272</v>
      </c>
      <c r="DL102">
        <v>4.975</v>
      </c>
      <c r="DM102">
        <v>1.02471059</v>
      </c>
    </row>
    <row r="103" spans="24:117">
      <c r="X103">
        <v>50.399</v>
      </c>
      <c r="Y103">
        <v>1.1681163516686</v>
      </c>
      <c r="Z103">
        <v>50.399</v>
      </c>
      <c r="AA103">
        <v>1.18917253552586</v>
      </c>
      <c r="AB103">
        <v>50.399</v>
      </c>
      <c r="AC103">
        <v>1.17957731397251</v>
      </c>
      <c r="AD103">
        <v>50.399</v>
      </c>
      <c r="AE103">
        <v>1.17180267527827</v>
      </c>
      <c r="AF103">
        <v>50.399</v>
      </c>
      <c r="AG103">
        <v>1.18237301649733</v>
      </c>
      <c r="AJ103">
        <v>495</v>
      </c>
      <c r="AK103">
        <v>12.44701069</v>
      </c>
      <c r="AL103">
        <v>16.75569341</v>
      </c>
      <c r="AM103">
        <v>14.80134451</v>
      </c>
      <c r="AN103">
        <v>17.6976482</v>
      </c>
      <c r="AO103">
        <v>22.3845278</v>
      </c>
      <c r="AP103">
        <v>22.55875071</v>
      </c>
      <c r="AQ103">
        <v>10.41116864</v>
      </c>
      <c r="AR103">
        <v>13.02401744</v>
      </c>
      <c r="AS103">
        <v>21.59039653</v>
      </c>
      <c r="AT103">
        <v>23.15503042</v>
      </c>
      <c r="CS103">
        <v>5.025</v>
      </c>
      <c r="CT103">
        <v>0.74807446</v>
      </c>
      <c r="CV103">
        <v>5.025</v>
      </c>
      <c r="CW103">
        <v>1.76296214</v>
      </c>
      <c r="CX103">
        <v>5.025</v>
      </c>
      <c r="CY103">
        <v>0.54719788</v>
      </c>
      <c r="CZ103">
        <v>5.025</v>
      </c>
      <c r="DA103">
        <v>1.09522991</v>
      </c>
      <c r="DB103">
        <v>5.025</v>
      </c>
      <c r="DC103">
        <v>0.62042599</v>
      </c>
      <c r="DD103">
        <v>5.025</v>
      </c>
      <c r="DE103">
        <v>1.63587886</v>
      </c>
      <c r="DF103">
        <v>5.025</v>
      </c>
      <c r="DG103">
        <v>0.68759878</v>
      </c>
      <c r="DH103">
        <v>5.025</v>
      </c>
      <c r="DI103">
        <v>1.42484966</v>
      </c>
      <c r="DJ103">
        <v>5.025</v>
      </c>
      <c r="DK103">
        <v>0.65715997</v>
      </c>
      <c r="DL103">
        <v>5.025</v>
      </c>
      <c r="DM103">
        <v>1.00781327</v>
      </c>
    </row>
    <row r="104" spans="24:117">
      <c r="X104">
        <v>50.898</v>
      </c>
      <c r="Y104">
        <v>1.16962476493844</v>
      </c>
      <c r="Z104">
        <v>50.898</v>
      </c>
      <c r="AA104">
        <v>1.19284737664205</v>
      </c>
      <c r="AB104">
        <v>50.898</v>
      </c>
      <c r="AC104">
        <v>1.17940094555363</v>
      </c>
      <c r="AD104">
        <v>50.898</v>
      </c>
      <c r="AE104">
        <v>1.17841820798002</v>
      </c>
      <c r="AF104">
        <v>50.898</v>
      </c>
      <c r="AG104">
        <v>1.18164987646912</v>
      </c>
      <c r="CS104">
        <v>5.075</v>
      </c>
      <c r="CT104">
        <v>0.64539799</v>
      </c>
      <c r="CV104">
        <v>5.075</v>
      </c>
      <c r="CW104">
        <v>1.85185218</v>
      </c>
      <c r="CX104">
        <v>5.075</v>
      </c>
      <c r="CY104">
        <v>0.55740423</v>
      </c>
      <c r="CZ104">
        <v>5.075</v>
      </c>
      <c r="DA104">
        <v>1.18939072</v>
      </c>
      <c r="DB104">
        <v>5.075</v>
      </c>
      <c r="DC104">
        <v>0.54443129</v>
      </c>
      <c r="DD104">
        <v>5.075</v>
      </c>
      <c r="DE104">
        <v>1.52479872</v>
      </c>
      <c r="DF104">
        <v>5.075</v>
      </c>
      <c r="DG104">
        <v>0.71349287</v>
      </c>
      <c r="DH104">
        <v>5.075</v>
      </c>
      <c r="DI104">
        <v>1.23286213</v>
      </c>
      <c r="DJ104">
        <v>5.075</v>
      </c>
      <c r="DK104">
        <v>0.64295736</v>
      </c>
      <c r="DL104">
        <v>5.075</v>
      </c>
      <c r="DM104">
        <v>1.00801353</v>
      </c>
    </row>
    <row r="105" spans="24:117">
      <c r="X105">
        <v>51.397</v>
      </c>
      <c r="Y105">
        <v>1.17337740355159</v>
      </c>
      <c r="Z105">
        <v>51.397</v>
      </c>
      <c r="AA105">
        <v>1.19209144305052</v>
      </c>
      <c r="AB105">
        <v>51.397</v>
      </c>
      <c r="AC105">
        <v>1.17950396143355</v>
      </c>
      <c r="AD105">
        <v>51.397</v>
      </c>
      <c r="AE105">
        <v>1.16208789533358</v>
      </c>
      <c r="AF105">
        <v>51.397</v>
      </c>
      <c r="AG105">
        <v>1.1863523585608</v>
      </c>
      <c r="CS105">
        <v>5.125</v>
      </c>
      <c r="CT105">
        <v>0.64724971</v>
      </c>
      <c r="CV105">
        <v>5.125</v>
      </c>
      <c r="CW105">
        <v>2.54225304</v>
      </c>
      <c r="CX105">
        <v>5.125</v>
      </c>
      <c r="CY105">
        <v>0.55684563</v>
      </c>
      <c r="CZ105">
        <v>5.125</v>
      </c>
      <c r="DA105">
        <v>1.06910511</v>
      </c>
      <c r="DB105">
        <v>5.125</v>
      </c>
      <c r="DC105">
        <v>0.53017835</v>
      </c>
      <c r="DD105">
        <v>5.125</v>
      </c>
      <c r="DE105">
        <v>1.6656283</v>
      </c>
      <c r="DF105">
        <v>5.125</v>
      </c>
      <c r="DG105">
        <v>0.69809462</v>
      </c>
      <c r="DH105">
        <v>5.125</v>
      </c>
      <c r="DI105">
        <v>1.37953807</v>
      </c>
      <c r="DJ105">
        <v>5.125</v>
      </c>
      <c r="DK105">
        <v>0.65243635</v>
      </c>
      <c r="DL105">
        <v>5.125</v>
      </c>
      <c r="DM105">
        <v>1.14828798</v>
      </c>
    </row>
    <row r="106" spans="24:117">
      <c r="X106">
        <v>51.896</v>
      </c>
      <c r="Y106">
        <v>1.16548207210392</v>
      </c>
      <c r="Z106">
        <v>51.896</v>
      </c>
      <c r="AA106">
        <v>1.1857934887187</v>
      </c>
      <c r="AB106">
        <v>51.896</v>
      </c>
      <c r="AC106">
        <v>1.17533247165741</v>
      </c>
      <c r="AD106">
        <v>51.896</v>
      </c>
      <c r="AE106">
        <v>1.1660762157072</v>
      </c>
      <c r="AF106">
        <v>51.896</v>
      </c>
      <c r="AG106">
        <v>1.18857635635531</v>
      </c>
      <c r="CS106">
        <v>5.175</v>
      </c>
      <c r="CT106">
        <v>0.67242095</v>
      </c>
      <c r="CV106">
        <v>5.175</v>
      </c>
      <c r="CW106">
        <v>2.37463341</v>
      </c>
      <c r="CX106">
        <v>5.175</v>
      </c>
      <c r="CY106">
        <v>0.58640559</v>
      </c>
      <c r="CZ106">
        <v>5.175</v>
      </c>
      <c r="DA106">
        <v>1.6363673</v>
      </c>
      <c r="DB106">
        <v>5.175</v>
      </c>
      <c r="DC106">
        <v>0.66261713</v>
      </c>
      <c r="DD106">
        <v>5.175</v>
      </c>
      <c r="DE106">
        <v>1.94512133</v>
      </c>
      <c r="DF106">
        <v>5.175</v>
      </c>
      <c r="DG106">
        <v>0.63922744</v>
      </c>
      <c r="DH106">
        <v>5.175</v>
      </c>
      <c r="DI106">
        <v>1.38169502</v>
      </c>
      <c r="DJ106">
        <v>5.175</v>
      </c>
      <c r="DK106">
        <v>0.66903339</v>
      </c>
      <c r="DL106">
        <v>5.175</v>
      </c>
      <c r="DM106">
        <v>1.06861612</v>
      </c>
    </row>
    <row r="107" spans="24:117">
      <c r="X107">
        <v>52.395</v>
      </c>
      <c r="Y107">
        <v>1.17096245398517</v>
      </c>
      <c r="Z107">
        <v>52.395</v>
      </c>
      <c r="AA107">
        <v>1.18982740613436</v>
      </c>
      <c r="AB107">
        <v>52.395</v>
      </c>
      <c r="AC107">
        <v>1.16826036826058</v>
      </c>
      <c r="AD107">
        <v>52.395</v>
      </c>
      <c r="AE107">
        <v>1.16101994510331</v>
      </c>
      <c r="AF107">
        <v>52.395</v>
      </c>
      <c r="AG107">
        <v>1.18808058574705</v>
      </c>
      <c r="CS107">
        <v>5.225</v>
      </c>
      <c r="CT107">
        <v>0.62732456</v>
      </c>
      <c r="CV107">
        <v>5.225</v>
      </c>
      <c r="CW107">
        <v>2.1546984</v>
      </c>
      <c r="CX107">
        <v>5.225</v>
      </c>
      <c r="CY107">
        <v>0.54561039</v>
      </c>
      <c r="CZ107">
        <v>5.225</v>
      </c>
      <c r="DA107">
        <v>1.34026354</v>
      </c>
      <c r="DB107">
        <v>5.225</v>
      </c>
      <c r="DC107">
        <v>0.59332082</v>
      </c>
      <c r="DD107">
        <v>5.225</v>
      </c>
      <c r="DE107">
        <v>2.17639522</v>
      </c>
      <c r="DF107">
        <v>5.225</v>
      </c>
      <c r="DG107">
        <v>0.65974196</v>
      </c>
      <c r="DH107">
        <v>5.225</v>
      </c>
      <c r="DI107">
        <v>1.26626994</v>
      </c>
      <c r="DJ107">
        <v>5.225</v>
      </c>
      <c r="DK107">
        <v>0.59787051</v>
      </c>
      <c r="DL107">
        <v>5.225</v>
      </c>
      <c r="DM107">
        <v>1.14869445</v>
      </c>
    </row>
    <row r="108" spans="24:117">
      <c r="X108">
        <v>52.894</v>
      </c>
      <c r="Y108">
        <v>1.16414381079339</v>
      </c>
      <c r="Z108">
        <v>52.894</v>
      </c>
      <c r="AA108">
        <v>1.19245542443226</v>
      </c>
      <c r="AB108">
        <v>52.894</v>
      </c>
      <c r="AC108">
        <v>1.16771813219262</v>
      </c>
      <c r="AD108">
        <v>52.894</v>
      </c>
      <c r="AE108">
        <v>1.16441206240356</v>
      </c>
      <c r="AF108">
        <v>52.894</v>
      </c>
      <c r="AG108">
        <v>1.17998274095708</v>
      </c>
      <c r="CS108">
        <v>5.275</v>
      </c>
      <c r="CT108">
        <v>0.59738599</v>
      </c>
      <c r="CV108">
        <v>5.275</v>
      </c>
      <c r="CW108">
        <v>1.59981779</v>
      </c>
      <c r="CX108">
        <v>5.275</v>
      </c>
      <c r="CY108">
        <v>0.55711637</v>
      </c>
      <c r="CZ108">
        <v>5.275</v>
      </c>
      <c r="DA108">
        <v>1.40671884</v>
      </c>
      <c r="DB108">
        <v>5.275</v>
      </c>
      <c r="DC108">
        <v>0.6047164</v>
      </c>
      <c r="DD108">
        <v>5.275</v>
      </c>
      <c r="DE108">
        <v>2.04026623</v>
      </c>
      <c r="DF108">
        <v>5.275</v>
      </c>
      <c r="DG108">
        <v>0.6458365</v>
      </c>
      <c r="DH108">
        <v>5.275</v>
      </c>
      <c r="DI108">
        <v>1.4494419</v>
      </c>
      <c r="DJ108">
        <v>5.275</v>
      </c>
      <c r="DK108">
        <v>0.66342018</v>
      </c>
      <c r="DL108">
        <v>5.275</v>
      </c>
      <c r="DM108">
        <v>1.2378762</v>
      </c>
    </row>
    <row r="109" spans="24:117">
      <c r="X109">
        <v>53.393</v>
      </c>
      <c r="Y109">
        <v>1.1650759319964</v>
      </c>
      <c r="Z109">
        <v>53.393</v>
      </c>
      <c r="AA109">
        <v>1.18790202600667</v>
      </c>
      <c r="AB109">
        <v>53.393</v>
      </c>
      <c r="AC109">
        <v>1.17054809586479</v>
      </c>
      <c r="AD109">
        <v>53.393</v>
      </c>
      <c r="AE109">
        <v>1.16413574594537</v>
      </c>
      <c r="AF109">
        <v>53.393</v>
      </c>
      <c r="AG109">
        <v>1.18687784933766</v>
      </c>
      <c r="CS109">
        <v>5.325</v>
      </c>
      <c r="CT109">
        <v>0.60398448</v>
      </c>
      <c r="CV109">
        <v>5.325</v>
      </c>
      <c r="CW109">
        <v>2.13059965</v>
      </c>
      <c r="CX109">
        <v>5.325</v>
      </c>
      <c r="CY109">
        <v>0.5538342</v>
      </c>
      <c r="CZ109">
        <v>5.325</v>
      </c>
      <c r="DA109">
        <v>1.72553225</v>
      </c>
      <c r="DB109">
        <v>5.325</v>
      </c>
      <c r="DC109">
        <v>0.65139082</v>
      </c>
      <c r="DD109">
        <v>5.325</v>
      </c>
      <c r="DE109">
        <v>2.18871009</v>
      </c>
      <c r="DF109">
        <v>5.325</v>
      </c>
      <c r="DG109">
        <v>0.65808571</v>
      </c>
      <c r="DH109">
        <v>5.325</v>
      </c>
      <c r="DI109">
        <v>1.56232766</v>
      </c>
      <c r="DJ109">
        <v>5.325</v>
      </c>
      <c r="DK109">
        <v>0.66298745</v>
      </c>
      <c r="DL109">
        <v>5.325</v>
      </c>
      <c r="DM109">
        <v>1.22380423</v>
      </c>
    </row>
    <row r="110" spans="24:117">
      <c r="X110">
        <v>53.892</v>
      </c>
      <c r="Y110">
        <v>1.17278239412565</v>
      </c>
      <c r="Z110">
        <v>53.892</v>
      </c>
      <c r="AA110">
        <v>1.20104934795571</v>
      </c>
      <c r="AB110">
        <v>53.892</v>
      </c>
      <c r="AC110">
        <v>1.17640971274257</v>
      </c>
      <c r="AD110">
        <v>53.892</v>
      </c>
      <c r="AE110">
        <v>1.17467249866175</v>
      </c>
      <c r="AF110">
        <v>53.892</v>
      </c>
      <c r="AG110">
        <v>1.18533827795784</v>
      </c>
      <c r="CS110">
        <v>5.375</v>
      </c>
      <c r="CT110">
        <v>0.52741756</v>
      </c>
      <c r="CV110">
        <v>5.375</v>
      </c>
      <c r="CW110">
        <v>2.53138634</v>
      </c>
      <c r="CX110">
        <v>5.375</v>
      </c>
      <c r="CY110">
        <v>0.60423511</v>
      </c>
      <c r="CZ110">
        <v>5.375</v>
      </c>
      <c r="DA110">
        <v>2.06174819</v>
      </c>
      <c r="DB110">
        <v>5.375</v>
      </c>
      <c r="DC110">
        <v>0.57573026</v>
      </c>
      <c r="DD110">
        <v>5.375</v>
      </c>
      <c r="DE110">
        <v>2.2115685</v>
      </c>
      <c r="DF110">
        <v>5.375</v>
      </c>
      <c r="DG110">
        <v>0.6515158</v>
      </c>
      <c r="DH110">
        <v>5.375</v>
      </c>
      <c r="DI110">
        <v>1.50680581</v>
      </c>
      <c r="DJ110">
        <v>5.375</v>
      </c>
      <c r="DK110">
        <v>0.63896459</v>
      </c>
      <c r="DL110">
        <v>5.375</v>
      </c>
      <c r="DM110">
        <v>1.29901265</v>
      </c>
    </row>
    <row r="111" spans="24:117">
      <c r="X111">
        <v>54.391</v>
      </c>
      <c r="Y111">
        <v>1.16259201432424</v>
      </c>
      <c r="Z111">
        <v>54.391</v>
      </c>
      <c r="AA111">
        <v>1.19849044705305</v>
      </c>
      <c r="AB111">
        <v>54.391</v>
      </c>
      <c r="AC111">
        <v>1.17859592539201</v>
      </c>
      <c r="AD111">
        <v>54.391</v>
      </c>
      <c r="AE111">
        <v>1.16860478309492</v>
      </c>
      <c r="AF111">
        <v>54.391</v>
      </c>
      <c r="AG111">
        <v>1.19117910327414</v>
      </c>
      <c r="CS111">
        <v>5.425</v>
      </c>
      <c r="CT111">
        <v>0.72740393</v>
      </c>
      <c r="CV111">
        <v>5.425</v>
      </c>
      <c r="CW111">
        <v>1.99875625</v>
      </c>
      <c r="CX111">
        <v>5.425</v>
      </c>
      <c r="CY111">
        <v>0.66414316</v>
      </c>
      <c r="CZ111">
        <v>5.425</v>
      </c>
      <c r="DA111">
        <v>1.9082665</v>
      </c>
      <c r="DB111">
        <v>5.425</v>
      </c>
      <c r="DC111">
        <v>0.60295401</v>
      </c>
      <c r="DD111">
        <v>5.425</v>
      </c>
      <c r="DE111">
        <v>2.3714959</v>
      </c>
      <c r="DF111">
        <v>5.425</v>
      </c>
      <c r="DG111">
        <v>0.69745309</v>
      </c>
      <c r="DH111">
        <v>5.425</v>
      </c>
      <c r="DI111">
        <v>1.62272419</v>
      </c>
      <c r="DJ111">
        <v>5.425</v>
      </c>
      <c r="DK111">
        <v>0.65837223</v>
      </c>
      <c r="DL111">
        <v>5.425</v>
      </c>
      <c r="DM111">
        <v>1.45859428</v>
      </c>
    </row>
    <row r="112" spans="24:117">
      <c r="X112">
        <v>54.89</v>
      </c>
      <c r="Y112">
        <v>1.16816866152159</v>
      </c>
      <c r="Z112">
        <v>54.89</v>
      </c>
      <c r="AA112">
        <v>1.1968878484515</v>
      </c>
      <c r="AB112">
        <v>54.89</v>
      </c>
      <c r="AC112">
        <v>1.17302949946336</v>
      </c>
      <c r="AD112">
        <v>54.89</v>
      </c>
      <c r="AE112">
        <v>1.17635394272027</v>
      </c>
      <c r="AF112">
        <v>54.89</v>
      </c>
      <c r="AG112">
        <v>1.18711977124709</v>
      </c>
      <c r="CS112">
        <v>5.475</v>
      </c>
      <c r="CT112">
        <v>0.63015774</v>
      </c>
      <c r="CV112">
        <v>5.475</v>
      </c>
      <c r="CW112">
        <v>2.28064589</v>
      </c>
      <c r="CX112">
        <v>5.475</v>
      </c>
      <c r="CY112">
        <v>0.64757114</v>
      </c>
      <c r="CZ112">
        <v>5.475</v>
      </c>
      <c r="DA112">
        <v>2.22841484</v>
      </c>
      <c r="DB112">
        <v>5.475</v>
      </c>
      <c r="DC112">
        <v>0.69200098</v>
      </c>
      <c r="DD112">
        <v>5.475</v>
      </c>
      <c r="DE112">
        <v>2.54560385</v>
      </c>
      <c r="DF112">
        <v>5.475</v>
      </c>
      <c r="DG112">
        <v>0.71319188</v>
      </c>
      <c r="DH112">
        <v>5.475</v>
      </c>
      <c r="DI112">
        <v>1.69573381</v>
      </c>
      <c r="DJ112">
        <v>5.475</v>
      </c>
      <c r="DK112">
        <v>0.68602401</v>
      </c>
      <c r="DL112">
        <v>5.475</v>
      </c>
      <c r="DM112">
        <v>1.37776489</v>
      </c>
    </row>
    <row r="113" spans="24:117">
      <c r="X113">
        <v>55.389</v>
      </c>
      <c r="Y113">
        <v>1.172638435281</v>
      </c>
      <c r="Z113">
        <v>55.389</v>
      </c>
      <c r="AA113">
        <v>1.20008238469895</v>
      </c>
      <c r="AB113">
        <v>55.389</v>
      </c>
      <c r="AC113">
        <v>1.17815181150818</v>
      </c>
      <c r="AD113">
        <v>55.389</v>
      </c>
      <c r="AE113">
        <v>1.17960982890144</v>
      </c>
      <c r="AF113">
        <v>55.389</v>
      </c>
      <c r="AG113">
        <v>1.20088476308746</v>
      </c>
      <c r="CS113">
        <v>5.525</v>
      </c>
      <c r="CT113">
        <v>0.63117994</v>
      </c>
      <c r="CV113">
        <v>5.525</v>
      </c>
      <c r="CW113">
        <v>2.6041329</v>
      </c>
      <c r="CX113">
        <v>5.525</v>
      </c>
      <c r="CY113">
        <v>0.69993546</v>
      </c>
      <c r="CZ113">
        <v>5.525</v>
      </c>
      <c r="DA113">
        <v>2.06282242</v>
      </c>
      <c r="DB113">
        <v>5.525</v>
      </c>
      <c r="DC113">
        <v>0.62567709</v>
      </c>
      <c r="DD113">
        <v>5.525</v>
      </c>
      <c r="DE113">
        <v>2.52640224</v>
      </c>
      <c r="DF113">
        <v>5.525</v>
      </c>
      <c r="DG113">
        <v>0.67907918</v>
      </c>
      <c r="DH113">
        <v>5.525</v>
      </c>
      <c r="DI113">
        <v>1.64840324</v>
      </c>
      <c r="DJ113">
        <v>5.525</v>
      </c>
      <c r="DK113">
        <v>0.73369298</v>
      </c>
      <c r="DL113">
        <v>5.525</v>
      </c>
      <c r="DM113">
        <v>1.55223311</v>
      </c>
    </row>
    <row r="114" spans="24:117">
      <c r="X114">
        <v>55.888</v>
      </c>
      <c r="Y114">
        <v>1.17211635383144</v>
      </c>
      <c r="Z114">
        <v>55.888</v>
      </c>
      <c r="AA114">
        <v>1.20287071826559</v>
      </c>
      <c r="AB114">
        <v>55.888</v>
      </c>
      <c r="AC114">
        <v>1.17456461118117</v>
      </c>
      <c r="AD114">
        <v>55.888</v>
      </c>
      <c r="AE114">
        <v>1.17108245638739</v>
      </c>
      <c r="AF114">
        <v>55.888</v>
      </c>
      <c r="AG114">
        <v>1.1938610150909</v>
      </c>
      <c r="CS114">
        <v>5.575</v>
      </c>
      <c r="CT114">
        <v>0.74956337</v>
      </c>
      <c r="CV114">
        <v>5.575</v>
      </c>
      <c r="CW114">
        <v>2.60878441</v>
      </c>
      <c r="CX114">
        <v>5.575</v>
      </c>
      <c r="CY114">
        <v>0.67876267</v>
      </c>
      <c r="CZ114">
        <v>5.575</v>
      </c>
      <c r="DA114">
        <v>2.28608025</v>
      </c>
      <c r="DB114">
        <v>5.575</v>
      </c>
      <c r="DC114">
        <v>0.65184157</v>
      </c>
      <c r="DD114">
        <v>5.575</v>
      </c>
      <c r="DE114">
        <v>2.38963201</v>
      </c>
      <c r="DF114">
        <v>5.575</v>
      </c>
      <c r="DG114">
        <v>0.67869982</v>
      </c>
      <c r="DH114">
        <v>5.575</v>
      </c>
      <c r="DI114">
        <v>1.74667313</v>
      </c>
      <c r="DJ114">
        <v>5.575</v>
      </c>
      <c r="DK114">
        <v>0.72059167</v>
      </c>
      <c r="DL114">
        <v>5.575</v>
      </c>
      <c r="DM114">
        <v>1.57138116</v>
      </c>
    </row>
    <row r="115" spans="24:117">
      <c r="X115">
        <v>56.387</v>
      </c>
      <c r="Y115">
        <v>1.17321344014198</v>
      </c>
      <c r="Z115">
        <v>56.387</v>
      </c>
      <c r="AA115">
        <v>1.191435077274</v>
      </c>
      <c r="AB115">
        <v>56.387</v>
      </c>
      <c r="AC115">
        <v>1.169232421014</v>
      </c>
      <c r="AD115">
        <v>56.387</v>
      </c>
      <c r="AE115">
        <v>1.17671315259459</v>
      </c>
      <c r="AF115">
        <v>56.387</v>
      </c>
      <c r="AG115">
        <v>1.19809707982177</v>
      </c>
      <c r="CS115">
        <v>5.625</v>
      </c>
      <c r="CT115">
        <v>0.69649727</v>
      </c>
      <c r="CV115">
        <v>5.625</v>
      </c>
      <c r="CW115">
        <v>2.66310706</v>
      </c>
      <c r="CX115">
        <v>5.625</v>
      </c>
      <c r="CY115">
        <v>0.75195709</v>
      </c>
      <c r="CZ115">
        <v>5.625</v>
      </c>
      <c r="DA115">
        <v>2.19183242</v>
      </c>
      <c r="DB115">
        <v>5.625</v>
      </c>
      <c r="DC115">
        <v>0.64183303</v>
      </c>
      <c r="DD115">
        <v>5.625</v>
      </c>
      <c r="DE115">
        <v>2.55313283</v>
      </c>
      <c r="DF115">
        <v>5.625</v>
      </c>
      <c r="DG115">
        <v>0.76284463</v>
      </c>
      <c r="DH115">
        <v>5.625</v>
      </c>
      <c r="DI115">
        <v>1.70766617</v>
      </c>
      <c r="DJ115">
        <v>5.625</v>
      </c>
      <c r="DK115">
        <v>0.67780867</v>
      </c>
      <c r="DL115">
        <v>5.625</v>
      </c>
      <c r="DM115">
        <v>1.68709475</v>
      </c>
    </row>
    <row r="116" spans="24:117">
      <c r="X116">
        <v>56.886</v>
      </c>
      <c r="Y116">
        <v>1.17511596447353</v>
      </c>
      <c r="Z116">
        <v>56.886</v>
      </c>
      <c r="AA116">
        <v>1.19920952454709</v>
      </c>
      <c r="AB116">
        <v>56.886</v>
      </c>
      <c r="AC116">
        <v>1.17807280429703</v>
      </c>
      <c r="AD116">
        <v>56.886</v>
      </c>
      <c r="AE116">
        <v>1.17369185160667</v>
      </c>
      <c r="AF116">
        <v>56.886</v>
      </c>
      <c r="AG116">
        <v>1.19300450662316</v>
      </c>
      <c r="CS116">
        <v>5.675</v>
      </c>
      <c r="CT116">
        <v>0.73120028</v>
      </c>
      <c r="CV116">
        <v>5.675</v>
      </c>
      <c r="CW116">
        <v>2.07336336</v>
      </c>
      <c r="CX116">
        <v>5.675</v>
      </c>
      <c r="CY116">
        <v>0.77852876</v>
      </c>
      <c r="CZ116">
        <v>5.675</v>
      </c>
      <c r="DA116">
        <v>2.65539524</v>
      </c>
      <c r="DB116">
        <v>5.675</v>
      </c>
      <c r="DC116">
        <v>0.61706081</v>
      </c>
      <c r="DD116">
        <v>5.675</v>
      </c>
      <c r="DE116">
        <v>2.57152461</v>
      </c>
      <c r="DF116">
        <v>5.675</v>
      </c>
      <c r="DG116">
        <v>0.78347093</v>
      </c>
      <c r="DH116">
        <v>5.675</v>
      </c>
      <c r="DI116">
        <v>1.70156156</v>
      </c>
      <c r="DJ116">
        <v>5.675</v>
      </c>
      <c r="DK116">
        <v>0.74388897</v>
      </c>
      <c r="DL116">
        <v>5.675</v>
      </c>
      <c r="DM116">
        <v>1.64419481</v>
      </c>
    </row>
    <row r="117" spans="24:117">
      <c r="X117">
        <v>57.385</v>
      </c>
      <c r="Y117">
        <v>1.16908501367565</v>
      </c>
      <c r="Z117">
        <v>57.385</v>
      </c>
      <c r="AA117">
        <v>1.19955045815268</v>
      </c>
      <c r="AB117">
        <v>57.385</v>
      </c>
      <c r="AC117">
        <v>1.18417252845641</v>
      </c>
      <c r="AD117">
        <v>57.385</v>
      </c>
      <c r="AE117">
        <v>1.1693535403636</v>
      </c>
      <c r="AF117">
        <v>57.385</v>
      </c>
      <c r="AG117">
        <v>1.19966003390804</v>
      </c>
      <c r="CS117">
        <v>5.725</v>
      </c>
      <c r="CT117">
        <v>0.89522347</v>
      </c>
      <c r="CV117">
        <v>5.725</v>
      </c>
      <c r="CW117">
        <v>2.52237858</v>
      </c>
      <c r="CX117">
        <v>5.725</v>
      </c>
      <c r="CY117">
        <v>0.79789225</v>
      </c>
      <c r="CZ117">
        <v>5.725</v>
      </c>
      <c r="DA117">
        <v>2.55729093</v>
      </c>
      <c r="DB117">
        <v>5.725</v>
      </c>
      <c r="DC117">
        <v>0.72287469</v>
      </c>
      <c r="DD117">
        <v>5.725</v>
      </c>
      <c r="DE117">
        <v>2.70684609</v>
      </c>
      <c r="DF117">
        <v>5.725</v>
      </c>
      <c r="DG117">
        <v>0.79955035</v>
      </c>
      <c r="DH117">
        <v>5.725</v>
      </c>
      <c r="DI117">
        <v>1.84776117</v>
      </c>
      <c r="DJ117">
        <v>5.725</v>
      </c>
      <c r="DK117">
        <v>0.77133047</v>
      </c>
      <c r="DL117">
        <v>5.725</v>
      </c>
      <c r="DM117">
        <v>1.80905467</v>
      </c>
    </row>
    <row r="118" spans="24:117">
      <c r="X118">
        <v>57.884</v>
      </c>
      <c r="Y118">
        <v>1.17689836135652</v>
      </c>
      <c r="Z118">
        <v>57.884</v>
      </c>
      <c r="AA118">
        <v>1.20108605006893</v>
      </c>
      <c r="AB118">
        <v>57.884</v>
      </c>
      <c r="AC118">
        <v>1.17994952710347</v>
      </c>
      <c r="AD118">
        <v>57.884</v>
      </c>
      <c r="AE118">
        <v>1.17239356867112</v>
      </c>
      <c r="AF118">
        <v>57.884</v>
      </c>
      <c r="AG118">
        <v>1.19894570989073</v>
      </c>
      <c r="CS118">
        <v>5.775</v>
      </c>
      <c r="CT118">
        <v>0.85335754</v>
      </c>
      <c r="CV118">
        <v>5.775</v>
      </c>
      <c r="CW118">
        <v>3.00327104</v>
      </c>
      <c r="CX118">
        <v>5.775</v>
      </c>
      <c r="CY118">
        <v>0.90741492</v>
      </c>
      <c r="CZ118">
        <v>5.775</v>
      </c>
      <c r="DA118">
        <v>2.81937756</v>
      </c>
      <c r="DB118">
        <v>5.775</v>
      </c>
      <c r="DC118">
        <v>0.7510066</v>
      </c>
      <c r="DD118">
        <v>5.775</v>
      </c>
      <c r="DE118">
        <v>2.78220399</v>
      </c>
      <c r="DF118">
        <v>5.775</v>
      </c>
      <c r="DG118">
        <v>0.78333263</v>
      </c>
      <c r="DH118">
        <v>5.775</v>
      </c>
      <c r="DI118">
        <v>1.82358225</v>
      </c>
      <c r="DJ118">
        <v>5.775</v>
      </c>
      <c r="DK118">
        <v>0.83332646</v>
      </c>
      <c r="DL118">
        <v>5.775</v>
      </c>
      <c r="DM118">
        <v>1.93458415</v>
      </c>
    </row>
    <row r="119" spans="24:117">
      <c r="X119">
        <v>58.383</v>
      </c>
      <c r="Y119">
        <v>1.18745025864497</v>
      </c>
      <c r="Z119">
        <v>58.383</v>
      </c>
      <c r="AA119">
        <v>1.20350929917299</v>
      </c>
      <c r="AB119">
        <v>58.383</v>
      </c>
      <c r="AC119">
        <v>1.17427489322421</v>
      </c>
      <c r="AD119">
        <v>58.383</v>
      </c>
      <c r="AE119">
        <v>1.16704751641866</v>
      </c>
      <c r="AF119">
        <v>58.383</v>
      </c>
      <c r="AG119">
        <v>1.1895609776944</v>
      </c>
      <c r="CS119">
        <v>5.825</v>
      </c>
      <c r="CT119">
        <v>0.99093694</v>
      </c>
      <c r="CV119">
        <v>5.825</v>
      </c>
      <c r="CW119">
        <v>2.62394163</v>
      </c>
      <c r="CX119">
        <v>5.825</v>
      </c>
      <c r="CY119">
        <v>0.88197182</v>
      </c>
      <c r="CZ119">
        <v>5.825</v>
      </c>
      <c r="DA119">
        <v>2.79626285</v>
      </c>
      <c r="DB119">
        <v>5.825</v>
      </c>
      <c r="DC119">
        <v>0.72961897</v>
      </c>
      <c r="DD119">
        <v>5.825</v>
      </c>
      <c r="DE119">
        <v>3.0225036</v>
      </c>
      <c r="DF119">
        <v>5.825</v>
      </c>
      <c r="DG119">
        <v>0.83450307</v>
      </c>
      <c r="DH119">
        <v>5.825</v>
      </c>
      <c r="DI119">
        <v>1.72071425</v>
      </c>
      <c r="DJ119">
        <v>5.825</v>
      </c>
      <c r="DK119">
        <v>0.78107811</v>
      </c>
      <c r="DL119">
        <v>5.825</v>
      </c>
      <c r="DM119">
        <v>1.81313131</v>
      </c>
    </row>
    <row r="120" spans="24:117">
      <c r="X120">
        <v>58.882</v>
      </c>
      <c r="Y120">
        <v>1.19179051841492</v>
      </c>
      <c r="Z120">
        <v>58.882</v>
      </c>
      <c r="AA120">
        <v>1.20594117317851</v>
      </c>
      <c r="AB120">
        <v>58.882</v>
      </c>
      <c r="AC120">
        <v>1.17653763719821</v>
      </c>
      <c r="AD120">
        <v>58.882</v>
      </c>
      <c r="AE120">
        <v>1.17676291376647</v>
      </c>
      <c r="AF120">
        <v>58.882</v>
      </c>
      <c r="AG120">
        <v>1.17660685527964</v>
      </c>
      <c r="CS120">
        <v>5.875</v>
      </c>
      <c r="CT120">
        <v>0.93400862</v>
      </c>
      <c r="CV120">
        <v>5.875</v>
      </c>
      <c r="CW120">
        <v>3.04008861</v>
      </c>
      <c r="CX120">
        <v>5.875</v>
      </c>
      <c r="CY120">
        <v>0.91974791</v>
      </c>
      <c r="CZ120">
        <v>5.875</v>
      </c>
      <c r="DA120">
        <v>2.63792878</v>
      </c>
      <c r="DB120">
        <v>5.875</v>
      </c>
      <c r="DC120">
        <v>0.72285639</v>
      </c>
      <c r="DD120">
        <v>5.875</v>
      </c>
      <c r="DE120">
        <v>2.82389124</v>
      </c>
      <c r="DF120">
        <v>5.875</v>
      </c>
      <c r="DG120">
        <v>0.795678</v>
      </c>
      <c r="DH120">
        <v>5.875</v>
      </c>
      <c r="DI120">
        <v>1.80654605</v>
      </c>
      <c r="DJ120">
        <v>5.875</v>
      </c>
      <c r="DK120">
        <v>0.87598627</v>
      </c>
      <c r="DL120">
        <v>5.875</v>
      </c>
      <c r="DM120">
        <v>1.9561727</v>
      </c>
    </row>
    <row r="121" spans="24:117">
      <c r="X121">
        <v>59.381</v>
      </c>
      <c r="Y121">
        <v>1.17932272304405</v>
      </c>
      <c r="Z121">
        <v>59.381</v>
      </c>
      <c r="AA121">
        <v>1.19024167563184</v>
      </c>
      <c r="AB121">
        <v>59.381</v>
      </c>
      <c r="AC121">
        <v>1.17847515041127</v>
      </c>
      <c r="AD121">
        <v>59.381</v>
      </c>
      <c r="AE121">
        <v>1.17669161226906</v>
      </c>
      <c r="AF121">
        <v>59.381</v>
      </c>
      <c r="AG121">
        <v>1.1836472453706</v>
      </c>
      <c r="CS121">
        <v>5.925</v>
      </c>
      <c r="CT121">
        <v>0.88961414</v>
      </c>
      <c r="CV121">
        <v>5.925</v>
      </c>
      <c r="CW121">
        <v>3.03428371</v>
      </c>
      <c r="CX121">
        <v>5.925</v>
      </c>
      <c r="CY121">
        <v>0.92732957</v>
      </c>
      <c r="CZ121">
        <v>5.925</v>
      </c>
      <c r="DA121">
        <v>2.54511648</v>
      </c>
      <c r="DB121">
        <v>5.925</v>
      </c>
      <c r="DC121">
        <v>0.81263104</v>
      </c>
      <c r="DD121">
        <v>5.925</v>
      </c>
      <c r="DE121">
        <v>2.89235819</v>
      </c>
      <c r="DF121">
        <v>5.925</v>
      </c>
      <c r="DG121">
        <v>0.84701623</v>
      </c>
      <c r="DH121">
        <v>5.925</v>
      </c>
      <c r="DI121">
        <v>1.71418231</v>
      </c>
      <c r="DJ121">
        <v>5.925</v>
      </c>
      <c r="DK121">
        <v>0.81583272</v>
      </c>
      <c r="DL121">
        <v>5.925</v>
      </c>
      <c r="DM121">
        <v>1.98187419</v>
      </c>
    </row>
    <row r="122" spans="24:117">
      <c r="X122">
        <v>59.88</v>
      </c>
      <c r="Y122">
        <v>1.17955581496789</v>
      </c>
      <c r="Z122">
        <v>59.88</v>
      </c>
      <c r="AA122">
        <v>1.19997113400536</v>
      </c>
      <c r="AB122">
        <v>59.88</v>
      </c>
      <c r="AC122">
        <v>1.18263509804809</v>
      </c>
      <c r="AD122">
        <v>59.88</v>
      </c>
      <c r="AE122">
        <v>1.17880738333388</v>
      </c>
      <c r="AF122">
        <v>59.88</v>
      </c>
      <c r="AG122">
        <v>1.17879599117491</v>
      </c>
      <c r="CS122">
        <v>5.975</v>
      </c>
      <c r="CT122">
        <v>0.9418076</v>
      </c>
      <c r="CV122">
        <v>5.975</v>
      </c>
      <c r="CW122">
        <v>3.20637868</v>
      </c>
      <c r="CX122">
        <v>5.975</v>
      </c>
      <c r="CY122">
        <v>0.90621062</v>
      </c>
      <c r="CZ122">
        <v>5.975</v>
      </c>
      <c r="DA122">
        <v>2.53845171</v>
      </c>
      <c r="DB122">
        <v>5.975</v>
      </c>
      <c r="DC122">
        <v>0.85597171</v>
      </c>
      <c r="DD122">
        <v>5.975</v>
      </c>
      <c r="DE122">
        <v>3.05504248</v>
      </c>
      <c r="DF122">
        <v>5.975</v>
      </c>
      <c r="DG122">
        <v>0.85108024</v>
      </c>
      <c r="DH122">
        <v>5.975</v>
      </c>
      <c r="DI122">
        <v>2.03708157</v>
      </c>
      <c r="DJ122">
        <v>5.975</v>
      </c>
      <c r="DK122">
        <v>0.86877197</v>
      </c>
      <c r="DL122">
        <v>5.975</v>
      </c>
      <c r="DM122">
        <v>2.07844664</v>
      </c>
    </row>
    <row r="123" spans="24:117">
      <c r="X123">
        <v>60.379</v>
      </c>
      <c r="Y123">
        <v>1.17567348570603</v>
      </c>
      <c r="Z123">
        <v>60.379</v>
      </c>
      <c r="AA123">
        <v>1.20711794447377</v>
      </c>
      <c r="AB123">
        <v>60.379</v>
      </c>
      <c r="AC123">
        <v>1.17524651959308</v>
      </c>
      <c r="AD123">
        <v>60.379</v>
      </c>
      <c r="AE123">
        <v>1.17705668878345</v>
      </c>
      <c r="AF123">
        <v>60.379</v>
      </c>
      <c r="AG123">
        <v>1.18821192849927</v>
      </c>
      <c r="CS123">
        <v>6.025</v>
      </c>
      <c r="CT123">
        <v>0.92970996</v>
      </c>
      <c r="CV123">
        <v>6.025</v>
      </c>
      <c r="CW123">
        <v>3.10958493</v>
      </c>
      <c r="CX123">
        <v>6.025</v>
      </c>
      <c r="CY123">
        <v>0.91536982</v>
      </c>
      <c r="CZ123">
        <v>6.025</v>
      </c>
      <c r="DA123">
        <v>2.66058365</v>
      </c>
      <c r="DB123">
        <v>6.025</v>
      </c>
      <c r="DC123">
        <v>0.81118775</v>
      </c>
      <c r="DD123">
        <v>6.025</v>
      </c>
      <c r="DE123">
        <v>2.99894157</v>
      </c>
      <c r="DF123">
        <v>6.025</v>
      </c>
      <c r="DG123">
        <v>0.78560777</v>
      </c>
      <c r="DH123">
        <v>6.025</v>
      </c>
      <c r="DI123">
        <v>2.12686123</v>
      </c>
      <c r="DJ123">
        <v>6.025</v>
      </c>
      <c r="DK123">
        <v>0.87310855</v>
      </c>
      <c r="DL123">
        <v>6.025</v>
      </c>
      <c r="DM123">
        <v>2.09130062</v>
      </c>
    </row>
    <row r="124" spans="24:117">
      <c r="X124">
        <v>60.878</v>
      </c>
      <c r="Y124">
        <v>1.17645959769239</v>
      </c>
      <c r="Z124">
        <v>60.878</v>
      </c>
      <c r="AA124">
        <v>1.19915543273348</v>
      </c>
      <c r="AB124">
        <v>60.878</v>
      </c>
      <c r="AC124">
        <v>1.18402828980306</v>
      </c>
      <c r="AD124">
        <v>60.878</v>
      </c>
      <c r="AE124">
        <v>1.17511190299848</v>
      </c>
      <c r="AF124">
        <v>60.878</v>
      </c>
      <c r="AG124">
        <v>1.17972961251521</v>
      </c>
      <c r="CS124">
        <v>6.075</v>
      </c>
      <c r="CT124">
        <v>0.90764476</v>
      </c>
      <c r="CV124">
        <v>6.075</v>
      </c>
      <c r="CW124">
        <v>2.75705625</v>
      </c>
      <c r="CX124">
        <v>6.075</v>
      </c>
      <c r="CY124">
        <v>0.92593224</v>
      </c>
      <c r="CZ124">
        <v>6.075</v>
      </c>
      <c r="DA124">
        <v>2.39792709</v>
      </c>
      <c r="DB124">
        <v>6.075</v>
      </c>
      <c r="DC124">
        <v>0.83326432</v>
      </c>
      <c r="DD124">
        <v>6.075</v>
      </c>
      <c r="DE124">
        <v>2.77885789</v>
      </c>
      <c r="DF124">
        <v>6.075</v>
      </c>
      <c r="DG124">
        <v>0.82988703</v>
      </c>
      <c r="DH124">
        <v>6.075</v>
      </c>
      <c r="DI124">
        <v>2.01913988</v>
      </c>
      <c r="DJ124">
        <v>6.075</v>
      </c>
      <c r="DK124">
        <v>0.9139645</v>
      </c>
      <c r="DL124">
        <v>6.075</v>
      </c>
      <c r="DM124">
        <v>1.99665383</v>
      </c>
    </row>
    <row r="125" spans="24:117">
      <c r="X125">
        <v>61.377</v>
      </c>
      <c r="Y125">
        <v>1.18698832982281</v>
      </c>
      <c r="Z125">
        <v>61.377</v>
      </c>
      <c r="AA125">
        <v>1.20305643064307</v>
      </c>
      <c r="AB125">
        <v>61.377</v>
      </c>
      <c r="AC125">
        <v>1.18819846494796</v>
      </c>
      <c r="AD125">
        <v>61.377</v>
      </c>
      <c r="AE125">
        <v>1.17941719181008</v>
      </c>
      <c r="AF125">
        <v>61.377</v>
      </c>
      <c r="AG125">
        <v>1.19532292999189</v>
      </c>
      <c r="CS125">
        <v>6.125</v>
      </c>
      <c r="CT125">
        <v>0.9667344</v>
      </c>
      <c r="CV125">
        <v>6.125</v>
      </c>
      <c r="CW125">
        <v>3.72931222</v>
      </c>
      <c r="CX125">
        <v>6.125</v>
      </c>
      <c r="CY125">
        <v>0.90908017</v>
      </c>
      <c r="CZ125">
        <v>6.125</v>
      </c>
      <c r="DA125">
        <v>2.98269472</v>
      </c>
      <c r="DB125">
        <v>6.125</v>
      </c>
      <c r="DC125">
        <v>0.88802524</v>
      </c>
      <c r="DD125">
        <v>6.125</v>
      </c>
      <c r="DE125">
        <v>2.80418565</v>
      </c>
      <c r="DF125">
        <v>6.125</v>
      </c>
      <c r="DG125">
        <v>0.90938637</v>
      </c>
      <c r="DH125">
        <v>6.125</v>
      </c>
      <c r="DI125">
        <v>2.05456711</v>
      </c>
      <c r="DJ125">
        <v>6.125</v>
      </c>
      <c r="DK125">
        <v>0.90905345</v>
      </c>
      <c r="DL125">
        <v>6.125</v>
      </c>
      <c r="DM125">
        <v>2.3136315</v>
      </c>
    </row>
    <row r="126" spans="24:117">
      <c r="X126">
        <v>61.876</v>
      </c>
      <c r="Y126">
        <v>1.18139778237294</v>
      </c>
      <c r="Z126">
        <v>61.876</v>
      </c>
      <c r="AA126">
        <v>1.19810898908679</v>
      </c>
      <c r="AB126">
        <v>61.876</v>
      </c>
      <c r="AC126">
        <v>1.17934828927994</v>
      </c>
      <c r="AD126">
        <v>61.876</v>
      </c>
      <c r="AE126">
        <v>1.17916580521766</v>
      </c>
      <c r="AF126">
        <v>61.876</v>
      </c>
      <c r="AG126">
        <v>1.18610043839792</v>
      </c>
      <c r="CS126">
        <v>6.175</v>
      </c>
      <c r="CT126">
        <v>1.04361441</v>
      </c>
      <c r="CV126">
        <v>6.175</v>
      </c>
      <c r="CW126">
        <v>3.16882288</v>
      </c>
      <c r="CX126">
        <v>6.175</v>
      </c>
      <c r="CY126">
        <v>0.96512288</v>
      </c>
      <c r="CZ126">
        <v>6.175</v>
      </c>
      <c r="DA126">
        <v>3.13543411</v>
      </c>
      <c r="DB126">
        <v>6.175</v>
      </c>
      <c r="DC126">
        <v>0.93203394</v>
      </c>
      <c r="DD126">
        <v>6.175</v>
      </c>
      <c r="DE126">
        <v>2.78030374</v>
      </c>
      <c r="DF126">
        <v>6.175</v>
      </c>
      <c r="DG126">
        <v>0.89684692</v>
      </c>
      <c r="DH126">
        <v>6.175</v>
      </c>
      <c r="DI126">
        <v>2.06172393</v>
      </c>
      <c r="DJ126">
        <v>6.175</v>
      </c>
      <c r="DK126">
        <v>0.9789361</v>
      </c>
      <c r="DL126">
        <v>6.175</v>
      </c>
      <c r="DM126">
        <v>2.07407637</v>
      </c>
    </row>
    <row r="127" spans="24:117">
      <c r="X127">
        <v>62.375</v>
      </c>
      <c r="Y127">
        <v>1.18272572550004</v>
      </c>
      <c r="Z127">
        <v>62.375</v>
      </c>
      <c r="AA127">
        <v>1.1955809217669</v>
      </c>
      <c r="AB127">
        <v>62.375</v>
      </c>
      <c r="AC127">
        <v>1.17993348057086</v>
      </c>
      <c r="AD127">
        <v>62.375</v>
      </c>
      <c r="AE127">
        <v>1.17710620105581</v>
      </c>
      <c r="AF127">
        <v>62.375</v>
      </c>
      <c r="AG127">
        <v>1.19653192370725</v>
      </c>
      <c r="CS127">
        <v>6.225</v>
      </c>
      <c r="CT127">
        <v>1.01716773</v>
      </c>
      <c r="CV127">
        <v>6.225</v>
      </c>
      <c r="CW127">
        <v>4.10279316</v>
      </c>
      <c r="CX127">
        <v>6.225</v>
      </c>
      <c r="CY127">
        <v>0.86967147</v>
      </c>
      <c r="CZ127">
        <v>6.225</v>
      </c>
      <c r="DA127">
        <v>3.14016625</v>
      </c>
      <c r="DB127">
        <v>6.225</v>
      </c>
      <c r="DC127">
        <v>0.88093596</v>
      </c>
      <c r="DD127">
        <v>6.225</v>
      </c>
      <c r="DE127">
        <v>2.66230452</v>
      </c>
      <c r="DF127">
        <v>6.225</v>
      </c>
      <c r="DG127">
        <v>0.92332497</v>
      </c>
      <c r="DH127">
        <v>6.225</v>
      </c>
      <c r="DI127">
        <v>1.90648417</v>
      </c>
      <c r="DJ127">
        <v>6.225</v>
      </c>
      <c r="DK127">
        <v>0.95539214</v>
      </c>
      <c r="DL127">
        <v>6.225</v>
      </c>
      <c r="DM127">
        <v>2.23989541</v>
      </c>
    </row>
    <row r="128" spans="24:117">
      <c r="X128">
        <v>62.874</v>
      </c>
      <c r="Y128">
        <v>1.18716581699616</v>
      </c>
      <c r="Z128">
        <v>62.874</v>
      </c>
      <c r="AA128">
        <v>1.20064512227555</v>
      </c>
      <c r="AB128">
        <v>62.874</v>
      </c>
      <c r="AC128">
        <v>1.1861046282542</v>
      </c>
      <c r="AD128">
        <v>62.874</v>
      </c>
      <c r="AE128">
        <v>1.17074148395339</v>
      </c>
      <c r="AF128">
        <v>62.874</v>
      </c>
      <c r="AG128">
        <v>1.1830573894407</v>
      </c>
      <c r="CS128">
        <v>6.275</v>
      </c>
      <c r="CT128">
        <v>1.04899488</v>
      </c>
      <c r="CV128">
        <v>6.275</v>
      </c>
      <c r="CW128">
        <v>3.79541059</v>
      </c>
      <c r="CX128">
        <v>6.275</v>
      </c>
      <c r="CY128">
        <v>0.87812001</v>
      </c>
      <c r="CZ128">
        <v>6.275</v>
      </c>
      <c r="DA128">
        <v>3.10112873</v>
      </c>
      <c r="DB128">
        <v>6.275</v>
      </c>
      <c r="DC128">
        <v>0.93940391</v>
      </c>
      <c r="DD128">
        <v>6.275</v>
      </c>
      <c r="DE128">
        <v>2.37716261</v>
      </c>
      <c r="DF128">
        <v>6.275</v>
      </c>
      <c r="DG128">
        <v>0.95090906</v>
      </c>
      <c r="DH128">
        <v>6.275</v>
      </c>
      <c r="DI128">
        <v>2.16237158</v>
      </c>
      <c r="DJ128">
        <v>6.275</v>
      </c>
      <c r="DK128">
        <v>0.97728505</v>
      </c>
      <c r="DL128">
        <v>6.275</v>
      </c>
      <c r="DM128">
        <v>2.15864514</v>
      </c>
    </row>
    <row r="129" spans="24:117">
      <c r="X129">
        <v>63.373</v>
      </c>
      <c r="Y129">
        <v>1.18468878572386</v>
      </c>
      <c r="Z129">
        <v>63.373</v>
      </c>
      <c r="AA129">
        <v>1.21836552263724</v>
      </c>
      <c r="AB129">
        <v>63.373</v>
      </c>
      <c r="AC129">
        <v>1.17943154264286</v>
      </c>
      <c r="AD129">
        <v>63.373</v>
      </c>
      <c r="AE129">
        <v>1.17839947660528</v>
      </c>
      <c r="AF129">
        <v>63.373</v>
      </c>
      <c r="AG129">
        <v>1.19054871318737</v>
      </c>
      <c r="CS129">
        <v>6.325</v>
      </c>
      <c r="CT129">
        <v>1.02618004</v>
      </c>
      <c r="CV129">
        <v>6.325</v>
      </c>
      <c r="CW129">
        <v>3.29849204</v>
      </c>
      <c r="CX129">
        <v>6.325</v>
      </c>
      <c r="CY129">
        <v>0.85755252</v>
      </c>
      <c r="CZ129">
        <v>6.325</v>
      </c>
      <c r="DA129">
        <v>2.73323805</v>
      </c>
      <c r="DB129">
        <v>6.325</v>
      </c>
      <c r="DC129">
        <v>0.92098453</v>
      </c>
      <c r="DD129">
        <v>6.325</v>
      </c>
      <c r="DE129">
        <v>2.44145505</v>
      </c>
      <c r="DF129">
        <v>6.325</v>
      </c>
      <c r="DG129">
        <v>0.89233185</v>
      </c>
      <c r="DH129">
        <v>6.325</v>
      </c>
      <c r="DI129">
        <v>1.97469615</v>
      </c>
      <c r="DJ129">
        <v>6.325</v>
      </c>
      <c r="DK129">
        <v>0.94577864</v>
      </c>
      <c r="DL129">
        <v>6.325</v>
      </c>
      <c r="DM129">
        <v>2.21674822</v>
      </c>
    </row>
    <row r="130" spans="24:117">
      <c r="X130">
        <v>63.872</v>
      </c>
      <c r="Y130">
        <v>1.19204053423946</v>
      </c>
      <c r="Z130">
        <v>63.872</v>
      </c>
      <c r="AA130">
        <v>1.21743200672926</v>
      </c>
      <c r="AB130">
        <v>63.872</v>
      </c>
      <c r="AC130">
        <v>1.18261919761702</v>
      </c>
      <c r="AD130">
        <v>63.872</v>
      </c>
      <c r="AE130">
        <v>1.17219320729689</v>
      </c>
      <c r="AF130">
        <v>63.872</v>
      </c>
      <c r="AG130">
        <v>1.18970271568492</v>
      </c>
      <c r="CS130">
        <v>6.375</v>
      </c>
      <c r="CT130">
        <v>1.09690733</v>
      </c>
      <c r="CV130">
        <v>6.375</v>
      </c>
      <c r="CW130">
        <v>4.02935275</v>
      </c>
      <c r="CX130">
        <v>6.375</v>
      </c>
      <c r="CY130">
        <v>0.918784</v>
      </c>
      <c r="CZ130">
        <v>6.375</v>
      </c>
      <c r="DA130">
        <v>2.6381871</v>
      </c>
      <c r="DB130">
        <v>6.375</v>
      </c>
      <c r="DC130">
        <v>0.88755834</v>
      </c>
      <c r="DD130">
        <v>6.375</v>
      </c>
      <c r="DE130">
        <v>2.32820472</v>
      </c>
      <c r="DF130">
        <v>6.375</v>
      </c>
      <c r="DG130">
        <v>0.93927781</v>
      </c>
      <c r="DH130">
        <v>6.375</v>
      </c>
      <c r="DI130">
        <v>1.92178884</v>
      </c>
      <c r="DJ130">
        <v>6.375</v>
      </c>
      <c r="DK130">
        <v>0.92849622</v>
      </c>
      <c r="DL130">
        <v>6.375</v>
      </c>
      <c r="DM130">
        <v>1.99868831</v>
      </c>
    </row>
    <row r="131" spans="24:117">
      <c r="X131">
        <v>64.371</v>
      </c>
      <c r="Y131">
        <v>1.19355117196028</v>
      </c>
      <c r="Z131">
        <v>64.371</v>
      </c>
      <c r="AA131">
        <v>1.20834144934969</v>
      </c>
      <c r="AB131">
        <v>64.371</v>
      </c>
      <c r="AC131">
        <v>1.19186263575391</v>
      </c>
      <c r="AD131">
        <v>64.371</v>
      </c>
      <c r="AE131">
        <v>1.17277039852968</v>
      </c>
      <c r="AF131">
        <v>64.371</v>
      </c>
      <c r="AG131">
        <v>1.20114516574434</v>
      </c>
      <c r="CS131">
        <v>6.425</v>
      </c>
      <c r="CT131">
        <v>1.00973828</v>
      </c>
      <c r="CV131">
        <v>6.425</v>
      </c>
      <c r="CW131">
        <v>2.73445363</v>
      </c>
      <c r="CX131">
        <v>6.425</v>
      </c>
      <c r="CY131">
        <v>0.80820774</v>
      </c>
      <c r="CZ131">
        <v>6.425</v>
      </c>
      <c r="DA131">
        <v>2.43237876</v>
      </c>
      <c r="DB131">
        <v>6.425</v>
      </c>
      <c r="DC131">
        <v>0.90659473</v>
      </c>
      <c r="DD131">
        <v>6.425</v>
      </c>
      <c r="DE131">
        <v>2.34140192</v>
      </c>
      <c r="DF131">
        <v>6.425</v>
      </c>
      <c r="DG131">
        <v>0.94830033</v>
      </c>
      <c r="DH131">
        <v>6.425</v>
      </c>
      <c r="DI131">
        <v>1.8950959</v>
      </c>
      <c r="DJ131">
        <v>6.425</v>
      </c>
      <c r="DK131">
        <v>0.94698256</v>
      </c>
      <c r="DL131">
        <v>6.425</v>
      </c>
      <c r="DM131">
        <v>2.10884467</v>
      </c>
    </row>
    <row r="132" spans="24:117">
      <c r="X132">
        <v>64.87</v>
      </c>
      <c r="Y132">
        <v>1.18917198550556</v>
      </c>
      <c r="Z132">
        <v>64.87</v>
      </c>
      <c r="AA132">
        <v>1.20833072757637</v>
      </c>
      <c r="AB132">
        <v>64.87</v>
      </c>
      <c r="AC132">
        <v>1.18622480530711</v>
      </c>
      <c r="AD132">
        <v>64.87</v>
      </c>
      <c r="AE132">
        <v>1.1758095133395</v>
      </c>
      <c r="AF132">
        <v>64.87</v>
      </c>
      <c r="AG132">
        <v>1.19119068776961</v>
      </c>
      <c r="CS132">
        <v>6.475</v>
      </c>
      <c r="CT132">
        <v>0.96717141</v>
      </c>
      <c r="CV132">
        <v>6.475</v>
      </c>
      <c r="CW132">
        <v>3.0336743</v>
      </c>
      <c r="CX132">
        <v>6.475</v>
      </c>
      <c r="CY132">
        <v>0.87133237</v>
      </c>
      <c r="CZ132">
        <v>6.475</v>
      </c>
      <c r="DA132">
        <v>2.15140321</v>
      </c>
      <c r="DB132">
        <v>6.475</v>
      </c>
      <c r="DC132">
        <v>0.98721727</v>
      </c>
      <c r="DD132">
        <v>6.475</v>
      </c>
      <c r="DE132">
        <v>2.08212311</v>
      </c>
      <c r="DF132">
        <v>6.475</v>
      </c>
      <c r="DG132">
        <v>0.99176597</v>
      </c>
      <c r="DH132">
        <v>6.475</v>
      </c>
      <c r="DI132">
        <v>1.73767679</v>
      </c>
      <c r="DJ132">
        <v>6.475</v>
      </c>
      <c r="DK132">
        <v>0.95912366</v>
      </c>
      <c r="DL132">
        <v>6.475</v>
      </c>
      <c r="DM132">
        <v>2.07231415</v>
      </c>
    </row>
    <row r="133" spans="24:117">
      <c r="X133">
        <v>65.369</v>
      </c>
      <c r="Y133">
        <v>1.19344272612834</v>
      </c>
      <c r="Z133">
        <v>65.369</v>
      </c>
      <c r="AA133">
        <v>1.20458192069997</v>
      </c>
      <c r="AB133">
        <v>65.369</v>
      </c>
      <c r="AC133">
        <v>1.18507224642012</v>
      </c>
      <c r="AD133">
        <v>65.369</v>
      </c>
      <c r="AE133">
        <v>1.17390657979959</v>
      </c>
      <c r="AF133">
        <v>65.369</v>
      </c>
      <c r="AG133">
        <v>1.19012845910299</v>
      </c>
      <c r="CS133">
        <v>6.525</v>
      </c>
      <c r="CT133">
        <v>0.96423685</v>
      </c>
      <c r="CV133">
        <v>6.525</v>
      </c>
      <c r="CW133">
        <v>2.35254566</v>
      </c>
      <c r="CX133">
        <v>6.525</v>
      </c>
      <c r="CY133">
        <v>0.79312353</v>
      </c>
      <c r="CZ133">
        <v>6.525</v>
      </c>
      <c r="DA133">
        <v>1.84874165</v>
      </c>
      <c r="DB133">
        <v>6.525</v>
      </c>
      <c r="DC133">
        <v>0.94375345</v>
      </c>
      <c r="DD133">
        <v>6.525</v>
      </c>
      <c r="DE133">
        <v>1.87350013</v>
      </c>
      <c r="DF133">
        <v>6.525</v>
      </c>
      <c r="DG133">
        <v>0.98043602</v>
      </c>
      <c r="DH133">
        <v>6.525</v>
      </c>
      <c r="DI133">
        <v>1.55777611</v>
      </c>
      <c r="DJ133">
        <v>6.525</v>
      </c>
      <c r="DK133">
        <v>0.85760454</v>
      </c>
      <c r="DL133">
        <v>6.525</v>
      </c>
      <c r="DM133">
        <v>1.81125123</v>
      </c>
    </row>
    <row r="134" spans="24:117">
      <c r="X134">
        <v>65.868</v>
      </c>
      <c r="Y134">
        <v>1.19166527204224</v>
      </c>
      <c r="Z134">
        <v>65.868</v>
      </c>
      <c r="AA134">
        <v>1.20911803361356</v>
      </c>
      <c r="AB134">
        <v>65.868</v>
      </c>
      <c r="AC134">
        <v>1.18291706213574</v>
      </c>
      <c r="AD134">
        <v>65.868</v>
      </c>
      <c r="AE134">
        <v>1.17157249549684</v>
      </c>
      <c r="AF134">
        <v>65.868</v>
      </c>
      <c r="AG134">
        <v>1.1933848035542</v>
      </c>
      <c r="CS134">
        <v>6.575</v>
      </c>
      <c r="CT134">
        <v>0.97875716</v>
      </c>
      <c r="CV134">
        <v>6.575</v>
      </c>
      <c r="CW134">
        <v>2.50078281</v>
      </c>
      <c r="CX134">
        <v>6.575</v>
      </c>
      <c r="CY134">
        <v>0.81696593</v>
      </c>
      <c r="CZ134">
        <v>6.575</v>
      </c>
      <c r="DA134">
        <v>1.71247128</v>
      </c>
      <c r="DB134">
        <v>6.575</v>
      </c>
      <c r="DC134">
        <v>1.03123584</v>
      </c>
      <c r="DD134">
        <v>6.575</v>
      </c>
      <c r="DE134">
        <v>1.83570046</v>
      </c>
      <c r="DF134">
        <v>6.575</v>
      </c>
      <c r="DG134">
        <v>1.02188333</v>
      </c>
      <c r="DH134">
        <v>6.575</v>
      </c>
      <c r="DI134">
        <v>1.31796793</v>
      </c>
      <c r="DJ134">
        <v>6.575</v>
      </c>
      <c r="DK134">
        <v>1.0227954</v>
      </c>
      <c r="DL134">
        <v>6.575</v>
      </c>
      <c r="DM134">
        <v>1.81750272</v>
      </c>
    </row>
    <row r="135" spans="24:117">
      <c r="X135">
        <v>66.367</v>
      </c>
      <c r="Y135">
        <v>1.19049383981596</v>
      </c>
      <c r="Z135">
        <v>66.367</v>
      </c>
      <c r="AA135">
        <v>1.19688904503137</v>
      </c>
      <c r="AB135">
        <v>66.367</v>
      </c>
      <c r="AC135">
        <v>1.18744300330708</v>
      </c>
      <c r="AD135">
        <v>66.367</v>
      </c>
      <c r="AE135">
        <v>1.16793288158621</v>
      </c>
      <c r="AF135">
        <v>66.367</v>
      </c>
      <c r="AG135">
        <v>1.20029098046913</v>
      </c>
      <c r="CS135">
        <v>6.625</v>
      </c>
      <c r="CT135">
        <v>0.96690845</v>
      </c>
      <c r="CV135">
        <v>6.625</v>
      </c>
      <c r="CW135">
        <v>1.63004411</v>
      </c>
      <c r="CX135">
        <v>6.625</v>
      </c>
      <c r="CY135">
        <v>0.91217651</v>
      </c>
      <c r="CZ135">
        <v>6.625</v>
      </c>
      <c r="DA135">
        <v>1.51223201</v>
      </c>
      <c r="DB135">
        <v>6.625</v>
      </c>
      <c r="DC135">
        <v>0.97606913</v>
      </c>
      <c r="DD135">
        <v>6.625</v>
      </c>
      <c r="DE135">
        <v>1.45574946</v>
      </c>
      <c r="DF135">
        <v>6.625</v>
      </c>
      <c r="DG135">
        <v>1.00836547</v>
      </c>
      <c r="DH135">
        <v>6.625</v>
      </c>
      <c r="DI135">
        <v>1.24272264</v>
      </c>
      <c r="DJ135">
        <v>6.625</v>
      </c>
      <c r="DK135">
        <v>0.9416975</v>
      </c>
      <c r="DL135">
        <v>6.625</v>
      </c>
      <c r="DM135">
        <v>1.8018856</v>
      </c>
    </row>
    <row r="136" spans="24:117">
      <c r="X136">
        <v>66.866</v>
      </c>
      <c r="Y136">
        <v>1.18900432830167</v>
      </c>
      <c r="Z136">
        <v>66.866</v>
      </c>
      <c r="AA136">
        <v>1.20041945490022</v>
      </c>
      <c r="AB136">
        <v>66.866</v>
      </c>
      <c r="AC136">
        <v>1.19433624665378</v>
      </c>
      <c r="AD136">
        <v>66.866</v>
      </c>
      <c r="AE136">
        <v>1.17705762884399</v>
      </c>
      <c r="AF136">
        <v>66.866</v>
      </c>
      <c r="AG136">
        <v>1.19951666184684</v>
      </c>
      <c r="CS136">
        <v>6.675</v>
      </c>
      <c r="CT136">
        <v>0.94682457</v>
      </c>
      <c r="CV136">
        <v>6.675</v>
      </c>
      <c r="CW136">
        <v>1.49866784</v>
      </c>
      <c r="CX136">
        <v>6.675</v>
      </c>
      <c r="CY136">
        <v>0.85166753</v>
      </c>
      <c r="CZ136">
        <v>6.675</v>
      </c>
      <c r="DA136">
        <v>1.32732687</v>
      </c>
      <c r="DB136">
        <v>6.675</v>
      </c>
      <c r="DC136">
        <v>1.02986981</v>
      </c>
      <c r="DD136">
        <v>6.675</v>
      </c>
      <c r="DE136">
        <v>1.33354937</v>
      </c>
      <c r="DF136">
        <v>6.675</v>
      </c>
      <c r="DG136">
        <v>0.98967367</v>
      </c>
      <c r="DH136">
        <v>6.675</v>
      </c>
      <c r="DI136">
        <v>1.09773429</v>
      </c>
      <c r="DJ136">
        <v>6.675</v>
      </c>
      <c r="DK136">
        <v>0.94287481</v>
      </c>
      <c r="DL136">
        <v>6.675</v>
      </c>
      <c r="DM136">
        <v>1.58268543</v>
      </c>
    </row>
    <row r="137" spans="24:117">
      <c r="X137">
        <v>67.365</v>
      </c>
      <c r="Y137">
        <v>1.19197733067009</v>
      </c>
      <c r="Z137">
        <v>67.365</v>
      </c>
      <c r="AA137">
        <v>1.20311097007158</v>
      </c>
      <c r="AB137">
        <v>67.365</v>
      </c>
      <c r="AC137">
        <v>1.19225794146467</v>
      </c>
      <c r="AD137">
        <v>67.365</v>
      </c>
      <c r="AE137">
        <v>1.17483928768531</v>
      </c>
      <c r="AF137">
        <v>67.365</v>
      </c>
      <c r="AG137">
        <v>1.19764833969517</v>
      </c>
      <c r="CS137">
        <v>6.725</v>
      </c>
      <c r="CT137">
        <v>0.99405616</v>
      </c>
      <c r="CV137">
        <v>6.725</v>
      </c>
      <c r="CW137">
        <v>1.30069603</v>
      </c>
      <c r="CX137">
        <v>6.725</v>
      </c>
      <c r="CY137">
        <v>0.81818598</v>
      </c>
      <c r="CZ137">
        <v>6.725</v>
      </c>
      <c r="DA137">
        <v>1.57107728</v>
      </c>
      <c r="DB137">
        <v>6.725</v>
      </c>
      <c r="DC137">
        <v>1.00712879</v>
      </c>
      <c r="DD137">
        <v>6.725</v>
      </c>
      <c r="DE137">
        <v>1.26880052</v>
      </c>
      <c r="DF137">
        <v>6.725</v>
      </c>
      <c r="DG137">
        <v>1.0225518</v>
      </c>
      <c r="DH137">
        <v>6.725</v>
      </c>
      <c r="DI137">
        <v>1.02201922</v>
      </c>
      <c r="DJ137">
        <v>6.725</v>
      </c>
      <c r="DK137">
        <v>0.98067921</v>
      </c>
      <c r="DL137">
        <v>6.725</v>
      </c>
      <c r="DM137">
        <v>1.56302783</v>
      </c>
    </row>
    <row r="138" spans="24:117">
      <c r="X138">
        <v>67.864</v>
      </c>
      <c r="Y138">
        <v>1.18682715611207</v>
      </c>
      <c r="Z138">
        <v>67.864</v>
      </c>
      <c r="AA138">
        <v>1.19283351113491</v>
      </c>
      <c r="AB138">
        <v>67.864</v>
      </c>
      <c r="AC138">
        <v>1.20272169661983</v>
      </c>
      <c r="AD138">
        <v>67.864</v>
      </c>
      <c r="AE138">
        <v>1.17330704125107</v>
      </c>
      <c r="AF138">
        <v>67.864</v>
      </c>
      <c r="AG138">
        <v>1.18589011585866</v>
      </c>
      <c r="CS138">
        <v>6.775</v>
      </c>
      <c r="CT138">
        <v>1.06997423</v>
      </c>
      <c r="CV138">
        <v>6.775</v>
      </c>
      <c r="CW138">
        <v>1.24693151</v>
      </c>
      <c r="CX138">
        <v>6.775</v>
      </c>
      <c r="CY138">
        <v>0.81790128</v>
      </c>
      <c r="CZ138">
        <v>6.775</v>
      </c>
      <c r="DA138">
        <v>1.32551035</v>
      </c>
      <c r="DB138">
        <v>6.775</v>
      </c>
      <c r="DC138">
        <v>0.97967734</v>
      </c>
      <c r="DD138">
        <v>6.775</v>
      </c>
      <c r="DE138">
        <v>1.26787454</v>
      </c>
      <c r="DF138">
        <v>6.775</v>
      </c>
      <c r="DG138">
        <v>0.9924902</v>
      </c>
      <c r="DH138">
        <v>6.775</v>
      </c>
      <c r="DI138">
        <v>0.93446421</v>
      </c>
      <c r="DJ138">
        <v>6.775</v>
      </c>
      <c r="DK138">
        <v>0.92707512</v>
      </c>
      <c r="DL138">
        <v>6.775</v>
      </c>
      <c r="DM138">
        <v>1.42617273</v>
      </c>
    </row>
    <row r="139" spans="24:117">
      <c r="X139">
        <v>68.363</v>
      </c>
      <c r="Y139">
        <v>1.17915546561661</v>
      </c>
      <c r="Z139">
        <v>68.363</v>
      </c>
      <c r="AA139">
        <v>1.18551868240915</v>
      </c>
      <c r="AB139">
        <v>68.363</v>
      </c>
      <c r="AC139">
        <v>1.20439255384898</v>
      </c>
      <c r="AD139">
        <v>68.363</v>
      </c>
      <c r="AE139">
        <v>1.17487575251944</v>
      </c>
      <c r="AF139">
        <v>68.363</v>
      </c>
      <c r="AG139">
        <v>1.20427994494161</v>
      </c>
      <c r="CS139">
        <v>6.825</v>
      </c>
      <c r="CT139">
        <v>1.11112738</v>
      </c>
      <c r="CV139">
        <v>6.825</v>
      </c>
      <c r="CW139">
        <v>1.2628598</v>
      </c>
      <c r="CX139">
        <v>6.825</v>
      </c>
      <c r="CY139">
        <v>0.82766586</v>
      </c>
      <c r="CZ139">
        <v>6.825</v>
      </c>
      <c r="DA139">
        <v>1.16915037</v>
      </c>
      <c r="DB139">
        <v>6.825</v>
      </c>
      <c r="DC139">
        <v>1.02454393</v>
      </c>
      <c r="DD139">
        <v>6.825</v>
      </c>
      <c r="DE139">
        <v>1.05715563</v>
      </c>
      <c r="DF139">
        <v>6.825</v>
      </c>
      <c r="DG139">
        <v>1.07379868</v>
      </c>
      <c r="DH139">
        <v>6.825</v>
      </c>
      <c r="DI139">
        <v>0.95380734</v>
      </c>
      <c r="DJ139">
        <v>6.825</v>
      </c>
      <c r="DK139">
        <v>0.96963606</v>
      </c>
      <c r="DL139">
        <v>6.825</v>
      </c>
      <c r="DM139">
        <v>1.3188981</v>
      </c>
    </row>
    <row r="140" spans="24:117">
      <c r="X140">
        <v>68.862</v>
      </c>
      <c r="Y140">
        <v>1.18466107981791</v>
      </c>
      <c r="Z140">
        <v>68.862</v>
      </c>
      <c r="AA140">
        <v>1.18334294015869</v>
      </c>
      <c r="AB140">
        <v>68.862</v>
      </c>
      <c r="AC140">
        <v>1.20461543247812</v>
      </c>
      <c r="AD140">
        <v>68.862</v>
      </c>
      <c r="AE140">
        <v>1.18564634190871</v>
      </c>
      <c r="AF140">
        <v>68.862</v>
      </c>
      <c r="AG140">
        <v>1.19822558208409</v>
      </c>
      <c r="CS140">
        <v>6.875</v>
      </c>
      <c r="CT140">
        <v>0.99910983</v>
      </c>
      <c r="CV140">
        <v>6.875</v>
      </c>
      <c r="CW140">
        <v>0.77364404</v>
      </c>
      <c r="CX140">
        <v>6.875</v>
      </c>
      <c r="CY140">
        <v>0.82993089</v>
      </c>
      <c r="CZ140">
        <v>6.875</v>
      </c>
      <c r="DA140">
        <v>1.11620001</v>
      </c>
      <c r="DB140">
        <v>6.875</v>
      </c>
      <c r="DC140">
        <v>0.9380861</v>
      </c>
      <c r="DD140">
        <v>6.875</v>
      </c>
      <c r="DE140">
        <v>1.05044501</v>
      </c>
      <c r="DF140">
        <v>6.875</v>
      </c>
      <c r="DG140">
        <v>1.08055146</v>
      </c>
      <c r="DH140">
        <v>6.875</v>
      </c>
      <c r="DI140">
        <v>0.82079319</v>
      </c>
      <c r="DJ140">
        <v>6.875</v>
      </c>
      <c r="DK140">
        <v>0.97209633</v>
      </c>
      <c r="DL140">
        <v>6.875</v>
      </c>
      <c r="DM140">
        <v>1.21095633</v>
      </c>
    </row>
    <row r="141" spans="24:117">
      <c r="X141">
        <v>69.361</v>
      </c>
      <c r="Y141">
        <v>1.18912857011381</v>
      </c>
      <c r="Z141">
        <v>69.361</v>
      </c>
      <c r="AA141">
        <v>1.19451762095616</v>
      </c>
      <c r="AB141">
        <v>69.361</v>
      </c>
      <c r="AC141">
        <v>1.19882195704978</v>
      </c>
      <c r="AD141">
        <v>69.361</v>
      </c>
      <c r="AE141">
        <v>1.18978914321413</v>
      </c>
      <c r="AF141">
        <v>69.361</v>
      </c>
      <c r="AG141">
        <v>1.20348676074616</v>
      </c>
      <c r="CS141">
        <v>6.925</v>
      </c>
      <c r="CT141">
        <v>1.0162459</v>
      </c>
      <c r="CV141">
        <v>6.925</v>
      </c>
      <c r="CW141">
        <v>0.99458174</v>
      </c>
      <c r="CX141">
        <v>6.925</v>
      </c>
      <c r="CY141">
        <v>0.84469378</v>
      </c>
      <c r="CZ141">
        <v>6.925</v>
      </c>
      <c r="DA141">
        <v>1.33968644</v>
      </c>
      <c r="DB141">
        <v>6.925</v>
      </c>
      <c r="DC141">
        <v>1.04759831</v>
      </c>
      <c r="DD141">
        <v>6.925</v>
      </c>
      <c r="DE141">
        <v>0.9674404</v>
      </c>
      <c r="DF141">
        <v>6.925</v>
      </c>
      <c r="DG141">
        <v>1.03455136</v>
      </c>
      <c r="DH141">
        <v>6.925</v>
      </c>
      <c r="DI141">
        <v>0.91844983</v>
      </c>
      <c r="DJ141">
        <v>6.925</v>
      </c>
      <c r="DK141">
        <v>1.01259586</v>
      </c>
      <c r="DL141">
        <v>6.925</v>
      </c>
      <c r="DM141">
        <v>1.179239</v>
      </c>
    </row>
    <row r="142" spans="24:117">
      <c r="X142">
        <v>69.86</v>
      </c>
      <c r="Y142">
        <v>1.19477307277688</v>
      </c>
      <c r="Z142">
        <v>69.86</v>
      </c>
      <c r="AA142">
        <v>1.200707338146</v>
      </c>
      <c r="AB142">
        <v>69.86</v>
      </c>
      <c r="AC142">
        <v>1.20283447686105</v>
      </c>
      <c r="AD142">
        <v>69.86</v>
      </c>
      <c r="AE142">
        <v>1.17574692345683</v>
      </c>
      <c r="AF142">
        <v>69.86</v>
      </c>
      <c r="AG142">
        <v>1.2026519943232</v>
      </c>
      <c r="CS142">
        <v>6.975</v>
      </c>
      <c r="CT142">
        <v>1.06902793</v>
      </c>
      <c r="CV142">
        <v>6.975</v>
      </c>
      <c r="CW142">
        <v>0.88233631</v>
      </c>
      <c r="CX142">
        <v>6.975</v>
      </c>
      <c r="CY142">
        <v>0.83401233</v>
      </c>
      <c r="CZ142">
        <v>6.975</v>
      </c>
      <c r="DA142">
        <v>1.03195172</v>
      </c>
      <c r="DB142">
        <v>6.975</v>
      </c>
      <c r="DC142">
        <v>0.98492703</v>
      </c>
      <c r="DD142">
        <v>6.975</v>
      </c>
      <c r="DE142">
        <v>0.97453278</v>
      </c>
      <c r="DF142">
        <v>6.975</v>
      </c>
      <c r="DG142">
        <v>1.10649048</v>
      </c>
      <c r="DH142">
        <v>6.975</v>
      </c>
      <c r="DI142">
        <v>0.81584912</v>
      </c>
      <c r="DJ142">
        <v>6.975</v>
      </c>
      <c r="DK142">
        <v>0.97720529</v>
      </c>
      <c r="DL142">
        <v>6.975</v>
      </c>
      <c r="DM142">
        <v>1.28391592</v>
      </c>
    </row>
    <row r="143" spans="24:117">
      <c r="X143">
        <v>70.359</v>
      </c>
      <c r="Y143">
        <v>1.18637862770266</v>
      </c>
      <c r="Z143">
        <v>70.359</v>
      </c>
      <c r="AA143">
        <v>1.19829574253401</v>
      </c>
      <c r="AB143">
        <v>70.359</v>
      </c>
      <c r="AC143">
        <v>1.21386594224271</v>
      </c>
      <c r="AD143">
        <v>70.359</v>
      </c>
      <c r="AE143">
        <v>1.18040575499923</v>
      </c>
      <c r="AF143">
        <v>70.359</v>
      </c>
      <c r="AG143">
        <v>1.20020857376625</v>
      </c>
      <c r="CS143">
        <f>MAX(CS3:CS142)</f>
        <v>6.975</v>
      </c>
      <c r="CT143">
        <f t="shared" ref="CT143:DM143" si="21">MAX(CT3:CT142)</f>
        <v>16.14124423</v>
      </c>
      <c r="CV143">
        <f t="shared" si="21"/>
        <v>6.975</v>
      </c>
      <c r="CW143">
        <f t="shared" si="21"/>
        <v>87.94854259</v>
      </c>
      <c r="CX143">
        <f t="shared" si="21"/>
        <v>6.975</v>
      </c>
      <c r="CY143">
        <f t="shared" si="21"/>
        <v>15.00494229</v>
      </c>
      <c r="CZ143">
        <f t="shared" si="21"/>
        <v>6.975</v>
      </c>
      <c r="DA143">
        <f t="shared" si="21"/>
        <v>57.86451381</v>
      </c>
      <c r="DB143">
        <f t="shared" si="21"/>
        <v>6.975</v>
      </c>
      <c r="DC143">
        <f t="shared" si="21"/>
        <v>11.56498126</v>
      </c>
      <c r="DD143">
        <f t="shared" si="21"/>
        <v>6.975</v>
      </c>
      <c r="DE143">
        <f t="shared" si="21"/>
        <v>63.36519009</v>
      </c>
      <c r="DF143">
        <f t="shared" si="21"/>
        <v>6.975</v>
      </c>
      <c r="DG143">
        <f t="shared" si="21"/>
        <v>13.8256166</v>
      </c>
      <c r="DH143">
        <f t="shared" si="21"/>
        <v>6.975</v>
      </c>
      <c r="DI143">
        <f t="shared" si="21"/>
        <v>47.29944037</v>
      </c>
      <c r="DJ143">
        <f t="shared" si="21"/>
        <v>6.975</v>
      </c>
      <c r="DK143">
        <f t="shared" si="21"/>
        <v>12.97543494</v>
      </c>
      <c r="DL143">
        <f t="shared" si="21"/>
        <v>6.975</v>
      </c>
      <c r="DM143">
        <f t="shared" si="21"/>
        <v>43.14446581</v>
      </c>
    </row>
    <row r="144" spans="24:117">
      <c r="X144">
        <v>70.858</v>
      </c>
      <c r="Y144">
        <v>1.18403481776414</v>
      </c>
      <c r="Z144">
        <v>70.858</v>
      </c>
      <c r="AA144">
        <v>1.19894020761724</v>
      </c>
      <c r="AB144">
        <v>70.858</v>
      </c>
      <c r="AC144">
        <v>1.20692844388726</v>
      </c>
      <c r="AD144">
        <v>70.858</v>
      </c>
      <c r="AE144">
        <v>1.17396694144977</v>
      </c>
      <c r="AF144">
        <v>70.858</v>
      </c>
      <c r="AG144">
        <v>1.20436075311694</v>
      </c>
    </row>
    <row r="145" spans="24:100">
      <c r="X145">
        <v>71.357</v>
      </c>
      <c r="Y145">
        <v>1.18293171859517</v>
      </c>
      <c r="Z145">
        <v>71.357</v>
      </c>
      <c r="AA145">
        <v>1.20476541792547</v>
      </c>
      <c r="AB145">
        <v>71.357</v>
      </c>
      <c r="AC145">
        <v>1.20742894225404</v>
      </c>
      <c r="AD145">
        <v>71.357</v>
      </c>
      <c r="AE145">
        <v>1.18108417982742</v>
      </c>
      <c r="AF145">
        <v>71.357</v>
      </c>
      <c r="AG145">
        <v>1.19572735789468</v>
      </c>
    </row>
    <row r="146" spans="24:100">
      <c r="X146">
        <v>71.856</v>
      </c>
      <c r="Y146">
        <v>1.17816956991494</v>
      </c>
      <c r="Z146">
        <v>71.856</v>
      </c>
      <c r="AA146">
        <v>1.20507561486194</v>
      </c>
      <c r="AB146">
        <v>71.856</v>
      </c>
      <c r="AC146">
        <v>1.20377382647538</v>
      </c>
      <c r="AD146">
        <v>71.856</v>
      </c>
      <c r="AE146">
        <v>1.18282970001424</v>
      </c>
      <c r="AF146">
        <v>71.856</v>
      </c>
      <c r="AG146">
        <v>1.1983528179129</v>
      </c>
      <c r="CT146" t="s">
        <v>189</v>
      </c>
      <c r="CV146" t="s">
        <v>189</v>
      </c>
    </row>
    <row r="147" spans="24:100">
      <c r="X147">
        <v>72.355</v>
      </c>
      <c r="Y147">
        <v>1.17025452169922</v>
      </c>
      <c r="Z147">
        <v>72.355</v>
      </c>
      <c r="AA147">
        <v>1.21292913245086</v>
      </c>
      <c r="AB147">
        <v>72.355</v>
      </c>
      <c r="AC147">
        <v>1.20861544799116</v>
      </c>
      <c r="AD147">
        <v>72.355</v>
      </c>
      <c r="AE147">
        <v>1.18507893480237</v>
      </c>
      <c r="AF147">
        <v>72.355</v>
      </c>
      <c r="AG147">
        <v>1.19258447230643</v>
      </c>
      <c r="CS147">
        <v>0.02</v>
      </c>
      <c r="CT147">
        <v>16.14124423</v>
      </c>
      <c r="CV147">
        <v>87.94854259</v>
      </c>
    </row>
    <row r="148" spans="24:100">
      <c r="X148">
        <v>72.854</v>
      </c>
      <c r="Y148">
        <v>1.18027803842682</v>
      </c>
      <c r="Z148">
        <v>72.854</v>
      </c>
      <c r="AA148">
        <v>1.21268208433745</v>
      </c>
      <c r="AB148">
        <v>72.854</v>
      </c>
      <c r="AC148">
        <v>1.19512693125418</v>
      </c>
      <c r="AD148">
        <v>72.854</v>
      </c>
      <c r="AE148">
        <v>1.18152671817387</v>
      </c>
      <c r="AF148">
        <v>72.854</v>
      </c>
      <c r="AG148">
        <v>1.19806800510278</v>
      </c>
      <c r="CS148">
        <v>0.04</v>
      </c>
      <c r="CT148">
        <v>15.00494229</v>
      </c>
      <c r="CV148">
        <v>57.86451381</v>
      </c>
    </row>
    <row r="149" spans="24:100">
      <c r="X149">
        <v>73.353</v>
      </c>
      <c r="Y149">
        <v>1.19152215612439</v>
      </c>
      <c r="Z149">
        <v>73.353</v>
      </c>
      <c r="AA149">
        <v>1.20770690144576</v>
      </c>
      <c r="AB149">
        <v>73.353</v>
      </c>
      <c r="AC149">
        <v>1.20550098094655</v>
      </c>
      <c r="AD149">
        <v>73.353</v>
      </c>
      <c r="AE149">
        <v>1.19292627156617</v>
      </c>
      <c r="AF149">
        <v>73.353</v>
      </c>
      <c r="AG149">
        <v>1.20549382525768</v>
      </c>
      <c r="CS149">
        <v>0.06</v>
      </c>
      <c r="CT149">
        <v>11.56498126</v>
      </c>
      <c r="CV149">
        <v>63.36519009</v>
      </c>
    </row>
    <row r="150" spans="24:100">
      <c r="X150">
        <v>73.852</v>
      </c>
      <c r="Y150">
        <v>1.18528260398548</v>
      </c>
      <c r="Z150">
        <v>73.852</v>
      </c>
      <c r="AA150">
        <v>1.21782827732744</v>
      </c>
      <c r="AB150">
        <v>73.852</v>
      </c>
      <c r="AC150">
        <v>1.20316509904888</v>
      </c>
      <c r="AD150">
        <v>73.852</v>
      </c>
      <c r="AE150">
        <v>1.18936148695518</v>
      </c>
      <c r="AF150">
        <v>73.852</v>
      </c>
      <c r="AG150">
        <v>1.21135493867662</v>
      </c>
      <c r="CS150">
        <v>0.08</v>
      </c>
      <c r="CT150">
        <v>13.8256166</v>
      </c>
      <c r="CV150">
        <v>47.29944037</v>
      </c>
    </row>
    <row r="151" spans="24:100">
      <c r="X151">
        <v>74.351</v>
      </c>
      <c r="Y151">
        <v>1.19501944424847</v>
      </c>
      <c r="Z151">
        <v>74.351</v>
      </c>
      <c r="AA151">
        <v>1.21671769025237</v>
      </c>
      <c r="AB151">
        <v>74.351</v>
      </c>
      <c r="AC151">
        <v>1.20346378439262</v>
      </c>
      <c r="AD151">
        <v>74.351</v>
      </c>
      <c r="AE151">
        <v>1.18716247196198</v>
      </c>
      <c r="AF151">
        <v>74.351</v>
      </c>
      <c r="AG151">
        <v>1.20288730059285</v>
      </c>
      <c r="CS151">
        <v>0.1</v>
      </c>
      <c r="CT151">
        <v>12.97543494</v>
      </c>
      <c r="CV151">
        <v>43.14446581</v>
      </c>
    </row>
    <row r="152" spans="24:100">
      <c r="X152">
        <v>74.85</v>
      </c>
      <c r="Y152">
        <v>1.19230152504062</v>
      </c>
      <c r="Z152">
        <v>74.85</v>
      </c>
      <c r="AA152">
        <v>1.20250106663671</v>
      </c>
      <c r="AB152">
        <v>74.85</v>
      </c>
      <c r="AC152">
        <v>1.20677945473868</v>
      </c>
      <c r="AD152">
        <v>74.85</v>
      </c>
      <c r="AE152">
        <v>1.18451453989116</v>
      </c>
      <c r="AF152">
        <v>74.85</v>
      </c>
      <c r="AG152">
        <v>1.20318926846084</v>
      </c>
    </row>
    <row r="153" spans="24:100">
      <c r="X153">
        <v>75.349</v>
      </c>
      <c r="Y153">
        <v>1.17934821734812</v>
      </c>
      <c r="Z153">
        <v>75.349</v>
      </c>
      <c r="AA153">
        <v>1.20032318811477</v>
      </c>
      <c r="AB153">
        <v>75.349</v>
      </c>
      <c r="AC153">
        <v>1.20348247873933</v>
      </c>
      <c r="AD153">
        <v>75.349</v>
      </c>
      <c r="AE153">
        <v>1.18889476712772</v>
      </c>
      <c r="AF153">
        <v>75.349</v>
      </c>
      <c r="AG153">
        <v>1.20705392687845</v>
      </c>
    </row>
    <row r="154" spans="24:100">
      <c r="X154">
        <v>75.848</v>
      </c>
      <c r="Y154">
        <v>1.17568330513517</v>
      </c>
      <c r="Z154">
        <v>75.848</v>
      </c>
      <c r="AA154">
        <v>1.20918369661521</v>
      </c>
      <c r="AB154">
        <v>75.848</v>
      </c>
      <c r="AC154">
        <v>1.20159776143456</v>
      </c>
      <c r="AD154">
        <v>75.848</v>
      </c>
      <c r="AE154">
        <v>1.19380827718741</v>
      </c>
      <c r="AF154">
        <v>75.848</v>
      </c>
      <c r="AG154">
        <v>1.20926628666105</v>
      </c>
    </row>
    <row r="155" spans="24:100">
      <c r="X155">
        <v>76.347</v>
      </c>
      <c r="Y155">
        <v>1.18371163815158</v>
      </c>
      <c r="Z155">
        <v>76.347</v>
      </c>
      <c r="AA155">
        <v>1.20875560192428</v>
      </c>
      <c r="AB155">
        <v>76.347</v>
      </c>
      <c r="AC155">
        <v>1.20000540559382</v>
      </c>
      <c r="AD155">
        <v>76.347</v>
      </c>
      <c r="AE155">
        <v>1.1898377464763</v>
      </c>
      <c r="AF155">
        <v>76.347</v>
      </c>
      <c r="AG155">
        <v>1.20099148638339</v>
      </c>
    </row>
    <row r="156" spans="24:100">
      <c r="X156">
        <v>76.846</v>
      </c>
      <c r="Y156">
        <v>1.18964399886458</v>
      </c>
      <c r="Z156">
        <v>76.846</v>
      </c>
      <c r="AA156">
        <v>1.20558137156341</v>
      </c>
      <c r="AB156">
        <v>76.846</v>
      </c>
      <c r="AC156">
        <v>1.20372781683059</v>
      </c>
      <c r="AD156">
        <v>76.846</v>
      </c>
      <c r="AE156">
        <v>1.18949033183651</v>
      </c>
      <c r="AF156">
        <v>76.846</v>
      </c>
      <c r="AG156">
        <v>1.1933063828778</v>
      </c>
    </row>
    <row r="157" spans="24:100">
      <c r="X157">
        <v>77.345</v>
      </c>
      <c r="Y157">
        <v>1.19959224955895</v>
      </c>
      <c r="Z157">
        <v>77.345</v>
      </c>
      <c r="AA157">
        <v>1.21346960027206</v>
      </c>
      <c r="AB157">
        <v>77.345</v>
      </c>
      <c r="AC157">
        <v>1.20804607038655</v>
      </c>
      <c r="AD157">
        <v>77.345</v>
      </c>
      <c r="AE157">
        <v>1.1901746182743</v>
      </c>
      <c r="AF157">
        <v>77.345</v>
      </c>
      <c r="AG157">
        <v>1.19695594152018</v>
      </c>
    </row>
    <row r="158" spans="24:100">
      <c r="X158">
        <v>77.844</v>
      </c>
      <c r="Y158">
        <v>1.20244955772392</v>
      </c>
      <c r="Z158">
        <v>77.844</v>
      </c>
      <c r="AA158">
        <v>1.21410591143397</v>
      </c>
      <c r="AB158">
        <v>77.844</v>
      </c>
      <c r="AC158">
        <v>1.20908528660717</v>
      </c>
      <c r="AD158">
        <v>77.844</v>
      </c>
      <c r="AE158">
        <v>1.19023808763146</v>
      </c>
      <c r="AF158">
        <v>77.844</v>
      </c>
      <c r="AG158">
        <v>1.20330411330318</v>
      </c>
    </row>
    <row r="159" spans="24:100">
      <c r="X159">
        <v>78.343</v>
      </c>
      <c r="Y159">
        <v>1.18357145780633</v>
      </c>
      <c r="Z159">
        <v>78.343</v>
      </c>
      <c r="AA159">
        <v>1.20346049415686</v>
      </c>
      <c r="AB159">
        <v>78.343</v>
      </c>
      <c r="AC159">
        <v>1.20539017750581</v>
      </c>
      <c r="AD159">
        <v>78.343</v>
      </c>
      <c r="AE159">
        <v>1.18364871069132</v>
      </c>
      <c r="AF159">
        <v>78.343</v>
      </c>
      <c r="AG159">
        <v>1.20837113892374</v>
      </c>
    </row>
    <row r="160" spans="24:100">
      <c r="X160">
        <v>78.842</v>
      </c>
      <c r="Y160">
        <v>1.179477750495</v>
      </c>
      <c r="Z160">
        <v>78.842</v>
      </c>
      <c r="AA160">
        <v>1.21099909797537</v>
      </c>
      <c r="AB160">
        <v>78.842</v>
      </c>
      <c r="AC160">
        <v>1.20705093709393</v>
      </c>
      <c r="AD160">
        <v>78.842</v>
      </c>
      <c r="AE160">
        <v>1.18200234490902</v>
      </c>
      <c r="AF160">
        <v>78.842</v>
      </c>
      <c r="AG160">
        <v>1.20449593012346</v>
      </c>
    </row>
    <row r="161" spans="24:33">
      <c r="X161">
        <v>79.341</v>
      </c>
      <c r="Y161">
        <v>1.19389419539672</v>
      </c>
      <c r="Z161">
        <v>79.341</v>
      </c>
      <c r="AA161">
        <v>1.20813894211849</v>
      </c>
      <c r="AB161">
        <v>79.341</v>
      </c>
      <c r="AC161">
        <v>1.20607702274221</v>
      </c>
      <c r="AD161">
        <v>79.341</v>
      </c>
      <c r="AE161">
        <v>1.18517696811447</v>
      </c>
      <c r="AF161">
        <v>79.341</v>
      </c>
      <c r="AG161">
        <v>1.20687757797696</v>
      </c>
    </row>
    <row r="162" spans="24:33">
      <c r="X162">
        <v>79.84</v>
      </c>
      <c r="Y162">
        <v>1.20061682000075</v>
      </c>
      <c r="Z162">
        <v>79.84</v>
      </c>
      <c r="AA162">
        <v>1.19928274675086</v>
      </c>
      <c r="AB162">
        <v>79.84</v>
      </c>
      <c r="AC162">
        <v>1.20259222039805</v>
      </c>
      <c r="AD162">
        <v>79.84</v>
      </c>
      <c r="AE162">
        <v>1.19809608391604</v>
      </c>
      <c r="AF162">
        <v>79.84</v>
      </c>
      <c r="AG162">
        <v>1.20585862690615</v>
      </c>
    </row>
    <row r="163" spans="24:33">
      <c r="X163">
        <v>80.339</v>
      </c>
      <c r="Y163">
        <v>1.20012173520764</v>
      </c>
      <c r="Z163">
        <v>80.339</v>
      </c>
      <c r="AA163">
        <v>1.20925370555246</v>
      </c>
      <c r="AB163">
        <v>80.339</v>
      </c>
      <c r="AC163">
        <v>1.20568867707936</v>
      </c>
      <c r="AD163">
        <v>80.339</v>
      </c>
      <c r="AE163">
        <v>1.18765998228833</v>
      </c>
      <c r="AF163">
        <v>80.339</v>
      </c>
      <c r="AG163">
        <v>1.20354418650944</v>
      </c>
    </row>
    <row r="164" spans="24:33">
      <c r="X164">
        <v>80.838</v>
      </c>
      <c r="Y164">
        <v>1.19441495789001</v>
      </c>
      <c r="Z164">
        <v>80.838</v>
      </c>
      <c r="AA164">
        <v>1.2045393776305</v>
      </c>
      <c r="AB164">
        <v>80.838</v>
      </c>
      <c r="AC164">
        <v>1.20467641704567</v>
      </c>
      <c r="AD164">
        <v>80.838</v>
      </c>
      <c r="AE164">
        <v>1.19805651532516</v>
      </c>
      <c r="AF164">
        <v>80.838</v>
      </c>
      <c r="AG164">
        <v>1.21024312645799</v>
      </c>
    </row>
    <row r="165" spans="24:33">
      <c r="X165">
        <v>81.337</v>
      </c>
      <c r="Y165">
        <v>1.18866930180436</v>
      </c>
      <c r="Z165">
        <v>81.337</v>
      </c>
      <c r="AA165">
        <v>1.21417856414117</v>
      </c>
      <c r="AB165">
        <v>81.337</v>
      </c>
      <c r="AC165">
        <v>1.20703661173998</v>
      </c>
      <c r="AD165">
        <v>81.337</v>
      </c>
      <c r="AE165">
        <v>1.1874769882589</v>
      </c>
      <c r="AF165">
        <v>81.337</v>
      </c>
      <c r="AG165">
        <v>1.21056807202475</v>
      </c>
    </row>
    <row r="166" spans="24:33">
      <c r="X166">
        <v>81.836</v>
      </c>
      <c r="Y166">
        <v>1.20595133071625</v>
      </c>
      <c r="Z166">
        <v>81.836</v>
      </c>
      <c r="AA166">
        <v>1.21563763103228</v>
      </c>
      <c r="AB166">
        <v>81.836</v>
      </c>
      <c r="AC166">
        <v>1.20897882410448</v>
      </c>
      <c r="AD166">
        <v>81.836</v>
      </c>
      <c r="AE166">
        <v>1.18792191669503</v>
      </c>
      <c r="AF166">
        <v>81.836</v>
      </c>
      <c r="AG166">
        <v>1.21583684417926</v>
      </c>
    </row>
    <row r="167" spans="24:33">
      <c r="X167">
        <v>82.335</v>
      </c>
      <c r="Y167">
        <v>1.19477690674517</v>
      </c>
      <c r="Z167">
        <v>82.335</v>
      </c>
      <c r="AA167">
        <v>1.21749183726909</v>
      </c>
      <c r="AB167">
        <v>82.335</v>
      </c>
      <c r="AC167">
        <v>1.21468107051899</v>
      </c>
      <c r="AD167">
        <v>82.335</v>
      </c>
      <c r="AE167">
        <v>1.18870406700877</v>
      </c>
      <c r="AF167">
        <v>82.335</v>
      </c>
      <c r="AG167">
        <v>1.21490929598241</v>
      </c>
    </row>
    <row r="168" spans="24:33">
      <c r="X168">
        <v>82.834</v>
      </c>
      <c r="Y168">
        <v>1.19560502776592</v>
      </c>
      <c r="Z168">
        <v>82.834</v>
      </c>
      <c r="AA168">
        <v>1.21290809839151</v>
      </c>
      <c r="AB168">
        <v>82.834</v>
      </c>
      <c r="AC168">
        <v>1.21483569358211</v>
      </c>
      <c r="AD168">
        <v>82.834</v>
      </c>
      <c r="AE168">
        <v>1.19382135051003</v>
      </c>
      <c r="AF168">
        <v>82.834</v>
      </c>
      <c r="AG168">
        <v>1.22525188801729</v>
      </c>
    </row>
    <row r="169" spans="24:33">
      <c r="X169">
        <v>83.333</v>
      </c>
      <c r="Y169">
        <v>1.19097519468696</v>
      </c>
      <c r="Z169">
        <v>83.333</v>
      </c>
      <c r="AA169">
        <v>1.20876819889735</v>
      </c>
      <c r="AB169">
        <v>83.333</v>
      </c>
      <c r="AC169">
        <v>1.21430834795322</v>
      </c>
      <c r="AD169">
        <v>83.333</v>
      </c>
      <c r="AE169">
        <v>1.1988732643457</v>
      </c>
      <c r="AF169">
        <v>83.333</v>
      </c>
      <c r="AG169">
        <v>1.21573986722129</v>
      </c>
    </row>
    <row r="170" spans="24:33">
      <c r="X170">
        <v>83.832</v>
      </c>
      <c r="Y170">
        <v>1.18282754557289</v>
      </c>
      <c r="Z170">
        <v>83.832</v>
      </c>
      <c r="AA170">
        <v>1.20176151164469</v>
      </c>
      <c r="AB170">
        <v>83.832</v>
      </c>
      <c r="AC170">
        <v>1.20451341535093</v>
      </c>
      <c r="AD170">
        <v>83.832</v>
      </c>
      <c r="AE170">
        <v>1.19878019962257</v>
      </c>
      <c r="AF170">
        <v>83.832</v>
      </c>
      <c r="AG170">
        <v>1.21317094510238</v>
      </c>
    </row>
    <row r="171" spans="24:33">
      <c r="X171">
        <v>84.331</v>
      </c>
      <c r="Y171">
        <v>1.18985213555215</v>
      </c>
      <c r="Z171">
        <v>84.331</v>
      </c>
      <c r="AA171">
        <v>1.20807269119257</v>
      </c>
      <c r="AB171">
        <v>84.331</v>
      </c>
      <c r="AC171">
        <v>1.20187591992334</v>
      </c>
      <c r="AD171">
        <v>84.331</v>
      </c>
      <c r="AE171">
        <v>1.20123864480714</v>
      </c>
      <c r="AF171">
        <v>84.331</v>
      </c>
      <c r="AG171">
        <v>1.2163213492651</v>
      </c>
    </row>
    <row r="172" spans="24:33">
      <c r="X172">
        <v>84.83</v>
      </c>
      <c r="Y172">
        <v>1.19942088018868</v>
      </c>
      <c r="Z172">
        <v>84.83</v>
      </c>
      <c r="AA172">
        <v>1.2222537873494</v>
      </c>
      <c r="AB172">
        <v>84.83</v>
      </c>
      <c r="AC172">
        <v>1.19837654435293</v>
      </c>
      <c r="AD172">
        <v>84.83</v>
      </c>
      <c r="AE172">
        <v>1.18900013239574</v>
      </c>
      <c r="AF172">
        <v>84.83</v>
      </c>
      <c r="AG172">
        <v>1.21683461199396</v>
      </c>
    </row>
    <row r="173" spans="24:33">
      <c r="X173">
        <v>85.329</v>
      </c>
      <c r="Y173">
        <v>1.19863726768085</v>
      </c>
      <c r="Z173">
        <v>85.329</v>
      </c>
      <c r="AA173">
        <v>1.21999498584635</v>
      </c>
      <c r="AB173">
        <v>85.329</v>
      </c>
      <c r="AC173">
        <v>1.1991074241578</v>
      </c>
      <c r="AD173">
        <v>85.329</v>
      </c>
      <c r="AE173">
        <v>1.1937838084411</v>
      </c>
      <c r="AF173">
        <v>85.329</v>
      </c>
      <c r="AG173">
        <v>1.2078264071386</v>
      </c>
    </row>
    <row r="174" spans="24:33">
      <c r="X174">
        <v>85.828</v>
      </c>
      <c r="Y174">
        <v>1.19238005226073</v>
      </c>
      <c r="Z174">
        <v>85.828</v>
      </c>
      <c r="AA174">
        <v>1.21355266858464</v>
      </c>
      <c r="AB174">
        <v>85.828</v>
      </c>
      <c r="AC174">
        <v>1.20296391757061</v>
      </c>
      <c r="AD174">
        <v>85.828</v>
      </c>
      <c r="AE174">
        <v>1.19033929463777</v>
      </c>
      <c r="AF174">
        <v>85.828</v>
      </c>
      <c r="AG174">
        <v>1.19779334511159</v>
      </c>
    </row>
    <row r="175" spans="24:33">
      <c r="X175">
        <v>86.327</v>
      </c>
      <c r="Y175">
        <v>1.19578815019991</v>
      </c>
      <c r="Z175">
        <v>86.327</v>
      </c>
      <c r="AA175">
        <v>1.21115965642683</v>
      </c>
      <c r="AB175">
        <v>86.327</v>
      </c>
      <c r="AC175">
        <v>1.21010703535897</v>
      </c>
      <c r="AD175">
        <v>86.327</v>
      </c>
      <c r="AE175">
        <v>1.18781042174958</v>
      </c>
      <c r="AF175">
        <v>86.327</v>
      </c>
      <c r="AG175">
        <v>1.19893655107251</v>
      </c>
    </row>
    <row r="176" spans="24:33">
      <c r="X176">
        <v>86.826</v>
      </c>
      <c r="Y176">
        <v>1.20179147384696</v>
      </c>
      <c r="Z176">
        <v>86.826</v>
      </c>
      <c r="AA176">
        <v>1.20990042729586</v>
      </c>
      <c r="AB176">
        <v>86.826</v>
      </c>
      <c r="AC176">
        <v>1.20331493496313</v>
      </c>
      <c r="AD176">
        <v>86.826</v>
      </c>
      <c r="AE176">
        <v>1.19661253187047</v>
      </c>
      <c r="AF176">
        <v>86.826</v>
      </c>
      <c r="AG176">
        <v>1.2019258850443</v>
      </c>
    </row>
    <row r="177" spans="24:33">
      <c r="X177">
        <v>87.325</v>
      </c>
      <c r="Y177">
        <v>1.20170654474191</v>
      </c>
      <c r="Z177">
        <v>87.325</v>
      </c>
      <c r="AA177">
        <v>1.21612418382444</v>
      </c>
      <c r="AB177">
        <v>87.325</v>
      </c>
      <c r="AC177">
        <v>1.21686706583773</v>
      </c>
      <c r="AD177">
        <v>87.325</v>
      </c>
      <c r="AE177">
        <v>1.20017152461279</v>
      </c>
      <c r="AF177">
        <v>87.325</v>
      </c>
      <c r="AG177">
        <v>1.2045958791216</v>
      </c>
    </row>
    <row r="178" spans="24:33">
      <c r="X178">
        <v>87.824</v>
      </c>
      <c r="Y178">
        <v>1.19327558760135</v>
      </c>
      <c r="Z178">
        <v>87.824</v>
      </c>
      <c r="AA178">
        <v>1.22109138084462</v>
      </c>
      <c r="AB178">
        <v>87.824</v>
      </c>
      <c r="AC178">
        <v>1.22317274933431</v>
      </c>
      <c r="AD178">
        <v>87.824</v>
      </c>
      <c r="AE178">
        <v>1.19535716847214</v>
      </c>
      <c r="AF178">
        <v>87.824</v>
      </c>
      <c r="AG178">
        <v>1.21243575388589</v>
      </c>
    </row>
    <row r="179" spans="24:33">
      <c r="X179">
        <v>88.323</v>
      </c>
      <c r="Y179">
        <v>1.19718208921368</v>
      </c>
      <c r="Z179">
        <v>88.323</v>
      </c>
      <c r="AA179">
        <v>1.21467240976424</v>
      </c>
      <c r="AB179">
        <v>88.323</v>
      </c>
      <c r="AC179">
        <v>1.21842130543438</v>
      </c>
      <c r="AD179">
        <v>88.323</v>
      </c>
      <c r="AE179">
        <v>1.19180253192743</v>
      </c>
      <c r="AF179">
        <v>88.323</v>
      </c>
      <c r="AG179">
        <v>1.20515647407222</v>
      </c>
    </row>
    <row r="180" spans="24:33">
      <c r="X180">
        <v>88.822</v>
      </c>
      <c r="Y180">
        <v>1.19852872232668</v>
      </c>
      <c r="Z180">
        <v>88.822</v>
      </c>
      <c r="AA180">
        <v>1.21525329911022</v>
      </c>
      <c r="AB180">
        <v>88.822</v>
      </c>
      <c r="AC180">
        <v>1.21202193577929</v>
      </c>
      <c r="AD180">
        <v>88.822</v>
      </c>
      <c r="AE180">
        <v>1.19410489111376</v>
      </c>
      <c r="AF180">
        <v>88.822</v>
      </c>
      <c r="AG180">
        <v>1.20220011682438</v>
      </c>
    </row>
    <row r="181" spans="24:33">
      <c r="X181">
        <v>89.321</v>
      </c>
      <c r="Y181">
        <v>1.20678916233817</v>
      </c>
      <c r="Z181">
        <v>89.321</v>
      </c>
      <c r="AA181">
        <v>1.21305432466033</v>
      </c>
      <c r="AB181">
        <v>89.321</v>
      </c>
      <c r="AC181">
        <v>1.21899539220001</v>
      </c>
      <c r="AD181">
        <v>89.321</v>
      </c>
      <c r="AE181">
        <v>1.20107157806455</v>
      </c>
      <c r="AF181">
        <v>89.321</v>
      </c>
      <c r="AG181">
        <v>1.19420912824315</v>
      </c>
    </row>
    <row r="182" spans="24:33">
      <c r="X182">
        <v>89.82</v>
      </c>
      <c r="Y182">
        <v>1.21273290980269</v>
      </c>
      <c r="Z182">
        <v>89.82</v>
      </c>
      <c r="AA182">
        <v>1.20989192625393</v>
      </c>
      <c r="AB182">
        <v>89.82</v>
      </c>
      <c r="AC182">
        <v>1.21359357777617</v>
      </c>
      <c r="AD182">
        <v>89.82</v>
      </c>
      <c r="AE182">
        <v>1.18742593987603</v>
      </c>
      <c r="AF182">
        <v>89.82</v>
      </c>
      <c r="AG182">
        <v>1.20179051992274</v>
      </c>
    </row>
    <row r="183" spans="24:33">
      <c r="X183">
        <v>90.319</v>
      </c>
      <c r="Y183">
        <v>1.21158551791077</v>
      </c>
      <c r="Z183">
        <v>90.319</v>
      </c>
      <c r="AA183">
        <v>1.21729731266988</v>
      </c>
      <c r="AB183">
        <v>90.319</v>
      </c>
      <c r="AC183">
        <v>1.22325002225463</v>
      </c>
      <c r="AD183">
        <v>90.319</v>
      </c>
      <c r="AE183">
        <v>1.19459024385729</v>
      </c>
      <c r="AF183">
        <v>90.319</v>
      </c>
      <c r="AG183">
        <v>1.19819283554847</v>
      </c>
    </row>
    <row r="184" spans="24:33">
      <c r="X184">
        <v>90.818</v>
      </c>
      <c r="Y184">
        <v>1.20367097094129</v>
      </c>
      <c r="Z184">
        <v>90.818</v>
      </c>
      <c r="AA184">
        <v>1.19919016584166</v>
      </c>
      <c r="AB184">
        <v>90.818</v>
      </c>
      <c r="AC184">
        <v>1.22355297060786</v>
      </c>
      <c r="AD184">
        <v>90.818</v>
      </c>
      <c r="AE184">
        <v>1.19875337220703</v>
      </c>
      <c r="AF184">
        <v>90.818</v>
      </c>
      <c r="AG184">
        <v>1.19659854222537</v>
      </c>
    </row>
    <row r="185" spans="24:33">
      <c r="X185">
        <v>91.317</v>
      </c>
      <c r="Y185">
        <v>1.20629959715907</v>
      </c>
      <c r="Z185">
        <v>91.317</v>
      </c>
      <c r="AA185">
        <v>1.2140571242598</v>
      </c>
      <c r="AB185">
        <v>91.317</v>
      </c>
      <c r="AC185">
        <v>1.22379140150444</v>
      </c>
      <c r="AD185">
        <v>91.317</v>
      </c>
      <c r="AE185">
        <v>1.21329992550955</v>
      </c>
      <c r="AF185">
        <v>91.317</v>
      </c>
      <c r="AG185">
        <v>1.20046836807824</v>
      </c>
    </row>
    <row r="186" spans="24:33">
      <c r="X186">
        <v>91.816</v>
      </c>
      <c r="Y186">
        <v>1.2083396895515</v>
      </c>
      <c r="Z186">
        <v>91.816</v>
      </c>
      <c r="AA186">
        <v>1.21712854253126</v>
      </c>
      <c r="AB186">
        <v>91.816</v>
      </c>
      <c r="AC186">
        <v>1.21908641569943</v>
      </c>
      <c r="AD186">
        <v>91.816</v>
      </c>
      <c r="AE186">
        <v>1.21952641083437</v>
      </c>
      <c r="AF186">
        <v>91.816</v>
      </c>
      <c r="AG186">
        <v>1.20143587874243</v>
      </c>
    </row>
    <row r="187" spans="24:33">
      <c r="X187">
        <v>92.315</v>
      </c>
      <c r="Y187">
        <v>1.2117344785649</v>
      </c>
      <c r="Z187">
        <v>92.315</v>
      </c>
      <c r="AA187">
        <v>1.20851487114742</v>
      </c>
      <c r="AB187">
        <v>92.315</v>
      </c>
      <c r="AC187">
        <v>1.22679730487431</v>
      </c>
      <c r="AD187">
        <v>92.315</v>
      </c>
      <c r="AE187">
        <v>1.21189403557158</v>
      </c>
      <c r="AF187">
        <v>92.315</v>
      </c>
      <c r="AG187">
        <v>1.20423423374006</v>
      </c>
    </row>
    <row r="188" spans="24:33">
      <c r="X188">
        <v>92.814</v>
      </c>
      <c r="Y188">
        <v>1.21182705318326</v>
      </c>
      <c r="Z188">
        <v>92.814</v>
      </c>
      <c r="AA188">
        <v>1.21707688209307</v>
      </c>
      <c r="AB188">
        <v>92.814</v>
      </c>
      <c r="AC188">
        <v>1.22775847451592</v>
      </c>
      <c r="AD188">
        <v>92.814</v>
      </c>
      <c r="AE188">
        <v>1.20600904622788</v>
      </c>
      <c r="AF188">
        <v>92.814</v>
      </c>
      <c r="AG188">
        <v>1.20222370421467</v>
      </c>
    </row>
    <row r="189" spans="24:33">
      <c r="X189">
        <v>93.313</v>
      </c>
      <c r="Y189">
        <v>1.20284868339851</v>
      </c>
      <c r="Z189">
        <v>93.313</v>
      </c>
      <c r="AA189">
        <v>1.21717035785931</v>
      </c>
      <c r="AB189">
        <v>93.313</v>
      </c>
      <c r="AC189">
        <v>1.22077565175622</v>
      </c>
      <c r="AD189">
        <v>93.313</v>
      </c>
      <c r="AE189">
        <v>1.20046503968593</v>
      </c>
      <c r="AF189">
        <v>93.313</v>
      </c>
      <c r="AG189">
        <v>1.20331691249385</v>
      </c>
    </row>
    <row r="190" spans="24:33">
      <c r="X190">
        <v>93.812</v>
      </c>
      <c r="Y190">
        <v>1.20010889570894</v>
      </c>
      <c r="Z190">
        <v>93.812</v>
      </c>
      <c r="AA190">
        <v>1.21437288392617</v>
      </c>
      <c r="AB190">
        <v>93.812</v>
      </c>
      <c r="AC190">
        <v>1.21805034790395</v>
      </c>
      <c r="AD190">
        <v>93.812</v>
      </c>
      <c r="AE190">
        <v>1.2112689692504</v>
      </c>
      <c r="AF190">
        <v>93.812</v>
      </c>
      <c r="AG190">
        <v>1.209585205004</v>
      </c>
    </row>
    <row r="191" spans="24:33">
      <c r="X191">
        <v>94.311</v>
      </c>
      <c r="Y191">
        <v>1.20845289213318</v>
      </c>
      <c r="Z191">
        <v>94.311</v>
      </c>
      <c r="AA191">
        <v>1.20853522679755</v>
      </c>
      <c r="AB191">
        <v>94.311</v>
      </c>
      <c r="AC191">
        <v>1.21513283612481</v>
      </c>
      <c r="AD191">
        <v>94.311</v>
      </c>
      <c r="AE191">
        <v>1.2125219264121</v>
      </c>
      <c r="AF191">
        <v>94.311</v>
      </c>
      <c r="AG191">
        <v>1.20425725358683</v>
      </c>
    </row>
    <row r="192" spans="24:33">
      <c r="X192">
        <v>94.81</v>
      </c>
      <c r="Y192">
        <v>1.2120601761626</v>
      </c>
      <c r="Z192">
        <v>94.81</v>
      </c>
      <c r="AA192">
        <v>1.20923496331874</v>
      </c>
      <c r="AB192">
        <v>94.81</v>
      </c>
      <c r="AC192">
        <v>1.22068709921495</v>
      </c>
      <c r="AD192">
        <v>94.81</v>
      </c>
      <c r="AE192">
        <v>1.20535368451102</v>
      </c>
      <c r="AF192">
        <v>94.81</v>
      </c>
      <c r="AG192">
        <v>1.20275392982387</v>
      </c>
    </row>
    <row r="193" spans="24:33">
      <c r="X193">
        <v>95.309</v>
      </c>
      <c r="Y193">
        <v>1.20987788194266</v>
      </c>
      <c r="Z193">
        <v>95.309</v>
      </c>
      <c r="AA193">
        <v>1.209271860007</v>
      </c>
      <c r="AB193">
        <v>95.309</v>
      </c>
      <c r="AC193">
        <v>1.22213029714784</v>
      </c>
      <c r="AD193">
        <v>95.309</v>
      </c>
      <c r="AE193">
        <v>1.20903060666</v>
      </c>
      <c r="AF193">
        <v>95.309</v>
      </c>
      <c r="AG193">
        <v>1.20698370416005</v>
      </c>
    </row>
    <row r="194" spans="24:33">
      <c r="X194">
        <v>95.808</v>
      </c>
      <c r="Y194">
        <v>1.20738783769924</v>
      </c>
      <c r="Z194">
        <v>95.808</v>
      </c>
      <c r="AA194">
        <v>1.20630882579399</v>
      </c>
      <c r="AB194">
        <v>95.808</v>
      </c>
      <c r="AC194">
        <v>1.21227787388908</v>
      </c>
      <c r="AD194">
        <v>95.808</v>
      </c>
      <c r="AE194">
        <v>1.20810099093976</v>
      </c>
      <c r="AF194">
        <v>95.808</v>
      </c>
      <c r="AG194">
        <v>1.20753010858496</v>
      </c>
    </row>
    <row r="195" spans="24:33">
      <c r="X195">
        <v>96.307</v>
      </c>
      <c r="Y195">
        <v>1.20348006502507</v>
      </c>
      <c r="Z195">
        <v>96.307</v>
      </c>
      <c r="AA195">
        <v>1.21376747378</v>
      </c>
      <c r="AB195">
        <v>96.307</v>
      </c>
      <c r="AC195">
        <v>1.21453588144957</v>
      </c>
      <c r="AD195">
        <v>96.307</v>
      </c>
      <c r="AE195">
        <v>1.20876147345876</v>
      </c>
      <c r="AF195">
        <v>96.307</v>
      </c>
      <c r="AG195">
        <v>1.20512137213528</v>
      </c>
    </row>
    <row r="196" spans="24:33">
      <c r="X196">
        <v>96.806</v>
      </c>
      <c r="Y196">
        <v>1.21522437305501</v>
      </c>
      <c r="Z196">
        <v>96.806</v>
      </c>
      <c r="AA196">
        <v>1.21447603445422</v>
      </c>
      <c r="AB196">
        <v>96.806</v>
      </c>
      <c r="AC196">
        <v>1.2148523503798</v>
      </c>
      <c r="AD196">
        <v>96.806</v>
      </c>
      <c r="AE196">
        <v>1.21227780063699</v>
      </c>
      <c r="AF196">
        <v>96.806</v>
      </c>
      <c r="AG196">
        <v>1.20588185264355</v>
      </c>
    </row>
    <row r="197" spans="24:33">
      <c r="X197">
        <v>97.305</v>
      </c>
      <c r="Y197">
        <v>1.21027912346376</v>
      </c>
      <c r="Z197">
        <v>97.305</v>
      </c>
      <c r="AA197">
        <v>1.22092715558564</v>
      </c>
      <c r="AB197">
        <v>97.305</v>
      </c>
      <c r="AC197">
        <v>1.20980743289156</v>
      </c>
      <c r="AD197">
        <v>97.305</v>
      </c>
      <c r="AE197">
        <v>1.20847105759327</v>
      </c>
      <c r="AF197">
        <v>97.305</v>
      </c>
      <c r="AG197">
        <v>1.19710924752449</v>
      </c>
    </row>
    <row r="198" spans="24:33">
      <c r="X198">
        <v>97.804</v>
      </c>
      <c r="Y198">
        <v>1.20614504973861</v>
      </c>
      <c r="Z198">
        <v>97.804</v>
      </c>
      <c r="AA198">
        <v>1.22517950863156</v>
      </c>
      <c r="AB198">
        <v>97.804</v>
      </c>
      <c r="AC198">
        <v>1.21811135663759</v>
      </c>
      <c r="AD198">
        <v>97.804</v>
      </c>
      <c r="AE198">
        <v>1.20715952335364</v>
      </c>
      <c r="AF198">
        <v>97.804</v>
      </c>
      <c r="AG198">
        <v>1.19938365376426</v>
      </c>
    </row>
    <row r="199" spans="24:33">
      <c r="X199">
        <v>98.303</v>
      </c>
      <c r="Y199">
        <v>1.20934368447026</v>
      </c>
      <c r="Z199">
        <v>98.303</v>
      </c>
      <c r="AA199">
        <v>1.21729761584659</v>
      </c>
      <c r="AB199">
        <v>98.303</v>
      </c>
      <c r="AC199">
        <v>1.21355789605316</v>
      </c>
      <c r="AD199">
        <v>98.303</v>
      </c>
      <c r="AE199">
        <v>1.20584398244736</v>
      </c>
      <c r="AF199">
        <v>98.303</v>
      </c>
      <c r="AG199">
        <v>1.2062064496237</v>
      </c>
    </row>
    <row r="200" spans="24:33">
      <c r="X200">
        <v>98.802</v>
      </c>
      <c r="Y200">
        <v>1.21344000910027</v>
      </c>
      <c r="Z200">
        <v>98.802</v>
      </c>
      <c r="AA200">
        <v>1.20977174771135</v>
      </c>
      <c r="AB200">
        <v>98.802</v>
      </c>
      <c r="AC200">
        <v>1.21343927530675</v>
      </c>
      <c r="AD200">
        <v>98.802</v>
      </c>
      <c r="AE200">
        <v>1.20759576593543</v>
      </c>
      <c r="AF200">
        <v>98.802</v>
      </c>
      <c r="AG200">
        <v>1.19809408217611</v>
      </c>
    </row>
    <row r="201" spans="24:33">
      <c r="X201">
        <v>99.301</v>
      </c>
      <c r="Y201">
        <v>1.21469034437585</v>
      </c>
      <c r="Z201">
        <v>99.301</v>
      </c>
      <c r="AA201">
        <v>1.21054163897641</v>
      </c>
      <c r="AB201">
        <v>99.301</v>
      </c>
      <c r="AC201">
        <v>1.2125230432705</v>
      </c>
      <c r="AD201">
        <v>99.301</v>
      </c>
      <c r="AE201">
        <v>1.21628005934356</v>
      </c>
      <c r="AF201">
        <v>99.301</v>
      </c>
      <c r="AG201">
        <v>1.20779361074401</v>
      </c>
    </row>
    <row r="202" spans="24:33">
      <c r="X202">
        <v>99.8</v>
      </c>
      <c r="Y202">
        <v>1.20912336114885</v>
      </c>
      <c r="Z202">
        <v>99.8</v>
      </c>
      <c r="AA202">
        <v>1.20307716273728</v>
      </c>
      <c r="AB202">
        <v>99.8</v>
      </c>
      <c r="AC202">
        <v>1.20963044062133</v>
      </c>
      <c r="AD202">
        <v>99.8</v>
      </c>
      <c r="AE202">
        <v>1.21711122767334</v>
      </c>
      <c r="AF202">
        <v>99.8</v>
      </c>
      <c r="AG202">
        <v>1.19816583998622</v>
      </c>
    </row>
    <row r="203" spans="24:33">
      <c r="X203">
        <v>100.299</v>
      </c>
      <c r="Y203">
        <v>1.21302963959866</v>
      </c>
      <c r="Z203">
        <v>100.299</v>
      </c>
      <c r="AA203">
        <v>1.21056779656116</v>
      </c>
      <c r="AB203">
        <v>100.299</v>
      </c>
      <c r="AC203">
        <v>1.21295614392664</v>
      </c>
      <c r="AD203">
        <v>100.299</v>
      </c>
      <c r="AE203">
        <v>1.2127900062284</v>
      </c>
      <c r="AF203">
        <v>100.299</v>
      </c>
      <c r="AG203">
        <v>1.20889324274724</v>
      </c>
    </row>
    <row r="204" spans="24:33">
      <c r="X204">
        <v>100.798</v>
      </c>
      <c r="Y204">
        <v>1.20243442989733</v>
      </c>
      <c r="Z204">
        <v>100.798</v>
      </c>
      <c r="AA204">
        <v>1.21156893764717</v>
      </c>
      <c r="AB204">
        <v>100.798</v>
      </c>
      <c r="AC204">
        <v>1.20869644286449</v>
      </c>
      <c r="AD204">
        <v>100.798</v>
      </c>
      <c r="AE204">
        <v>1.21230895779708</v>
      </c>
      <c r="AF204">
        <v>100.798</v>
      </c>
      <c r="AG204">
        <v>1.20150776426823</v>
      </c>
    </row>
    <row r="205" spans="24:33">
      <c r="X205">
        <v>101.297</v>
      </c>
      <c r="Y205">
        <v>1.21304666210885</v>
      </c>
      <c r="Z205">
        <v>101.297</v>
      </c>
      <c r="AA205">
        <v>1.20491071086884</v>
      </c>
      <c r="AB205">
        <v>101.297</v>
      </c>
      <c r="AC205">
        <v>1.21120063180802</v>
      </c>
      <c r="AD205">
        <v>101.297</v>
      </c>
      <c r="AE205">
        <v>1.21030871986013</v>
      </c>
      <c r="AF205">
        <v>101.297</v>
      </c>
      <c r="AG205">
        <v>1.20515935155242</v>
      </c>
    </row>
    <row r="206" spans="24:33">
      <c r="X206">
        <v>101.796</v>
      </c>
      <c r="Y206">
        <v>1.21794655958639</v>
      </c>
      <c r="Z206">
        <v>101.796</v>
      </c>
      <c r="AA206">
        <v>1.21067733439345</v>
      </c>
      <c r="AB206">
        <v>101.796</v>
      </c>
      <c r="AC206">
        <v>1.21766688464928</v>
      </c>
      <c r="AD206">
        <v>101.796</v>
      </c>
      <c r="AE206">
        <v>1.20548820368549</v>
      </c>
      <c r="AF206">
        <v>101.796</v>
      </c>
      <c r="AG206">
        <v>1.21366196935253</v>
      </c>
    </row>
    <row r="207" spans="24:33">
      <c r="X207">
        <v>102.295</v>
      </c>
      <c r="Y207">
        <v>1.21710386222946</v>
      </c>
      <c r="Z207">
        <v>102.295</v>
      </c>
      <c r="AA207">
        <v>1.21474937452118</v>
      </c>
      <c r="AB207">
        <v>102.295</v>
      </c>
      <c r="AC207">
        <v>1.20998262403965</v>
      </c>
      <c r="AD207">
        <v>102.295</v>
      </c>
      <c r="AE207">
        <v>1.2138540117217</v>
      </c>
      <c r="AF207">
        <v>102.295</v>
      </c>
      <c r="AG207">
        <v>1.20109527414279</v>
      </c>
    </row>
    <row r="208" spans="24:33">
      <c r="X208">
        <v>102.794</v>
      </c>
      <c r="Y208">
        <v>1.21320857673717</v>
      </c>
      <c r="Z208">
        <v>102.794</v>
      </c>
      <c r="AA208">
        <v>1.22125425543901</v>
      </c>
      <c r="AB208">
        <v>102.794</v>
      </c>
      <c r="AC208">
        <v>1.21858283934648</v>
      </c>
      <c r="AD208">
        <v>102.794</v>
      </c>
      <c r="AE208">
        <v>1.21843194378856</v>
      </c>
      <c r="AF208">
        <v>102.794</v>
      </c>
      <c r="AG208">
        <v>1.20967582818114</v>
      </c>
    </row>
    <row r="209" spans="24:33">
      <c r="X209">
        <v>103.293</v>
      </c>
      <c r="Y209">
        <v>1.20644897712806</v>
      </c>
      <c r="Z209">
        <v>103.293</v>
      </c>
      <c r="AA209">
        <v>1.21234882606808</v>
      </c>
      <c r="AB209">
        <v>103.293</v>
      </c>
      <c r="AC209">
        <v>1.21815525151876</v>
      </c>
      <c r="AD209">
        <v>103.293</v>
      </c>
      <c r="AE209">
        <v>1.22067524409157</v>
      </c>
      <c r="AF209">
        <v>103.293</v>
      </c>
      <c r="AG209">
        <v>1.21070286001031</v>
      </c>
    </row>
    <row r="210" spans="24:33">
      <c r="X210">
        <v>103.792</v>
      </c>
      <c r="Y210">
        <v>1.20703484421503</v>
      </c>
      <c r="Z210">
        <v>103.792</v>
      </c>
      <c r="AA210">
        <v>1.20882205961668</v>
      </c>
      <c r="AB210">
        <v>103.792</v>
      </c>
      <c r="AC210">
        <v>1.21921507046676</v>
      </c>
      <c r="AD210">
        <v>103.792</v>
      </c>
      <c r="AE210">
        <v>1.21863954553299</v>
      </c>
      <c r="AF210">
        <v>103.792</v>
      </c>
      <c r="AG210">
        <v>1.21728270731584</v>
      </c>
    </row>
    <row r="211" spans="24:33">
      <c r="X211">
        <v>104.291</v>
      </c>
      <c r="Y211">
        <v>1.20899382427463</v>
      </c>
      <c r="Z211">
        <v>104.291</v>
      </c>
      <c r="AA211">
        <v>1.21729054606677</v>
      </c>
      <c r="AB211">
        <v>104.291</v>
      </c>
      <c r="AC211">
        <v>1.22902195138924</v>
      </c>
      <c r="AD211">
        <v>104.291</v>
      </c>
      <c r="AE211">
        <v>1.21397846561892</v>
      </c>
      <c r="AF211">
        <v>104.291</v>
      </c>
      <c r="AG211">
        <v>1.21333505253047</v>
      </c>
    </row>
    <row r="212" spans="24:33">
      <c r="X212">
        <v>104.79</v>
      </c>
      <c r="Y212">
        <v>1.21550357026983</v>
      </c>
      <c r="Z212">
        <v>104.79</v>
      </c>
      <c r="AA212">
        <v>1.21757122176699</v>
      </c>
      <c r="AB212">
        <v>104.79</v>
      </c>
      <c r="AC212">
        <v>1.22369359088596</v>
      </c>
      <c r="AD212">
        <v>104.79</v>
      </c>
      <c r="AE212">
        <v>1.20953063715428</v>
      </c>
      <c r="AF212">
        <v>104.79</v>
      </c>
      <c r="AG212">
        <v>1.208128031248</v>
      </c>
    </row>
    <row r="213" spans="24:33">
      <c r="X213">
        <v>105.289</v>
      </c>
      <c r="Y213">
        <v>1.21776415469689</v>
      </c>
      <c r="Z213">
        <v>105.289</v>
      </c>
      <c r="AA213">
        <v>1.20936456732398</v>
      </c>
      <c r="AB213">
        <v>105.289</v>
      </c>
      <c r="AC213">
        <v>1.23458322707395</v>
      </c>
      <c r="AD213">
        <v>105.289</v>
      </c>
      <c r="AE213">
        <v>1.20816559765345</v>
      </c>
      <c r="AF213">
        <v>105.289</v>
      </c>
      <c r="AG213">
        <v>1.20476293236752</v>
      </c>
    </row>
    <row r="214" spans="24:33">
      <c r="X214">
        <v>105.788</v>
      </c>
      <c r="Y214">
        <v>1.20731298404062</v>
      </c>
      <c r="Z214">
        <v>105.788</v>
      </c>
      <c r="AA214">
        <v>1.21753818266667</v>
      </c>
      <c r="AB214">
        <v>105.788</v>
      </c>
      <c r="AC214">
        <v>1.22320540307111</v>
      </c>
      <c r="AD214">
        <v>105.788</v>
      </c>
      <c r="AE214">
        <v>1.21766902010755</v>
      </c>
      <c r="AF214">
        <v>105.788</v>
      </c>
      <c r="AG214">
        <v>1.1945653949478</v>
      </c>
    </row>
    <row r="215" spans="24:33">
      <c r="X215">
        <v>106.287</v>
      </c>
      <c r="Y215">
        <v>1.21126459515617</v>
      </c>
      <c r="Z215">
        <v>106.287</v>
      </c>
      <c r="AA215">
        <v>1.21008850884374</v>
      </c>
      <c r="AB215">
        <v>106.287</v>
      </c>
      <c r="AC215">
        <v>1.22396362668694</v>
      </c>
      <c r="AD215">
        <v>106.287</v>
      </c>
      <c r="AE215">
        <v>1.22172642524927</v>
      </c>
      <c r="AF215">
        <v>106.287</v>
      </c>
      <c r="AG215">
        <v>1.20271334978652</v>
      </c>
    </row>
    <row r="216" spans="24:33">
      <c r="X216">
        <v>106.786</v>
      </c>
      <c r="Y216">
        <v>1.21329604355047</v>
      </c>
      <c r="Z216">
        <v>106.786</v>
      </c>
      <c r="AA216">
        <v>1.20689535217262</v>
      </c>
      <c r="AB216">
        <v>106.786</v>
      </c>
      <c r="AC216">
        <v>1.22411496294327</v>
      </c>
      <c r="AD216">
        <v>106.786</v>
      </c>
      <c r="AE216">
        <v>1.21487557709785</v>
      </c>
      <c r="AF216">
        <v>106.786</v>
      </c>
      <c r="AG216">
        <v>1.19815222849174</v>
      </c>
    </row>
    <row r="217" spans="24:33">
      <c r="X217">
        <v>107.285</v>
      </c>
      <c r="Y217">
        <v>1.21424532233666</v>
      </c>
      <c r="Z217">
        <v>107.285</v>
      </c>
      <c r="AA217">
        <v>1.21596995451253</v>
      </c>
      <c r="AB217">
        <v>107.285</v>
      </c>
      <c r="AC217">
        <v>1.22653043090654</v>
      </c>
      <c r="AD217">
        <v>107.285</v>
      </c>
      <c r="AE217">
        <v>1.21201183318306</v>
      </c>
      <c r="AF217">
        <v>107.285</v>
      </c>
      <c r="AG217">
        <v>1.19559979679395</v>
      </c>
    </row>
    <row r="218" spans="24:33">
      <c r="X218">
        <v>107.784</v>
      </c>
      <c r="Y218">
        <v>1.21202574167658</v>
      </c>
      <c r="Z218">
        <v>107.784</v>
      </c>
      <c r="AA218">
        <v>1.2143787679245</v>
      </c>
      <c r="AB218">
        <v>107.784</v>
      </c>
      <c r="AC218">
        <v>1.22447082543981</v>
      </c>
      <c r="AD218">
        <v>107.784</v>
      </c>
      <c r="AE218">
        <v>1.21954249239884</v>
      </c>
      <c r="AF218">
        <v>107.784</v>
      </c>
      <c r="AG218">
        <v>1.20393611179893</v>
      </c>
    </row>
    <row r="219" spans="24:33">
      <c r="X219">
        <v>108.283</v>
      </c>
      <c r="Y219">
        <v>1.20568453704571</v>
      </c>
      <c r="Z219">
        <v>108.283</v>
      </c>
      <c r="AA219">
        <v>1.21622851002441</v>
      </c>
      <c r="AB219">
        <v>108.283</v>
      </c>
      <c r="AC219">
        <v>1.22764139494434</v>
      </c>
      <c r="AD219">
        <v>108.283</v>
      </c>
      <c r="AE219">
        <v>1.20576351527941</v>
      </c>
      <c r="AF219">
        <v>108.283</v>
      </c>
      <c r="AG219">
        <v>1.19782244137535</v>
      </c>
    </row>
    <row r="220" spans="24:33">
      <c r="X220">
        <v>108.782</v>
      </c>
      <c r="Y220">
        <v>1.20390280165493</v>
      </c>
      <c r="Z220">
        <v>108.782</v>
      </c>
      <c r="AA220">
        <v>1.21697093918044</v>
      </c>
      <c r="AB220">
        <v>108.782</v>
      </c>
      <c r="AC220">
        <v>1.21715396682642</v>
      </c>
      <c r="AD220">
        <v>108.782</v>
      </c>
      <c r="AE220">
        <v>1.20624976812542</v>
      </c>
      <c r="AF220">
        <v>108.782</v>
      </c>
      <c r="AG220">
        <v>1.20542518785941</v>
      </c>
    </row>
    <row r="221" spans="24:33">
      <c r="X221">
        <v>109.281</v>
      </c>
      <c r="Y221">
        <v>1.20905837864742</v>
      </c>
      <c r="Z221">
        <v>109.281</v>
      </c>
      <c r="AA221">
        <v>1.21687253399548</v>
      </c>
      <c r="AB221">
        <v>109.281</v>
      </c>
      <c r="AC221">
        <v>1.22412839380077</v>
      </c>
      <c r="AD221">
        <v>109.281</v>
      </c>
      <c r="AE221">
        <v>1.210002162976</v>
      </c>
      <c r="AF221">
        <v>109.281</v>
      </c>
      <c r="AG221">
        <v>1.21657024436719</v>
      </c>
    </row>
    <row r="222" spans="24:33">
      <c r="X222">
        <v>109.78</v>
      </c>
      <c r="Y222">
        <v>1.20803913899249</v>
      </c>
      <c r="Z222">
        <v>109.78</v>
      </c>
      <c r="AA222">
        <v>1.21337970893285</v>
      </c>
      <c r="AB222">
        <v>109.78</v>
      </c>
      <c r="AC222">
        <v>1.22858288069895</v>
      </c>
      <c r="AD222">
        <v>109.78</v>
      </c>
      <c r="AE222">
        <v>1.21310540462725</v>
      </c>
      <c r="AF222">
        <v>109.78</v>
      </c>
      <c r="AG222">
        <v>1.21182404718517</v>
      </c>
    </row>
    <row r="223" spans="24:33">
      <c r="X223">
        <v>110.279</v>
      </c>
      <c r="Y223">
        <v>1.2068451756228</v>
      </c>
      <c r="Z223">
        <v>110.279</v>
      </c>
      <c r="AA223">
        <v>1.21709865302257</v>
      </c>
      <c r="AB223">
        <v>110.279</v>
      </c>
      <c r="AC223">
        <v>1.22033693860691</v>
      </c>
      <c r="AD223">
        <v>110.279</v>
      </c>
      <c r="AE223">
        <v>1.21712303043163</v>
      </c>
      <c r="AF223">
        <v>110.279</v>
      </c>
      <c r="AG223">
        <v>1.22084593059558</v>
      </c>
    </row>
    <row r="224" spans="24:33">
      <c r="X224">
        <v>110.778</v>
      </c>
      <c r="Y224">
        <v>1.204256690814</v>
      </c>
      <c r="Z224">
        <v>110.778</v>
      </c>
      <c r="AA224">
        <v>1.20939179221974</v>
      </c>
      <c r="AB224">
        <v>110.778</v>
      </c>
      <c r="AC224">
        <v>1.2209676679004</v>
      </c>
      <c r="AD224">
        <v>110.778</v>
      </c>
      <c r="AE224">
        <v>1.22375274369426</v>
      </c>
      <c r="AF224">
        <v>110.778</v>
      </c>
      <c r="AG224">
        <v>1.21847307966026</v>
      </c>
    </row>
    <row r="225" spans="24:33">
      <c r="X225">
        <v>111.277</v>
      </c>
      <c r="Y225">
        <v>1.20611462054593</v>
      </c>
      <c r="Z225">
        <v>111.277</v>
      </c>
      <c r="AA225">
        <v>1.21261472262076</v>
      </c>
      <c r="AB225">
        <v>111.277</v>
      </c>
      <c r="AC225">
        <v>1.21690040494202</v>
      </c>
      <c r="AD225">
        <v>111.277</v>
      </c>
      <c r="AE225">
        <v>1.22072334010466</v>
      </c>
      <c r="AF225">
        <v>111.277</v>
      </c>
      <c r="AG225">
        <v>1.21696793380162</v>
      </c>
    </row>
    <row r="226" spans="24:33">
      <c r="X226">
        <v>111.776</v>
      </c>
      <c r="Y226">
        <v>1.21178968603396</v>
      </c>
      <c r="Z226">
        <v>111.776</v>
      </c>
      <c r="AA226">
        <v>1.22365166981425</v>
      </c>
      <c r="AB226">
        <v>111.776</v>
      </c>
      <c r="AC226">
        <v>1.22262316460674</v>
      </c>
      <c r="AD226">
        <v>111.776</v>
      </c>
      <c r="AE226">
        <v>1.21293110709948</v>
      </c>
      <c r="AF226">
        <v>111.776</v>
      </c>
      <c r="AG226">
        <v>1.21489245911972</v>
      </c>
    </row>
    <row r="227" spans="24:33">
      <c r="X227">
        <v>112.275</v>
      </c>
      <c r="Y227">
        <v>1.2097300268507</v>
      </c>
      <c r="Z227">
        <v>112.275</v>
      </c>
      <c r="AA227">
        <v>1.21203803741599</v>
      </c>
      <c r="AB227">
        <v>112.275</v>
      </c>
      <c r="AC227">
        <v>1.22189310887771</v>
      </c>
      <c r="AD227">
        <v>112.275</v>
      </c>
      <c r="AE227">
        <v>1.22090278204378</v>
      </c>
      <c r="AF227">
        <v>112.275</v>
      </c>
      <c r="AG227">
        <v>1.2133734406895</v>
      </c>
    </row>
    <row r="228" spans="24:33">
      <c r="X228">
        <v>112.774</v>
      </c>
      <c r="Y228">
        <v>1.19884094445612</v>
      </c>
      <c r="Z228">
        <v>112.774</v>
      </c>
      <c r="AA228">
        <v>1.21163938472254</v>
      </c>
      <c r="AB228">
        <v>112.774</v>
      </c>
      <c r="AC228">
        <v>1.22402579408655</v>
      </c>
      <c r="AD228">
        <v>112.774</v>
      </c>
      <c r="AE228">
        <v>1.2086240267684</v>
      </c>
      <c r="AF228">
        <v>112.774</v>
      </c>
      <c r="AG228">
        <v>1.2169164679575</v>
      </c>
    </row>
    <row r="229" spans="24:33">
      <c r="X229">
        <v>113.273</v>
      </c>
      <c r="Y229">
        <v>1.21825457691303</v>
      </c>
      <c r="Z229">
        <v>113.273</v>
      </c>
      <c r="AA229">
        <v>1.21710104955981</v>
      </c>
      <c r="AB229">
        <v>113.273</v>
      </c>
      <c r="AC229">
        <v>1.22067558479677</v>
      </c>
      <c r="AD229">
        <v>113.273</v>
      </c>
      <c r="AE229">
        <v>1.21074667498497</v>
      </c>
      <c r="AF229">
        <v>113.273</v>
      </c>
      <c r="AG229">
        <v>1.22718136138556</v>
      </c>
    </row>
    <row r="230" spans="24:33">
      <c r="X230">
        <v>113.772</v>
      </c>
      <c r="Y230">
        <v>1.22068223093512</v>
      </c>
      <c r="Z230">
        <v>113.772</v>
      </c>
      <c r="AA230">
        <v>1.22170589505516</v>
      </c>
      <c r="AB230">
        <v>113.772</v>
      </c>
      <c r="AC230">
        <v>1.22711926143904</v>
      </c>
      <c r="AD230">
        <v>113.772</v>
      </c>
      <c r="AE230">
        <v>1.21744953281286</v>
      </c>
      <c r="AF230">
        <v>113.772</v>
      </c>
      <c r="AG230">
        <v>1.21797078362801</v>
      </c>
    </row>
    <row r="231" spans="24:33">
      <c r="X231">
        <v>114.271</v>
      </c>
      <c r="Y231">
        <v>1.22342503898988</v>
      </c>
      <c r="Z231">
        <v>114.271</v>
      </c>
      <c r="AA231">
        <v>1.219511304914</v>
      </c>
      <c r="AB231">
        <v>114.271</v>
      </c>
      <c r="AC231">
        <v>1.2276848936229</v>
      </c>
      <c r="AD231">
        <v>114.271</v>
      </c>
      <c r="AE231">
        <v>1.20998022675197</v>
      </c>
      <c r="AF231">
        <v>114.271</v>
      </c>
      <c r="AG231">
        <v>1.21461339402909</v>
      </c>
    </row>
    <row r="232" spans="24:33">
      <c r="X232">
        <v>114.77</v>
      </c>
      <c r="Y232">
        <v>1.22010707553816</v>
      </c>
      <c r="Z232">
        <v>114.77</v>
      </c>
      <c r="AA232">
        <v>1.2137309165232</v>
      </c>
      <c r="AB232">
        <v>114.77</v>
      </c>
      <c r="AC232">
        <v>1.23503204947619</v>
      </c>
      <c r="AD232">
        <v>114.77</v>
      </c>
      <c r="AE232">
        <v>1.21729651980455</v>
      </c>
      <c r="AF232">
        <v>114.77</v>
      </c>
      <c r="AG232">
        <v>1.21852509378375</v>
      </c>
    </row>
    <row r="233" spans="24:33">
      <c r="X233">
        <v>115.269</v>
      </c>
      <c r="Y233">
        <v>1.21605709913696</v>
      </c>
      <c r="Z233">
        <v>115.269</v>
      </c>
      <c r="AA233">
        <v>1.21636432369463</v>
      </c>
      <c r="AB233">
        <v>115.269</v>
      </c>
      <c r="AC233">
        <v>1.22671004415563</v>
      </c>
      <c r="AD233">
        <v>115.269</v>
      </c>
      <c r="AE233">
        <v>1.22261979679843</v>
      </c>
      <c r="AF233">
        <v>115.269</v>
      </c>
      <c r="AG233">
        <v>1.21924217798611</v>
      </c>
    </row>
    <row r="234" spans="24:33">
      <c r="X234">
        <v>115.768</v>
      </c>
      <c r="Y234">
        <v>1.21907701528274</v>
      </c>
      <c r="Z234">
        <v>115.768</v>
      </c>
      <c r="AA234">
        <v>1.22467647835374</v>
      </c>
      <c r="AB234">
        <v>115.768</v>
      </c>
      <c r="AC234">
        <v>1.22540567446238</v>
      </c>
      <c r="AD234">
        <v>115.768</v>
      </c>
      <c r="AE234">
        <v>1.22123925493177</v>
      </c>
      <c r="AF234">
        <v>115.768</v>
      </c>
      <c r="AG234">
        <v>1.21756238500089</v>
      </c>
    </row>
    <row r="235" spans="24:33">
      <c r="X235">
        <v>116.267</v>
      </c>
      <c r="Y235">
        <v>1.21642233093555</v>
      </c>
      <c r="Z235">
        <v>116.267</v>
      </c>
      <c r="AA235">
        <v>1.21992335082904</v>
      </c>
      <c r="AB235">
        <v>116.267</v>
      </c>
      <c r="AC235">
        <v>1.23079384772794</v>
      </c>
      <c r="AD235">
        <v>116.267</v>
      </c>
      <c r="AE235">
        <v>1.21154308050363</v>
      </c>
      <c r="AF235">
        <v>116.267</v>
      </c>
      <c r="AG235">
        <v>1.215456707118</v>
      </c>
    </row>
    <row r="236" spans="24:33">
      <c r="X236">
        <v>116.766</v>
      </c>
      <c r="Y236">
        <v>1.22378146654538</v>
      </c>
      <c r="Z236">
        <v>116.766</v>
      </c>
      <c r="AA236">
        <v>1.21383824695134</v>
      </c>
      <c r="AB236">
        <v>116.766</v>
      </c>
      <c r="AC236">
        <v>1.22917494171241</v>
      </c>
      <c r="AD236">
        <v>116.766</v>
      </c>
      <c r="AE236">
        <v>1.20806470953077</v>
      </c>
      <c r="AF236">
        <v>116.766</v>
      </c>
      <c r="AG236">
        <v>1.20990921330658</v>
      </c>
    </row>
    <row r="237" spans="24:33">
      <c r="X237">
        <v>117.265</v>
      </c>
      <c r="Y237">
        <v>1.21573912230529</v>
      </c>
      <c r="Z237">
        <v>117.265</v>
      </c>
      <c r="AA237">
        <v>1.2218245130182</v>
      </c>
      <c r="AB237">
        <v>117.265</v>
      </c>
      <c r="AC237">
        <v>1.22317343763824</v>
      </c>
      <c r="AD237">
        <v>117.265</v>
      </c>
      <c r="AE237">
        <v>1.21235008817999</v>
      </c>
      <c r="AF237">
        <v>117.265</v>
      </c>
      <c r="AG237">
        <v>1.21131375767194</v>
      </c>
    </row>
    <row r="238" spans="24:33">
      <c r="X238">
        <v>117.764</v>
      </c>
      <c r="Y238">
        <v>1.21656503170284</v>
      </c>
      <c r="Z238">
        <v>117.764</v>
      </c>
      <c r="AA238">
        <v>1.22488337961221</v>
      </c>
      <c r="AB238">
        <v>117.764</v>
      </c>
      <c r="AC238">
        <v>1.22447952000529</v>
      </c>
      <c r="AD238">
        <v>117.764</v>
      </c>
      <c r="AE238">
        <v>1.20999220136622</v>
      </c>
      <c r="AF238">
        <v>117.764</v>
      </c>
      <c r="AG238">
        <v>1.21323608828185</v>
      </c>
    </row>
    <row r="239" spans="24:33">
      <c r="X239">
        <v>118.263</v>
      </c>
      <c r="Y239">
        <v>1.20653360234869</v>
      </c>
      <c r="Z239">
        <v>118.263</v>
      </c>
      <c r="AA239">
        <v>1.2230270553437</v>
      </c>
      <c r="AB239">
        <v>118.263</v>
      </c>
      <c r="AC239">
        <v>1.22651253902427</v>
      </c>
      <c r="AD239">
        <v>118.263</v>
      </c>
      <c r="AE239">
        <v>1.21430432210072</v>
      </c>
      <c r="AF239">
        <v>118.263</v>
      </c>
      <c r="AG239">
        <v>1.22223044260368</v>
      </c>
    </row>
    <row r="240" spans="24:33">
      <c r="X240">
        <v>118.762</v>
      </c>
      <c r="Y240">
        <v>1.20503785102557</v>
      </c>
      <c r="Z240">
        <v>118.762</v>
      </c>
      <c r="AA240">
        <v>1.23781521482936</v>
      </c>
      <c r="AB240">
        <v>118.762</v>
      </c>
      <c r="AC240">
        <v>1.23797014474879</v>
      </c>
      <c r="AD240">
        <v>118.762</v>
      </c>
      <c r="AE240">
        <v>1.21797078569402</v>
      </c>
      <c r="AF240">
        <v>118.762</v>
      </c>
      <c r="AG240">
        <v>1.22128538239968</v>
      </c>
    </row>
    <row r="241" spans="24:33">
      <c r="X241">
        <v>119.261</v>
      </c>
      <c r="Y241">
        <v>1.21013657313583</v>
      </c>
      <c r="Z241">
        <v>119.261</v>
      </c>
      <c r="AA241">
        <v>1.23173044096413</v>
      </c>
      <c r="AB241">
        <v>119.261</v>
      </c>
      <c r="AC241">
        <v>1.23460771853881</v>
      </c>
      <c r="AD241">
        <v>119.261</v>
      </c>
      <c r="AE241">
        <v>1.2199895776578</v>
      </c>
      <c r="AF241">
        <v>119.261</v>
      </c>
      <c r="AG241">
        <v>1.21693746279557</v>
      </c>
    </row>
    <row r="242" spans="24:33">
      <c r="X242">
        <v>119.76</v>
      </c>
      <c r="Y242">
        <v>1.21461794395538</v>
      </c>
      <c r="Z242">
        <v>119.76</v>
      </c>
      <c r="AA242">
        <v>1.22256119987976</v>
      </c>
      <c r="AB242">
        <v>119.76</v>
      </c>
      <c r="AC242">
        <v>1.22471201053636</v>
      </c>
      <c r="AD242">
        <v>119.76</v>
      </c>
      <c r="AE242">
        <v>1.2152495359836</v>
      </c>
      <c r="AF242">
        <v>119.76</v>
      </c>
      <c r="AG242">
        <v>1.21123004604169</v>
      </c>
    </row>
    <row r="243" spans="24:33">
      <c r="X243">
        <v>120.259</v>
      </c>
      <c r="Y243">
        <v>1.21075737189691</v>
      </c>
      <c r="Z243">
        <v>120.259</v>
      </c>
      <c r="AA243">
        <v>1.22183031059177</v>
      </c>
      <c r="AB243">
        <v>120.259</v>
      </c>
      <c r="AC243">
        <v>1.23797522088921</v>
      </c>
      <c r="AD243">
        <v>120.259</v>
      </c>
      <c r="AE243">
        <v>1.21774992898751</v>
      </c>
      <c r="AF243">
        <v>120.259</v>
      </c>
      <c r="AG243">
        <v>1.22294553043253</v>
      </c>
    </row>
    <row r="244" spans="24:33">
      <c r="X244">
        <v>120.758</v>
      </c>
      <c r="Y244">
        <v>1.20302521160154</v>
      </c>
      <c r="Z244">
        <v>120.758</v>
      </c>
      <c r="AA244">
        <v>1.22311152449036</v>
      </c>
      <c r="AB244">
        <v>120.758</v>
      </c>
      <c r="AC244">
        <v>1.24159056631352</v>
      </c>
      <c r="AD244">
        <v>120.758</v>
      </c>
      <c r="AE244">
        <v>1.22022996441826</v>
      </c>
      <c r="AF244">
        <v>120.758</v>
      </c>
      <c r="AG244">
        <v>1.2272625973704</v>
      </c>
    </row>
    <row r="245" spans="24:33">
      <c r="X245">
        <v>121.257</v>
      </c>
      <c r="Y245">
        <v>1.21552592519172</v>
      </c>
      <c r="Z245">
        <v>121.257</v>
      </c>
      <c r="AA245">
        <v>1.22446510172247</v>
      </c>
      <c r="AB245">
        <v>121.257</v>
      </c>
      <c r="AC245">
        <v>1.23749867769634</v>
      </c>
      <c r="AD245">
        <v>121.257</v>
      </c>
      <c r="AE245">
        <v>1.22457736615669</v>
      </c>
      <c r="AF245">
        <v>121.257</v>
      </c>
      <c r="AG245">
        <v>1.23774131816145</v>
      </c>
    </row>
    <row r="246" spans="24:33">
      <c r="X246">
        <v>121.756</v>
      </c>
      <c r="Y246">
        <v>1.22685386218747</v>
      </c>
      <c r="Z246">
        <v>121.756</v>
      </c>
      <c r="AA246">
        <v>1.22533133687074</v>
      </c>
      <c r="AB246">
        <v>121.756</v>
      </c>
      <c r="AC246">
        <v>1.24283466753642</v>
      </c>
      <c r="AD246">
        <v>121.756</v>
      </c>
      <c r="AE246">
        <v>1.21732009924713</v>
      </c>
      <c r="AF246">
        <v>121.756</v>
      </c>
      <c r="AG246">
        <v>1.23563977104633</v>
      </c>
    </row>
    <row r="247" spans="24:33">
      <c r="X247">
        <v>122.255</v>
      </c>
      <c r="Y247">
        <v>1.21361127380241</v>
      </c>
      <c r="Z247">
        <v>122.255</v>
      </c>
      <c r="AA247">
        <v>1.23296865093124</v>
      </c>
      <c r="AB247">
        <v>122.255</v>
      </c>
      <c r="AC247">
        <v>1.22984899347666</v>
      </c>
      <c r="AD247">
        <v>122.255</v>
      </c>
      <c r="AE247">
        <v>1.22642506114166</v>
      </c>
      <c r="AF247">
        <v>122.255</v>
      </c>
      <c r="AG247">
        <v>1.22710369142763</v>
      </c>
    </row>
    <row r="248" spans="24:33">
      <c r="X248">
        <v>122.754</v>
      </c>
      <c r="Y248">
        <v>1.21604988490757</v>
      </c>
      <c r="Z248">
        <v>122.754</v>
      </c>
      <c r="AA248">
        <v>1.23096960470027</v>
      </c>
      <c r="AB248">
        <v>122.754</v>
      </c>
      <c r="AC248">
        <v>1.23998242018611</v>
      </c>
      <c r="AD248">
        <v>122.754</v>
      </c>
      <c r="AE248">
        <v>1.22855023680143</v>
      </c>
      <c r="AF248">
        <v>122.754</v>
      </c>
      <c r="AG248">
        <v>1.2291660241965</v>
      </c>
    </row>
    <row r="249" spans="24:33">
      <c r="X249">
        <v>123.253</v>
      </c>
      <c r="Y249">
        <v>1.21642202035445</v>
      </c>
      <c r="Z249">
        <v>123.253</v>
      </c>
      <c r="AA249">
        <v>1.22767179532406</v>
      </c>
      <c r="AB249">
        <v>123.253</v>
      </c>
      <c r="AC249">
        <v>1.23650222402252</v>
      </c>
      <c r="AD249">
        <v>123.253</v>
      </c>
      <c r="AE249">
        <v>1.23771933131606</v>
      </c>
      <c r="AF249">
        <v>123.253</v>
      </c>
      <c r="AG249">
        <v>1.22272420360429</v>
      </c>
    </row>
    <row r="250" spans="24:33">
      <c r="X250">
        <v>123.752</v>
      </c>
      <c r="Y250">
        <v>1.2162566273996</v>
      </c>
      <c r="Z250">
        <v>123.752</v>
      </c>
      <c r="AA250">
        <v>1.22456114311511</v>
      </c>
      <c r="AB250">
        <v>123.752</v>
      </c>
      <c r="AC250">
        <v>1.23159489597605</v>
      </c>
      <c r="AD250">
        <v>123.752</v>
      </c>
      <c r="AE250">
        <v>1.23183517506992</v>
      </c>
      <c r="AF250">
        <v>123.752</v>
      </c>
      <c r="AG250">
        <v>1.22671128944071</v>
      </c>
    </row>
    <row r="251" spans="24:33">
      <c r="X251">
        <v>124.251</v>
      </c>
      <c r="Y251">
        <v>1.22259273542558</v>
      </c>
      <c r="Z251">
        <v>124.251</v>
      </c>
      <c r="AA251">
        <v>1.22781001388994</v>
      </c>
      <c r="AB251">
        <v>124.251</v>
      </c>
      <c r="AC251">
        <v>1.22709447005966</v>
      </c>
      <c r="AD251">
        <v>124.251</v>
      </c>
      <c r="AE251">
        <v>1.23585049034728</v>
      </c>
      <c r="AF251">
        <v>124.251</v>
      </c>
      <c r="AG251">
        <v>1.22339837947364</v>
      </c>
    </row>
    <row r="252" spans="24:33">
      <c r="X252">
        <v>124.75</v>
      </c>
      <c r="Y252">
        <v>1.21983168138244</v>
      </c>
      <c r="Z252">
        <v>124.75</v>
      </c>
      <c r="AA252">
        <v>1.22304485110194</v>
      </c>
      <c r="AB252">
        <v>124.75</v>
      </c>
      <c r="AC252">
        <v>1.22952099734667</v>
      </c>
      <c r="AD252">
        <v>124.75</v>
      </c>
      <c r="AE252">
        <v>1.23870839232218</v>
      </c>
      <c r="AF252">
        <v>124.75</v>
      </c>
      <c r="AG252">
        <v>1.22469422596436</v>
      </c>
    </row>
    <row r="253" spans="24:33">
      <c r="X253">
        <v>125.249</v>
      </c>
      <c r="Y253">
        <v>1.22251811053433</v>
      </c>
      <c r="Z253">
        <v>125.249</v>
      </c>
      <c r="AA253">
        <v>1.21624336443307</v>
      </c>
      <c r="AB253">
        <v>125.249</v>
      </c>
      <c r="AC253">
        <v>1.23201969548871</v>
      </c>
      <c r="AD253">
        <v>125.249</v>
      </c>
      <c r="AE253">
        <v>1.23982821703079</v>
      </c>
      <c r="AF253">
        <v>125.249</v>
      </c>
      <c r="AG253">
        <v>1.22169111865757</v>
      </c>
    </row>
    <row r="254" spans="24:33">
      <c r="X254">
        <v>125.748</v>
      </c>
      <c r="Y254">
        <v>1.22269197202993</v>
      </c>
      <c r="Z254">
        <v>125.748</v>
      </c>
      <c r="AA254">
        <v>1.22881584320047</v>
      </c>
      <c r="AB254">
        <v>125.748</v>
      </c>
      <c r="AC254">
        <v>1.23639592535334</v>
      </c>
      <c r="AD254">
        <v>125.748</v>
      </c>
      <c r="AE254">
        <v>1.23656867008994</v>
      </c>
      <c r="AF254">
        <v>125.748</v>
      </c>
      <c r="AG254">
        <v>1.2246916231928</v>
      </c>
    </row>
    <row r="255" spans="24:33">
      <c r="X255">
        <v>126.247</v>
      </c>
      <c r="Y255">
        <v>1.22710567287038</v>
      </c>
      <c r="Z255">
        <v>126.247</v>
      </c>
      <c r="AA255">
        <v>1.22324531232619</v>
      </c>
      <c r="AB255">
        <v>126.247</v>
      </c>
      <c r="AC255">
        <v>1.23286736547879</v>
      </c>
      <c r="AD255">
        <v>126.247</v>
      </c>
      <c r="AE255">
        <v>1.22247500931913</v>
      </c>
      <c r="AF255">
        <v>126.247</v>
      </c>
      <c r="AG255">
        <v>1.2270011142584</v>
      </c>
    </row>
    <row r="256" spans="24:33">
      <c r="X256">
        <v>126.746</v>
      </c>
      <c r="Y256">
        <v>1.22064249206299</v>
      </c>
      <c r="Z256">
        <v>126.746</v>
      </c>
      <c r="AA256">
        <v>1.23069502882744</v>
      </c>
      <c r="AB256">
        <v>126.746</v>
      </c>
      <c r="AC256">
        <v>1.22254271210005</v>
      </c>
      <c r="AD256">
        <v>126.746</v>
      </c>
      <c r="AE256">
        <v>1.22764345642411</v>
      </c>
      <c r="AF256">
        <v>126.746</v>
      </c>
      <c r="AG256">
        <v>1.23191624102544</v>
      </c>
    </row>
    <row r="257" spans="24:33">
      <c r="X257">
        <v>127.245</v>
      </c>
      <c r="Y257">
        <v>1.2297041720021</v>
      </c>
      <c r="Z257">
        <v>127.245</v>
      </c>
      <c r="AA257">
        <v>1.21756610556335</v>
      </c>
      <c r="AB257">
        <v>127.245</v>
      </c>
      <c r="AC257">
        <v>1.24251590896101</v>
      </c>
      <c r="AD257">
        <v>127.245</v>
      </c>
      <c r="AE257">
        <v>1.23165836489423</v>
      </c>
      <c r="AF257">
        <v>127.245</v>
      </c>
      <c r="AG257">
        <v>1.22246806108204</v>
      </c>
    </row>
    <row r="258" spans="24:33">
      <c r="X258">
        <v>127.744</v>
      </c>
      <c r="Y258">
        <v>1.22480219000031</v>
      </c>
      <c r="Z258">
        <v>127.744</v>
      </c>
      <c r="AA258">
        <v>1.22524482518009</v>
      </c>
      <c r="AB258">
        <v>127.744</v>
      </c>
      <c r="AC258">
        <v>1.23256446071834</v>
      </c>
      <c r="AD258">
        <v>127.744</v>
      </c>
      <c r="AE258">
        <v>1.22445116496073</v>
      </c>
      <c r="AF258">
        <v>127.744</v>
      </c>
      <c r="AG258">
        <v>1.22643418119996</v>
      </c>
    </row>
    <row r="259" spans="24:33">
      <c r="X259">
        <v>128.243</v>
      </c>
      <c r="Y259">
        <v>1.22200287443316</v>
      </c>
      <c r="Z259">
        <v>128.243</v>
      </c>
      <c r="AA259">
        <v>1.22697312168989</v>
      </c>
      <c r="AB259">
        <v>128.243</v>
      </c>
      <c r="AC259">
        <v>1.24239655744057</v>
      </c>
      <c r="AD259">
        <v>128.243</v>
      </c>
      <c r="AE259">
        <v>1.23811309753748</v>
      </c>
      <c r="AF259">
        <v>128.243</v>
      </c>
      <c r="AG259">
        <v>1.22240633582201</v>
      </c>
    </row>
    <row r="260" spans="24:33">
      <c r="X260">
        <v>128.742</v>
      </c>
      <c r="Y260">
        <v>1.22367588120949</v>
      </c>
      <c r="Z260">
        <v>128.742</v>
      </c>
      <c r="AA260">
        <v>1.2302306007137</v>
      </c>
      <c r="AB260">
        <v>128.742</v>
      </c>
      <c r="AC260">
        <v>1.24237479988475</v>
      </c>
      <c r="AD260">
        <v>128.742</v>
      </c>
      <c r="AE260">
        <v>1.23956912876657</v>
      </c>
      <c r="AF260">
        <v>128.742</v>
      </c>
      <c r="AG260">
        <v>1.22618819558634</v>
      </c>
    </row>
    <row r="261" spans="24:33">
      <c r="X261">
        <v>129.241</v>
      </c>
      <c r="Y261">
        <v>1.2273785880337</v>
      </c>
      <c r="Z261">
        <v>129.241</v>
      </c>
      <c r="AA261">
        <v>1.23251080454137</v>
      </c>
      <c r="AB261">
        <v>129.241</v>
      </c>
      <c r="AC261">
        <v>1.24449381238542</v>
      </c>
      <c r="AD261">
        <v>129.241</v>
      </c>
      <c r="AE261">
        <v>1.23630989977097</v>
      </c>
      <c r="AF261">
        <v>129.241</v>
      </c>
      <c r="AG261">
        <v>1.22220985184328</v>
      </c>
    </row>
    <row r="262" spans="24:33">
      <c r="X262">
        <v>129.74</v>
      </c>
      <c r="Y262">
        <v>1.2143096181459</v>
      </c>
      <c r="Z262">
        <v>129.74</v>
      </c>
      <c r="AA262">
        <v>1.23346718321226</v>
      </c>
      <c r="AB262">
        <v>129.74</v>
      </c>
      <c r="AC262">
        <v>1.23504585050023</v>
      </c>
      <c r="AD262">
        <v>129.74</v>
      </c>
      <c r="AE262">
        <v>1.24272146166788</v>
      </c>
      <c r="AF262">
        <v>129.74</v>
      </c>
      <c r="AG262">
        <v>1.21704349869279</v>
      </c>
    </row>
    <row r="263" spans="24:33">
      <c r="X263">
        <v>130.239</v>
      </c>
      <c r="Y263">
        <v>1.21142774127838</v>
      </c>
      <c r="Z263">
        <v>130.239</v>
      </c>
      <c r="AA263">
        <v>1.23168326981879</v>
      </c>
      <c r="AB263">
        <v>130.239</v>
      </c>
      <c r="AC263">
        <v>1.23708452164015</v>
      </c>
      <c r="AD263">
        <v>130.239</v>
      </c>
      <c r="AE263">
        <v>1.23545281348466</v>
      </c>
      <c r="AF263">
        <v>130.239</v>
      </c>
      <c r="AG263">
        <v>1.22721124249655</v>
      </c>
    </row>
    <row r="264" spans="24:33">
      <c r="X264">
        <v>130.738</v>
      </c>
      <c r="Y264">
        <v>1.21896132134793</v>
      </c>
      <c r="Z264">
        <v>130.738</v>
      </c>
      <c r="AA264">
        <v>1.22407620153792</v>
      </c>
      <c r="AB264">
        <v>130.738</v>
      </c>
      <c r="AC264">
        <v>1.23886341901023</v>
      </c>
      <c r="AD264">
        <v>130.738</v>
      </c>
      <c r="AE264">
        <v>1.22526812915639</v>
      </c>
      <c r="AF264">
        <v>130.738</v>
      </c>
      <c r="AG264">
        <v>1.23508241878189</v>
      </c>
    </row>
    <row r="265" spans="24:33">
      <c r="X265">
        <v>131.237</v>
      </c>
      <c r="Y265">
        <v>1.22898258964619</v>
      </c>
      <c r="Z265">
        <v>131.237</v>
      </c>
      <c r="AA265">
        <v>1.2305067177315</v>
      </c>
      <c r="AB265">
        <v>131.237</v>
      </c>
      <c r="AC265">
        <v>1.24433594893339</v>
      </c>
      <c r="AD265">
        <v>131.237</v>
      </c>
      <c r="AE265">
        <v>1.23341337035447</v>
      </c>
      <c r="AF265">
        <v>131.237</v>
      </c>
      <c r="AG265">
        <v>1.22579035548927</v>
      </c>
    </row>
    <row r="266" spans="24:33">
      <c r="X266">
        <v>131.736</v>
      </c>
      <c r="Y266">
        <v>1.22499069932385</v>
      </c>
      <c r="Z266">
        <v>131.736</v>
      </c>
      <c r="AA266">
        <v>1.24196362852676</v>
      </c>
      <c r="AB266">
        <v>131.736</v>
      </c>
      <c r="AC266">
        <v>1.24469956963743</v>
      </c>
      <c r="AD266">
        <v>131.736</v>
      </c>
      <c r="AE266">
        <v>1.22689527855245</v>
      </c>
      <c r="AF266">
        <v>131.736</v>
      </c>
      <c r="AG266">
        <v>1.2278044559989</v>
      </c>
    </row>
    <row r="267" spans="24:33">
      <c r="X267">
        <v>132.235</v>
      </c>
      <c r="Y267">
        <v>1.22151517206446</v>
      </c>
      <c r="Z267">
        <v>132.235</v>
      </c>
      <c r="AA267">
        <v>1.23528554265083</v>
      </c>
      <c r="AB267">
        <v>132.235</v>
      </c>
      <c r="AC267">
        <v>1.23453480983735</v>
      </c>
      <c r="AD267">
        <v>132.235</v>
      </c>
      <c r="AE267">
        <v>1.23547647618579</v>
      </c>
      <c r="AF267">
        <v>132.235</v>
      </c>
      <c r="AG267">
        <v>1.22653022651417</v>
      </c>
    </row>
    <row r="268" spans="24:33">
      <c r="X268">
        <v>132.734</v>
      </c>
      <c r="Y268">
        <v>1.21739520737301</v>
      </c>
      <c r="Z268">
        <v>132.734</v>
      </c>
      <c r="AA268">
        <v>1.22754322933628</v>
      </c>
      <c r="AB268">
        <v>132.734</v>
      </c>
      <c r="AC268">
        <v>1.23504509234185</v>
      </c>
      <c r="AD268">
        <v>132.734</v>
      </c>
      <c r="AE268">
        <v>1.23071525811431</v>
      </c>
      <c r="AF268">
        <v>132.734</v>
      </c>
      <c r="AG268">
        <v>1.22465737855653</v>
      </c>
    </row>
    <row r="269" spans="24:33">
      <c r="X269">
        <v>133.233</v>
      </c>
      <c r="Y269">
        <v>1.21929440669885</v>
      </c>
      <c r="Z269">
        <v>133.233</v>
      </c>
      <c r="AA269">
        <v>1.22569119026715</v>
      </c>
      <c r="AB269">
        <v>133.233</v>
      </c>
      <c r="AC269">
        <v>1.23994871399224</v>
      </c>
      <c r="AD269">
        <v>133.233</v>
      </c>
      <c r="AE269">
        <v>1.22954896178139</v>
      </c>
      <c r="AF269">
        <v>133.233</v>
      </c>
      <c r="AG269">
        <v>1.23444636029541</v>
      </c>
    </row>
    <row r="270" spans="24:33">
      <c r="X270">
        <v>133.732</v>
      </c>
      <c r="Y270">
        <v>1.22545846965346</v>
      </c>
      <c r="Z270">
        <v>133.732</v>
      </c>
      <c r="AA270">
        <v>1.22363179312834</v>
      </c>
      <c r="AB270">
        <v>133.732</v>
      </c>
      <c r="AC270">
        <v>1.23125096591525</v>
      </c>
      <c r="AD270">
        <v>133.732</v>
      </c>
      <c r="AE270">
        <v>1.22456241157229</v>
      </c>
      <c r="AF270">
        <v>133.732</v>
      </c>
      <c r="AG270">
        <v>1.23486405120846</v>
      </c>
    </row>
    <row r="271" spans="24:33">
      <c r="X271">
        <v>134.231</v>
      </c>
      <c r="Y271">
        <v>1.23019918860672</v>
      </c>
      <c r="Z271">
        <v>134.231</v>
      </c>
      <c r="AA271">
        <v>1.2178344989804</v>
      </c>
      <c r="AB271">
        <v>134.231</v>
      </c>
      <c r="AC271">
        <v>1.24577856211188</v>
      </c>
      <c r="AD271">
        <v>134.231</v>
      </c>
      <c r="AE271">
        <v>1.2202974613069</v>
      </c>
      <c r="AF271">
        <v>134.231</v>
      </c>
      <c r="AG271">
        <v>1.23067011515305</v>
      </c>
    </row>
    <row r="272" spans="24:33">
      <c r="X272">
        <v>134.73</v>
      </c>
      <c r="Y272">
        <v>1.22438822145734</v>
      </c>
      <c r="Z272">
        <v>134.73</v>
      </c>
      <c r="AA272">
        <v>1.23563564057525</v>
      </c>
      <c r="AB272">
        <v>134.73</v>
      </c>
      <c r="AC272">
        <v>1.24884088947375</v>
      </c>
      <c r="AD272">
        <v>134.73</v>
      </c>
      <c r="AE272">
        <v>1.22157574974359</v>
      </c>
      <c r="AF272">
        <v>134.73</v>
      </c>
      <c r="AG272">
        <v>1.22725596794489</v>
      </c>
    </row>
    <row r="273" spans="24:33">
      <c r="X273">
        <v>135.229</v>
      </c>
      <c r="Y273">
        <v>1.21760121464862</v>
      </c>
      <c r="Z273">
        <v>135.229</v>
      </c>
      <c r="AA273">
        <v>1.23370700518709</v>
      </c>
      <c r="AB273">
        <v>135.229</v>
      </c>
      <c r="AC273">
        <v>1.24485471084756</v>
      </c>
      <c r="AD273">
        <v>135.229</v>
      </c>
      <c r="AE273">
        <v>1.22097692522338</v>
      </c>
      <c r="AF273">
        <v>135.229</v>
      </c>
      <c r="AG273">
        <v>1.22958803920404</v>
      </c>
    </row>
    <row r="274" spans="24:33">
      <c r="X274">
        <v>135.728</v>
      </c>
      <c r="Y274">
        <v>1.21255508207568</v>
      </c>
      <c r="Z274">
        <v>135.728</v>
      </c>
      <c r="AA274">
        <v>1.23231927355804</v>
      </c>
      <c r="AB274">
        <v>135.728</v>
      </c>
      <c r="AC274">
        <v>1.24098174246733</v>
      </c>
      <c r="AD274">
        <v>135.728</v>
      </c>
      <c r="AE274">
        <v>1.22729680551412</v>
      </c>
      <c r="AF274">
        <v>135.728</v>
      </c>
      <c r="AG274">
        <v>1.23468083570672</v>
      </c>
    </row>
    <row r="275" spans="24:33">
      <c r="X275">
        <v>136.227</v>
      </c>
      <c r="Y275">
        <v>1.23042966768664</v>
      </c>
      <c r="Z275">
        <v>136.227</v>
      </c>
      <c r="AA275">
        <v>1.23140739368595</v>
      </c>
      <c r="AB275">
        <v>136.227</v>
      </c>
      <c r="AC275">
        <v>1.24544703260678</v>
      </c>
      <c r="AD275">
        <v>136.227</v>
      </c>
      <c r="AE275">
        <v>1.21889109279368</v>
      </c>
      <c r="AF275">
        <v>136.227</v>
      </c>
      <c r="AG275">
        <v>1.23218932266936</v>
      </c>
    </row>
    <row r="276" spans="24:33">
      <c r="X276">
        <v>136.726</v>
      </c>
      <c r="Y276">
        <v>1.22611455657979</v>
      </c>
      <c r="Z276">
        <v>136.726</v>
      </c>
      <c r="AA276">
        <v>1.23315647237829</v>
      </c>
      <c r="AB276">
        <v>136.726</v>
      </c>
      <c r="AC276">
        <v>1.24086363597322</v>
      </c>
      <c r="AD276">
        <v>136.726</v>
      </c>
      <c r="AE276">
        <v>1.22431718416143</v>
      </c>
      <c r="AF276">
        <v>136.726</v>
      </c>
      <c r="AG276">
        <v>1.23188963724854</v>
      </c>
    </row>
    <row r="277" spans="24:33">
      <c r="X277">
        <v>137.225</v>
      </c>
      <c r="Y277">
        <v>1.22697595363869</v>
      </c>
      <c r="Z277">
        <v>137.225</v>
      </c>
      <c r="AA277">
        <v>1.23000692316318</v>
      </c>
      <c r="AB277">
        <v>137.225</v>
      </c>
      <c r="AC277">
        <v>1.24919064894743</v>
      </c>
      <c r="AD277">
        <v>137.225</v>
      </c>
      <c r="AE277">
        <v>1.21875701881444</v>
      </c>
      <c r="AF277">
        <v>137.225</v>
      </c>
      <c r="AG277">
        <v>1.23114996456477</v>
      </c>
    </row>
    <row r="278" spans="24:33">
      <c r="X278">
        <v>137.724</v>
      </c>
      <c r="Y278">
        <v>1.22314874248916</v>
      </c>
      <c r="Z278">
        <v>137.724</v>
      </c>
      <c r="AA278">
        <v>1.23060668499586</v>
      </c>
      <c r="AB278">
        <v>137.724</v>
      </c>
      <c r="AC278">
        <v>1.24708522000212</v>
      </c>
      <c r="AD278">
        <v>137.724</v>
      </c>
      <c r="AE278">
        <v>1.22519960508474</v>
      </c>
      <c r="AF278">
        <v>137.724</v>
      </c>
      <c r="AG278">
        <v>1.23168540960462</v>
      </c>
    </row>
    <row r="279" spans="24:33">
      <c r="X279">
        <v>138.223</v>
      </c>
      <c r="Y279">
        <v>1.22276720149971</v>
      </c>
      <c r="Z279">
        <v>138.223</v>
      </c>
      <c r="AA279">
        <v>1.21957346322032</v>
      </c>
      <c r="AB279">
        <v>138.223</v>
      </c>
      <c r="AC279">
        <v>1.24628039034117</v>
      </c>
      <c r="AD279">
        <v>138.223</v>
      </c>
      <c r="AE279">
        <v>1.22828923722134</v>
      </c>
      <c r="AF279">
        <v>138.223</v>
      </c>
      <c r="AG279">
        <v>1.22743040667579</v>
      </c>
    </row>
    <row r="280" spans="24:33">
      <c r="X280">
        <v>138.722</v>
      </c>
      <c r="Y280">
        <v>1.21886137958253</v>
      </c>
      <c r="Z280">
        <v>138.722</v>
      </c>
      <c r="AA280">
        <v>1.22835524766474</v>
      </c>
      <c r="AB280">
        <v>138.722</v>
      </c>
      <c r="AC280">
        <v>1.24953556665389</v>
      </c>
      <c r="AD280">
        <v>138.722</v>
      </c>
      <c r="AE280">
        <v>1.23075435904114</v>
      </c>
      <c r="AF280">
        <v>138.722</v>
      </c>
      <c r="AG280">
        <v>1.22407459782644</v>
      </c>
    </row>
    <row r="281" spans="24:33">
      <c r="X281">
        <v>139.221</v>
      </c>
      <c r="Y281">
        <v>1.21836392977407</v>
      </c>
      <c r="Z281">
        <v>139.221</v>
      </c>
      <c r="AA281">
        <v>1.23297083950465</v>
      </c>
      <c r="AB281">
        <v>139.221</v>
      </c>
      <c r="AC281">
        <v>1.24690643067046</v>
      </c>
      <c r="AD281">
        <v>139.221</v>
      </c>
      <c r="AE281">
        <v>1.22270594438151</v>
      </c>
      <c r="AF281">
        <v>139.221</v>
      </c>
      <c r="AG281">
        <v>1.23048804775536</v>
      </c>
    </row>
    <row r="282" spans="24:33">
      <c r="X282">
        <v>139.72</v>
      </c>
      <c r="Y282">
        <v>1.22759623378388</v>
      </c>
      <c r="Z282">
        <v>139.72</v>
      </c>
      <c r="AA282">
        <v>1.23161627024627</v>
      </c>
      <c r="AB282">
        <v>139.72</v>
      </c>
      <c r="AC282">
        <v>1.24851016593542</v>
      </c>
      <c r="AD282">
        <v>139.72</v>
      </c>
      <c r="AE282">
        <v>1.22276518326085</v>
      </c>
      <c r="AF282">
        <v>139.72</v>
      </c>
      <c r="AG282">
        <v>1.23405040853744</v>
      </c>
    </row>
    <row r="283" spans="24:33">
      <c r="X283">
        <v>140.219</v>
      </c>
      <c r="Y283">
        <v>1.22184678716536</v>
      </c>
      <c r="Z283">
        <v>140.219</v>
      </c>
      <c r="AA283">
        <v>1.23023898568278</v>
      </c>
      <c r="AB283">
        <v>140.219</v>
      </c>
      <c r="AC283">
        <v>1.24797143009352</v>
      </c>
      <c r="AD283">
        <v>140.219</v>
      </c>
      <c r="AE283">
        <v>1.22222791797137</v>
      </c>
      <c r="AF283">
        <v>140.219</v>
      </c>
      <c r="AG283">
        <v>1.22627939347983</v>
      </c>
    </row>
    <row r="284" spans="24:33">
      <c r="X284">
        <v>140.718</v>
      </c>
      <c r="Y284">
        <v>1.21996093493166</v>
      </c>
      <c r="Z284">
        <v>140.718</v>
      </c>
      <c r="AA284">
        <v>1.22932540500865</v>
      </c>
      <c r="AB284">
        <v>140.718</v>
      </c>
      <c r="AC284">
        <v>1.25214829186795</v>
      </c>
      <c r="AD284">
        <v>140.718</v>
      </c>
      <c r="AE284">
        <v>1.21861921735434</v>
      </c>
      <c r="AF284">
        <v>140.718</v>
      </c>
      <c r="AG284">
        <v>1.23449001911778</v>
      </c>
    </row>
    <row r="285" spans="24:33">
      <c r="X285">
        <v>141.217</v>
      </c>
      <c r="Y285">
        <v>1.21272356874057</v>
      </c>
      <c r="Z285">
        <v>141.217</v>
      </c>
      <c r="AA285">
        <v>1.23348167077822</v>
      </c>
      <c r="AB285">
        <v>141.217</v>
      </c>
      <c r="AC285">
        <v>1.24559197548754</v>
      </c>
      <c r="AD285">
        <v>141.217</v>
      </c>
      <c r="AE285">
        <v>1.22557183858524</v>
      </c>
      <c r="AF285">
        <v>141.217</v>
      </c>
      <c r="AG285">
        <v>1.23030079688631</v>
      </c>
    </row>
    <row r="286" spans="24:33">
      <c r="X286">
        <v>141.716</v>
      </c>
      <c r="Y286">
        <v>1.22208630161253</v>
      </c>
      <c r="Z286">
        <v>141.716</v>
      </c>
      <c r="AA286">
        <v>1.23797159070963</v>
      </c>
      <c r="AB286">
        <v>141.716</v>
      </c>
      <c r="AC286">
        <v>1.24783025390739</v>
      </c>
      <c r="AD286">
        <v>141.716</v>
      </c>
      <c r="AE286">
        <v>1.23341970290404</v>
      </c>
      <c r="AF286">
        <v>141.716</v>
      </c>
      <c r="AG286">
        <v>1.23705996999095</v>
      </c>
    </row>
    <row r="287" spans="24:33">
      <c r="X287">
        <v>142.215</v>
      </c>
      <c r="Y287">
        <v>1.21697231627983</v>
      </c>
      <c r="Z287">
        <v>142.215</v>
      </c>
      <c r="AA287">
        <v>1.22880953134</v>
      </c>
      <c r="AB287">
        <v>142.215</v>
      </c>
      <c r="AC287">
        <v>1.25020236832084</v>
      </c>
      <c r="AD287">
        <v>142.215</v>
      </c>
      <c r="AE287">
        <v>1.2330494106663</v>
      </c>
      <c r="AF287">
        <v>142.215</v>
      </c>
      <c r="AG287">
        <v>1.23240154022407</v>
      </c>
    </row>
    <row r="288" spans="24:33">
      <c r="X288">
        <v>142.714</v>
      </c>
      <c r="Y288">
        <v>1.22210040854023</v>
      </c>
      <c r="Z288">
        <v>142.714</v>
      </c>
      <c r="AA288">
        <v>1.23459332338043</v>
      </c>
      <c r="AB288">
        <v>142.714</v>
      </c>
      <c r="AC288">
        <v>1.24465722072896</v>
      </c>
      <c r="AD288">
        <v>142.714</v>
      </c>
      <c r="AE288">
        <v>1.22090842099389</v>
      </c>
      <c r="AF288">
        <v>142.714</v>
      </c>
      <c r="AG288">
        <v>1.24167134571588</v>
      </c>
    </row>
    <row r="289" spans="24:33">
      <c r="X289">
        <v>143.213</v>
      </c>
      <c r="Y289">
        <v>1.22565861297959</v>
      </c>
      <c r="Z289">
        <v>143.213</v>
      </c>
      <c r="AA289">
        <v>1.23578600324116</v>
      </c>
      <c r="AB289">
        <v>143.213</v>
      </c>
      <c r="AC289">
        <v>1.24152542893294</v>
      </c>
      <c r="AD289">
        <v>143.213</v>
      </c>
      <c r="AE289">
        <v>1.22649610049392</v>
      </c>
      <c r="AF289">
        <v>143.213</v>
      </c>
      <c r="AG289">
        <v>1.23841194444414</v>
      </c>
    </row>
    <row r="290" spans="24:33">
      <c r="X290">
        <v>143.712</v>
      </c>
      <c r="Y290">
        <v>1.21953520728862</v>
      </c>
      <c r="Z290">
        <v>143.712</v>
      </c>
      <c r="AA290">
        <v>1.23171256742735</v>
      </c>
      <c r="AB290">
        <v>143.712</v>
      </c>
      <c r="AC290">
        <v>1.24798649881843</v>
      </c>
      <c r="AD290">
        <v>143.712</v>
      </c>
      <c r="AE290">
        <v>1.22046340621456</v>
      </c>
      <c r="AF290">
        <v>143.712</v>
      </c>
      <c r="AG290">
        <v>1.24184122098328</v>
      </c>
    </row>
    <row r="291" spans="24:33">
      <c r="X291">
        <v>144.211</v>
      </c>
      <c r="Y291">
        <v>1.21736828358104</v>
      </c>
      <c r="Z291">
        <v>144.211</v>
      </c>
      <c r="AA291">
        <v>1.23534187312502</v>
      </c>
      <c r="AB291">
        <v>144.211</v>
      </c>
      <c r="AC291">
        <v>1.24729874028677</v>
      </c>
      <c r="AD291">
        <v>144.211</v>
      </c>
      <c r="AE291">
        <v>1.22610036279823</v>
      </c>
      <c r="AF291">
        <v>144.211</v>
      </c>
      <c r="AG291">
        <v>1.24505626721241</v>
      </c>
    </row>
    <row r="292" spans="24:33">
      <c r="X292">
        <v>144.71</v>
      </c>
      <c r="Y292">
        <v>1.21908585275849</v>
      </c>
      <c r="Z292">
        <v>144.71</v>
      </c>
      <c r="AA292">
        <v>1.24054005750674</v>
      </c>
      <c r="AB292">
        <v>144.71</v>
      </c>
      <c r="AC292">
        <v>1.24915400229508</v>
      </c>
      <c r="AD292">
        <v>144.71</v>
      </c>
      <c r="AE292">
        <v>1.22814344687217</v>
      </c>
      <c r="AF292">
        <v>144.71</v>
      </c>
      <c r="AG292">
        <v>1.23955834807388</v>
      </c>
    </row>
    <row r="293" spans="24:33">
      <c r="X293">
        <v>145.209</v>
      </c>
      <c r="Y293">
        <v>1.22761534093847</v>
      </c>
      <c r="Z293">
        <v>145.209</v>
      </c>
      <c r="AA293">
        <v>1.23962562672433</v>
      </c>
      <c r="AB293">
        <v>145.209</v>
      </c>
      <c r="AC293">
        <v>1.24929369795041</v>
      </c>
      <c r="AD293">
        <v>145.209</v>
      </c>
      <c r="AE293">
        <v>1.22680720086825</v>
      </c>
      <c r="AF293">
        <v>145.209</v>
      </c>
      <c r="AG293">
        <v>1.23878847522294</v>
      </c>
    </row>
    <row r="294" spans="24:33">
      <c r="X294">
        <v>145.708</v>
      </c>
      <c r="Y294">
        <v>1.21688198682379</v>
      </c>
      <c r="Z294">
        <v>145.708</v>
      </c>
      <c r="AA294">
        <v>1.24248751600082</v>
      </c>
      <c r="AB294">
        <v>145.708</v>
      </c>
      <c r="AC294">
        <v>1.247654743215</v>
      </c>
      <c r="AD294">
        <v>145.708</v>
      </c>
      <c r="AE294">
        <v>1.22429727892629</v>
      </c>
      <c r="AF294">
        <v>145.708</v>
      </c>
      <c r="AG294">
        <v>1.23113573661077</v>
      </c>
    </row>
    <row r="295" spans="24:33">
      <c r="X295">
        <v>146.207</v>
      </c>
      <c r="Y295">
        <v>1.22527851764454</v>
      </c>
      <c r="Z295">
        <v>146.207</v>
      </c>
      <c r="AA295">
        <v>1.24030453727591</v>
      </c>
      <c r="AB295">
        <v>146.207</v>
      </c>
      <c r="AC295">
        <v>1.24876727554502</v>
      </c>
      <c r="AD295">
        <v>146.207</v>
      </c>
      <c r="AE295">
        <v>1.23083536811537</v>
      </c>
      <c r="AF295">
        <v>146.207</v>
      </c>
      <c r="AG295">
        <v>1.23288629724059</v>
      </c>
    </row>
    <row r="296" spans="24:33">
      <c r="X296">
        <v>146.706</v>
      </c>
      <c r="Y296">
        <v>1.2252870660661</v>
      </c>
      <c r="Z296">
        <v>146.706</v>
      </c>
      <c r="AA296">
        <v>1.23454907425867</v>
      </c>
      <c r="AB296">
        <v>146.706</v>
      </c>
      <c r="AC296">
        <v>1.25894517731345</v>
      </c>
      <c r="AD296">
        <v>146.706</v>
      </c>
      <c r="AE296">
        <v>1.22206995656925</v>
      </c>
      <c r="AF296">
        <v>146.706</v>
      </c>
      <c r="AG296">
        <v>1.23789977233472</v>
      </c>
    </row>
    <row r="297" spans="24:33">
      <c r="X297">
        <v>147.205</v>
      </c>
      <c r="Y297">
        <v>1.22485451109004</v>
      </c>
      <c r="Z297">
        <v>147.205</v>
      </c>
      <c r="AA297">
        <v>1.23732440038439</v>
      </c>
      <c r="AB297">
        <v>147.205</v>
      </c>
      <c r="AC297">
        <v>1.24922763495931</v>
      </c>
      <c r="AD297">
        <v>147.205</v>
      </c>
      <c r="AE297">
        <v>1.22295212092045</v>
      </c>
      <c r="AF297">
        <v>147.205</v>
      </c>
      <c r="AG297">
        <v>1.23170809526937</v>
      </c>
    </row>
    <row r="298" spans="24:33">
      <c r="X298">
        <v>147.704</v>
      </c>
      <c r="Y298">
        <v>1.22179321047328</v>
      </c>
      <c r="Z298">
        <v>147.704</v>
      </c>
      <c r="AA298">
        <v>1.23676415894892</v>
      </c>
      <c r="AB298">
        <v>147.704</v>
      </c>
      <c r="AC298">
        <v>1.25219057010187</v>
      </c>
      <c r="AD298">
        <v>147.704</v>
      </c>
      <c r="AE298">
        <v>1.23439705021367</v>
      </c>
      <c r="AF298">
        <v>147.704</v>
      </c>
      <c r="AG298">
        <v>1.24371956331379</v>
      </c>
    </row>
    <row r="299" spans="24:33">
      <c r="X299">
        <v>148.203</v>
      </c>
      <c r="Y299">
        <v>1.22383696872328</v>
      </c>
      <c r="Z299">
        <v>148.203</v>
      </c>
      <c r="AA299">
        <v>1.23801850718778</v>
      </c>
      <c r="AB299">
        <v>148.203</v>
      </c>
      <c r="AC299">
        <v>1.24669406242021</v>
      </c>
      <c r="AD299">
        <v>148.203</v>
      </c>
      <c r="AE299">
        <v>1.23280298538364</v>
      </c>
      <c r="AF299">
        <v>148.203</v>
      </c>
      <c r="AG299">
        <v>1.25036564788263</v>
      </c>
    </row>
    <row r="300" spans="24:33">
      <c r="X300">
        <v>148.702</v>
      </c>
      <c r="Y300">
        <v>1.22882086694531</v>
      </c>
      <c r="Z300">
        <v>148.702</v>
      </c>
      <c r="AA300">
        <v>1.23165456668432</v>
      </c>
      <c r="AB300">
        <v>148.702</v>
      </c>
      <c r="AC300">
        <v>1.26195359870923</v>
      </c>
      <c r="AD300">
        <v>148.702</v>
      </c>
      <c r="AE300">
        <v>1.22724224775995</v>
      </c>
      <c r="AF300">
        <v>148.702</v>
      </c>
      <c r="AG300">
        <v>1.24150523863702</v>
      </c>
    </row>
    <row r="301" spans="24:33">
      <c r="X301">
        <v>149.201</v>
      </c>
      <c r="Y301">
        <v>1.21976949598339</v>
      </c>
      <c r="Z301">
        <v>149.201</v>
      </c>
      <c r="AA301">
        <v>1.23382927968557</v>
      </c>
      <c r="AB301">
        <v>149.201</v>
      </c>
      <c r="AC301">
        <v>1.25403288221717</v>
      </c>
      <c r="AD301">
        <v>149.201</v>
      </c>
      <c r="AE301">
        <v>1.22823817422916</v>
      </c>
      <c r="AF301">
        <v>149.201</v>
      </c>
      <c r="AG301">
        <v>1.23775728016313</v>
      </c>
    </row>
    <row r="302" spans="24:33">
      <c r="X302">
        <v>149.7</v>
      </c>
      <c r="Y302">
        <v>1.22710725571104</v>
      </c>
      <c r="Z302">
        <v>149.7</v>
      </c>
      <c r="AA302">
        <v>1.2322755277555</v>
      </c>
      <c r="AB302">
        <v>149.7</v>
      </c>
      <c r="AC302">
        <v>1.26250455834311</v>
      </c>
      <c r="AD302">
        <v>149.7</v>
      </c>
      <c r="AE302">
        <v>1.22572949268975</v>
      </c>
      <c r="AF302">
        <v>149.7</v>
      </c>
      <c r="AG302">
        <v>1.23981275372032</v>
      </c>
    </row>
    <row r="303" spans="24:33">
      <c r="X303">
        <v>150.199</v>
      </c>
      <c r="Y303">
        <v>1.21591821823605</v>
      </c>
      <c r="Z303">
        <v>150.199</v>
      </c>
      <c r="AA303">
        <v>1.22748015136864</v>
      </c>
      <c r="AB303">
        <v>150.199</v>
      </c>
      <c r="AC303">
        <v>1.2571612562738</v>
      </c>
      <c r="AD303">
        <v>150.199</v>
      </c>
      <c r="AE303">
        <v>1.22866428610028</v>
      </c>
      <c r="AF303">
        <v>150.199</v>
      </c>
      <c r="AG303">
        <v>1.24965581699502</v>
      </c>
    </row>
    <row r="304" spans="24:33">
      <c r="X304">
        <v>150.698</v>
      </c>
      <c r="Y304">
        <v>1.21699830151928</v>
      </c>
      <c r="Z304">
        <v>150.698</v>
      </c>
      <c r="AA304">
        <v>1.23906629399282</v>
      </c>
      <c r="AB304">
        <v>150.698</v>
      </c>
      <c r="AC304">
        <v>1.26096640551043</v>
      </c>
      <c r="AD304">
        <v>150.698</v>
      </c>
      <c r="AE304">
        <v>1.21995962801082</v>
      </c>
      <c r="AF304">
        <v>150.698</v>
      </c>
      <c r="AG304">
        <v>1.24788706171411</v>
      </c>
    </row>
    <row r="305" spans="24:33">
      <c r="X305">
        <v>151.197</v>
      </c>
      <c r="Y305">
        <v>1.22314101662022</v>
      </c>
      <c r="Z305">
        <v>151.197</v>
      </c>
      <c r="AA305">
        <v>1.23202611569941</v>
      </c>
      <c r="AB305">
        <v>151.197</v>
      </c>
      <c r="AC305">
        <v>1.25374867998542</v>
      </c>
      <c r="AD305">
        <v>151.197</v>
      </c>
      <c r="AE305">
        <v>1.22766297932345</v>
      </c>
      <c r="AF305">
        <v>151.197</v>
      </c>
      <c r="AG305">
        <v>1.24347350352015</v>
      </c>
    </row>
    <row r="306" spans="24:33">
      <c r="X306">
        <v>151.696</v>
      </c>
      <c r="Y306">
        <v>1.22602621779104</v>
      </c>
      <c r="Z306">
        <v>151.696</v>
      </c>
      <c r="AA306">
        <v>1.23376713299249</v>
      </c>
      <c r="AB306">
        <v>151.696</v>
      </c>
      <c r="AC306">
        <v>1.24750188701561</v>
      </c>
      <c r="AD306">
        <v>151.696</v>
      </c>
      <c r="AE306">
        <v>1.2149424360884</v>
      </c>
      <c r="AF306">
        <v>151.696</v>
      </c>
      <c r="AG306">
        <v>1.24045178424178</v>
      </c>
    </row>
    <row r="307" spans="24:33">
      <c r="X307">
        <v>152.195</v>
      </c>
      <c r="Y307">
        <v>1.21695782358366</v>
      </c>
      <c r="Z307">
        <v>152.195</v>
      </c>
      <c r="AA307">
        <v>1.23147398097894</v>
      </c>
      <c r="AB307">
        <v>152.195</v>
      </c>
      <c r="AC307">
        <v>1.24605324742794</v>
      </c>
      <c r="AD307">
        <v>152.195</v>
      </c>
      <c r="AE307">
        <v>1.22425838310789</v>
      </c>
      <c r="AF307">
        <v>152.195</v>
      </c>
      <c r="AG307">
        <v>1.2483456644154</v>
      </c>
    </row>
    <row r="308" spans="24:33">
      <c r="X308">
        <v>152.694</v>
      </c>
      <c r="Y308">
        <v>1.216738367803</v>
      </c>
      <c r="Z308">
        <v>152.694</v>
      </c>
      <c r="AA308">
        <v>1.23000657758187</v>
      </c>
      <c r="AB308">
        <v>152.694</v>
      </c>
      <c r="AC308">
        <v>1.24322521215832</v>
      </c>
      <c r="AD308">
        <v>152.694</v>
      </c>
      <c r="AE308">
        <v>1.21421261636943</v>
      </c>
      <c r="AF308">
        <v>152.694</v>
      </c>
      <c r="AG308">
        <v>1.24941520112811</v>
      </c>
    </row>
    <row r="309" spans="24:33">
      <c r="X309">
        <v>153.193</v>
      </c>
      <c r="Y309">
        <v>1.22114438885887</v>
      </c>
      <c r="Z309">
        <v>153.193</v>
      </c>
      <c r="AA309">
        <v>1.2341644423378</v>
      </c>
      <c r="AB309">
        <v>153.193</v>
      </c>
      <c r="AC309">
        <v>1.25715496774323</v>
      </c>
      <c r="AD309">
        <v>153.193</v>
      </c>
      <c r="AE309">
        <v>1.21620683791134</v>
      </c>
      <c r="AF309">
        <v>153.193</v>
      </c>
      <c r="AG309">
        <v>1.26004199956743</v>
      </c>
    </row>
    <row r="310" spans="24:33">
      <c r="X310">
        <v>153.692</v>
      </c>
      <c r="Y310">
        <v>1.22618553356092</v>
      </c>
      <c r="Z310">
        <v>153.692</v>
      </c>
      <c r="AA310">
        <v>1.22467619553844</v>
      </c>
      <c r="AB310">
        <v>153.692</v>
      </c>
      <c r="AC310">
        <v>1.2594398620461</v>
      </c>
      <c r="AD310">
        <v>153.692</v>
      </c>
      <c r="AE310">
        <v>1.21026263179636</v>
      </c>
      <c r="AF310">
        <v>153.692</v>
      </c>
      <c r="AG310">
        <v>1.26062280552222</v>
      </c>
    </row>
    <row r="311" spans="24:33">
      <c r="X311">
        <v>154.191</v>
      </c>
      <c r="Y311">
        <v>1.22122423539304</v>
      </c>
      <c r="Z311">
        <v>154.191</v>
      </c>
      <c r="AA311">
        <v>1.24021618421195</v>
      </c>
      <c r="AB311">
        <v>154.191</v>
      </c>
      <c r="AC311">
        <v>1.25322385948465</v>
      </c>
      <c r="AD311">
        <v>154.191</v>
      </c>
      <c r="AE311">
        <v>1.22498862550344</v>
      </c>
      <c r="AF311">
        <v>154.191</v>
      </c>
      <c r="AG311">
        <v>1.25395098455555</v>
      </c>
    </row>
    <row r="312" spans="24:33">
      <c r="X312">
        <v>154.69</v>
      </c>
      <c r="Y312">
        <v>1.2234492654953</v>
      </c>
      <c r="Z312">
        <v>154.69</v>
      </c>
      <c r="AA312">
        <v>1.23647221486717</v>
      </c>
      <c r="AB312">
        <v>154.69</v>
      </c>
      <c r="AC312">
        <v>1.26735397723367</v>
      </c>
      <c r="AD312">
        <v>154.69</v>
      </c>
      <c r="AE312">
        <v>1.22182787956681</v>
      </c>
      <c r="AF312">
        <v>154.69</v>
      </c>
      <c r="AG312">
        <v>1.24935738543995</v>
      </c>
    </row>
    <row r="313" spans="24:33">
      <c r="X313">
        <v>155.189</v>
      </c>
      <c r="Y313">
        <v>1.22086300930519</v>
      </c>
      <c r="Z313">
        <v>155.189</v>
      </c>
      <c r="AA313">
        <v>1.23298041058358</v>
      </c>
      <c r="AB313">
        <v>155.189</v>
      </c>
      <c r="AC313">
        <v>1.26960478855845</v>
      </c>
      <c r="AD313">
        <v>155.189</v>
      </c>
      <c r="AE313">
        <v>1.21901772335854</v>
      </c>
      <c r="AF313">
        <v>155.189</v>
      </c>
      <c r="AG313">
        <v>1.25104608313185</v>
      </c>
    </row>
    <row r="314" spans="24:33">
      <c r="X314">
        <v>155.688</v>
      </c>
      <c r="Y314">
        <v>1.23173706779363</v>
      </c>
      <c r="Z314">
        <v>155.688</v>
      </c>
      <c r="AA314">
        <v>1.24384883844056</v>
      </c>
      <c r="AB314">
        <v>155.688</v>
      </c>
      <c r="AC314">
        <v>1.26255066962153</v>
      </c>
      <c r="AD314">
        <v>155.688</v>
      </c>
      <c r="AE314">
        <v>1.22451339525222</v>
      </c>
      <c r="AF314">
        <v>155.688</v>
      </c>
      <c r="AG314">
        <v>1.24185751997283</v>
      </c>
    </row>
    <row r="315" spans="24:33">
      <c r="X315">
        <v>156.187</v>
      </c>
      <c r="Y315">
        <v>1.22818203116835</v>
      </c>
      <c r="Z315">
        <v>156.187</v>
      </c>
      <c r="AA315">
        <v>1.24735136745709</v>
      </c>
      <c r="AB315">
        <v>156.187</v>
      </c>
      <c r="AC315">
        <v>1.26575795025916</v>
      </c>
      <c r="AD315">
        <v>156.187</v>
      </c>
      <c r="AE315">
        <v>1.22557571157586</v>
      </c>
      <c r="AF315">
        <v>156.187</v>
      </c>
      <c r="AG315">
        <v>1.24971164671869</v>
      </c>
    </row>
    <row r="316" spans="24:33">
      <c r="X316">
        <v>156.686</v>
      </c>
      <c r="Y316">
        <v>1.22143694826767</v>
      </c>
      <c r="Z316">
        <v>156.686</v>
      </c>
      <c r="AA316">
        <v>1.23121042477416</v>
      </c>
      <c r="AB316">
        <v>156.686</v>
      </c>
      <c r="AC316">
        <v>1.26405371841369</v>
      </c>
      <c r="AD316">
        <v>156.686</v>
      </c>
      <c r="AE316">
        <v>1.2186250195159</v>
      </c>
      <c r="AF316">
        <v>156.686</v>
      </c>
      <c r="AG316">
        <v>1.24150197804047</v>
      </c>
    </row>
    <row r="317" spans="24:33">
      <c r="X317">
        <v>157.185</v>
      </c>
      <c r="Y317">
        <v>1.21542756712013</v>
      </c>
      <c r="Z317">
        <v>157.185</v>
      </c>
      <c r="AA317">
        <v>1.23251865773553</v>
      </c>
      <c r="AB317">
        <v>157.185</v>
      </c>
      <c r="AC317">
        <v>1.26224977300095</v>
      </c>
      <c r="AD317">
        <v>157.185</v>
      </c>
      <c r="AE317">
        <v>1.21991470293677</v>
      </c>
      <c r="AF317">
        <v>157.185</v>
      </c>
      <c r="AG317">
        <v>1.24868054119655</v>
      </c>
    </row>
    <row r="318" spans="24:33">
      <c r="X318">
        <v>157.684</v>
      </c>
      <c r="Y318">
        <v>1.21901257627282</v>
      </c>
      <c r="Z318">
        <v>157.684</v>
      </c>
      <c r="AA318">
        <v>1.23953085655501</v>
      </c>
      <c r="AB318">
        <v>157.684</v>
      </c>
      <c r="AC318">
        <v>1.27006657185174</v>
      </c>
      <c r="AD318">
        <v>157.684</v>
      </c>
      <c r="AE318">
        <v>1.21847368097536</v>
      </c>
      <c r="AF318">
        <v>157.684</v>
      </c>
      <c r="AG318">
        <v>1.25042793760267</v>
      </c>
    </row>
    <row r="319" spans="24:33">
      <c r="X319">
        <v>158.183</v>
      </c>
      <c r="Y319">
        <v>1.23116427541913</v>
      </c>
      <c r="Z319">
        <v>158.183</v>
      </c>
      <c r="AA319">
        <v>1.23627771834615</v>
      </c>
      <c r="AB319">
        <v>158.183</v>
      </c>
      <c r="AC319">
        <v>1.25939379954396</v>
      </c>
      <c r="AD319">
        <v>158.183</v>
      </c>
      <c r="AE319">
        <v>1.22652725808317</v>
      </c>
      <c r="AF319">
        <v>158.183</v>
      </c>
      <c r="AG319">
        <v>1.25007649365997</v>
      </c>
    </row>
    <row r="320" spans="24:33">
      <c r="X320">
        <v>158.682</v>
      </c>
      <c r="Y320">
        <v>1.23323435759405</v>
      </c>
      <c r="Z320">
        <v>158.682</v>
      </c>
      <c r="AA320">
        <v>1.24211002118197</v>
      </c>
      <c r="AB320">
        <v>158.682</v>
      </c>
      <c r="AC320">
        <v>1.26852078175953</v>
      </c>
      <c r="AD320">
        <v>158.682</v>
      </c>
      <c r="AE320">
        <v>1.21952038804067</v>
      </c>
      <c r="AF320">
        <v>158.682</v>
      </c>
      <c r="AG320">
        <v>1.24813463518272</v>
      </c>
    </row>
    <row r="321" spans="24:33">
      <c r="X321">
        <v>159.181</v>
      </c>
      <c r="Y321">
        <v>1.22366054947785</v>
      </c>
      <c r="Z321">
        <v>159.181</v>
      </c>
      <c r="AA321">
        <v>1.23872084749835</v>
      </c>
      <c r="AB321">
        <v>159.181</v>
      </c>
      <c r="AC321">
        <v>1.27269817403873</v>
      </c>
      <c r="AD321">
        <v>159.181</v>
      </c>
      <c r="AE321">
        <v>1.2284260498472</v>
      </c>
      <c r="AF321">
        <v>159.181</v>
      </c>
      <c r="AG321">
        <v>1.25278787011814</v>
      </c>
    </row>
    <row r="322" spans="24:33">
      <c r="X322">
        <v>159.68</v>
      </c>
      <c r="Y322">
        <v>1.21785290635378</v>
      </c>
      <c r="Z322">
        <v>159.68</v>
      </c>
      <c r="AA322">
        <v>1.23354397868001</v>
      </c>
      <c r="AB322">
        <v>159.68</v>
      </c>
      <c r="AC322">
        <v>1.26893147120007</v>
      </c>
      <c r="AD322">
        <v>159.68</v>
      </c>
      <c r="AE322">
        <v>1.22278238041515</v>
      </c>
      <c r="AF322">
        <v>159.68</v>
      </c>
      <c r="AG322">
        <v>1.25344338481085</v>
      </c>
    </row>
    <row r="323" spans="24:33">
      <c r="X323">
        <v>160.179</v>
      </c>
      <c r="Y323">
        <v>1.21835089897635</v>
      </c>
      <c r="Z323">
        <v>160.179</v>
      </c>
      <c r="AA323">
        <v>1.24152884002647</v>
      </c>
      <c r="AB323">
        <v>160.179</v>
      </c>
      <c r="AC323">
        <v>1.2647285237242</v>
      </c>
      <c r="AD323">
        <v>160.179</v>
      </c>
      <c r="AE323">
        <v>1.23371629615726</v>
      </c>
      <c r="AF323">
        <v>160.179</v>
      </c>
      <c r="AG323">
        <v>1.23932366176998</v>
      </c>
    </row>
    <row r="324" spans="24:33">
      <c r="X324">
        <v>160.678</v>
      </c>
      <c r="Y324">
        <v>1.21910198635342</v>
      </c>
      <c r="Z324">
        <v>160.678</v>
      </c>
      <c r="AA324">
        <v>1.24975400581367</v>
      </c>
      <c r="AB324">
        <v>160.678</v>
      </c>
      <c r="AC324">
        <v>1.26586017219607</v>
      </c>
      <c r="AD324">
        <v>160.678</v>
      </c>
      <c r="AE324">
        <v>1.22640626001985</v>
      </c>
      <c r="AF324">
        <v>160.678</v>
      </c>
      <c r="AG324">
        <v>1.24809068676154</v>
      </c>
    </row>
    <row r="325" spans="24:33">
      <c r="X325">
        <v>161.177</v>
      </c>
      <c r="Y325">
        <v>1.22188208565204</v>
      </c>
      <c r="Z325">
        <v>161.177</v>
      </c>
      <c r="AA325">
        <v>1.2518980698567</v>
      </c>
      <c r="AB325">
        <v>161.177</v>
      </c>
      <c r="AC325">
        <v>1.27287636493075</v>
      </c>
      <c r="AD325">
        <v>161.177</v>
      </c>
      <c r="AE325">
        <v>1.22597114077311</v>
      </c>
      <c r="AF325">
        <v>161.177</v>
      </c>
      <c r="AG325">
        <v>1.250132126735</v>
      </c>
    </row>
    <row r="326" spans="24:33">
      <c r="X326">
        <v>161.676</v>
      </c>
      <c r="Y326">
        <v>1.21732130466819</v>
      </c>
      <c r="Z326">
        <v>161.676</v>
      </c>
      <c r="AA326">
        <v>1.24545863491071</v>
      </c>
      <c r="AB326">
        <v>161.676</v>
      </c>
      <c r="AC326">
        <v>1.2613817004959</v>
      </c>
      <c r="AD326">
        <v>161.676</v>
      </c>
      <c r="AE326">
        <v>1.22553535938441</v>
      </c>
      <c r="AF326">
        <v>161.676</v>
      </c>
      <c r="AG326">
        <v>1.25251893747111</v>
      </c>
    </row>
    <row r="327" spans="24:33">
      <c r="X327">
        <v>162.175</v>
      </c>
      <c r="Y327">
        <v>1.22977342114139</v>
      </c>
      <c r="Z327">
        <v>162.175</v>
      </c>
      <c r="AA327">
        <v>1.23597551996834</v>
      </c>
      <c r="AB327">
        <v>162.175</v>
      </c>
      <c r="AC327">
        <v>1.26460946189972</v>
      </c>
      <c r="AD327">
        <v>162.175</v>
      </c>
      <c r="AE327">
        <v>1.22486686206227</v>
      </c>
      <c r="AF327">
        <v>162.175</v>
      </c>
      <c r="AG327">
        <v>1.24828940569405</v>
      </c>
    </row>
    <row r="328" spans="24:33">
      <c r="X328">
        <v>162.674</v>
      </c>
      <c r="Y328">
        <v>1.22534779069626</v>
      </c>
      <c r="Z328">
        <v>162.674</v>
      </c>
      <c r="AA328">
        <v>1.23292173138743</v>
      </c>
      <c r="AB328">
        <v>162.674</v>
      </c>
      <c r="AC328">
        <v>1.26650294302662</v>
      </c>
      <c r="AD328">
        <v>162.674</v>
      </c>
      <c r="AE328">
        <v>1.22608688984701</v>
      </c>
      <c r="AF328">
        <v>162.674</v>
      </c>
      <c r="AG328">
        <v>1.24027431426601</v>
      </c>
    </row>
    <row r="329" spans="24:33">
      <c r="X329">
        <v>163.173</v>
      </c>
      <c r="Y329">
        <v>1.21927142501674</v>
      </c>
      <c r="Z329">
        <v>163.173</v>
      </c>
      <c r="AA329">
        <v>1.23887700266836</v>
      </c>
      <c r="AB329">
        <v>163.173</v>
      </c>
      <c r="AC329">
        <v>1.26551383071085</v>
      </c>
      <c r="AD329">
        <v>163.173</v>
      </c>
      <c r="AE329">
        <v>1.23070291773666</v>
      </c>
      <c r="AF329">
        <v>163.173</v>
      </c>
      <c r="AG329">
        <v>1.24146215065381</v>
      </c>
    </row>
    <row r="330" spans="24:33">
      <c r="X330">
        <v>163.672</v>
      </c>
      <c r="Y330">
        <v>1.2255123332873</v>
      </c>
      <c r="Z330">
        <v>163.672</v>
      </c>
      <c r="AA330">
        <v>1.23837463491584</v>
      </c>
      <c r="AB330">
        <v>163.672</v>
      </c>
      <c r="AC330">
        <v>1.2683871272816</v>
      </c>
      <c r="AD330">
        <v>163.672</v>
      </c>
      <c r="AE330">
        <v>1.22828371039745</v>
      </c>
      <c r="AF330">
        <v>163.672</v>
      </c>
      <c r="AG330">
        <v>1.25381420688271</v>
      </c>
    </row>
    <row r="331" spans="24:33">
      <c r="X331">
        <v>164.171</v>
      </c>
      <c r="Y331">
        <v>1.22789149088796</v>
      </c>
      <c r="Z331">
        <v>164.171</v>
      </c>
      <c r="AA331">
        <v>1.22848985961745</v>
      </c>
      <c r="AB331">
        <v>164.171</v>
      </c>
      <c r="AC331">
        <v>1.27125828189455</v>
      </c>
      <c r="AD331">
        <v>164.171</v>
      </c>
      <c r="AE331">
        <v>1.23483400342593</v>
      </c>
      <c r="AF331">
        <v>164.171</v>
      </c>
      <c r="AG331">
        <v>1.24622272273237</v>
      </c>
    </row>
    <row r="332" spans="24:33">
      <c r="X332">
        <v>164.67</v>
      </c>
      <c r="Y332">
        <v>1.21964201725311</v>
      </c>
      <c r="Z332">
        <v>164.67</v>
      </c>
      <c r="AA332">
        <v>1.23624253489972</v>
      </c>
      <c r="AB332">
        <v>164.67</v>
      </c>
      <c r="AC332">
        <v>1.27256472841565</v>
      </c>
      <c r="AD332">
        <v>164.67</v>
      </c>
      <c r="AE332">
        <v>1.22678526320715</v>
      </c>
      <c r="AF332">
        <v>164.67</v>
      </c>
      <c r="AG332">
        <v>1.25178665660466</v>
      </c>
    </row>
    <row r="333" spans="24:33">
      <c r="X333">
        <v>165.169</v>
      </c>
      <c r="Y333">
        <v>1.22514964988231</v>
      </c>
      <c r="Z333">
        <v>165.169</v>
      </c>
      <c r="AA333">
        <v>1.24198365742082</v>
      </c>
      <c r="AB333">
        <v>165.169</v>
      </c>
      <c r="AC333">
        <v>1.2649241948635</v>
      </c>
      <c r="AD333">
        <v>165.169</v>
      </c>
      <c r="AE333">
        <v>1.21538569274061</v>
      </c>
      <c r="AF333">
        <v>165.169</v>
      </c>
      <c r="AG333">
        <v>1.24896486718492</v>
      </c>
    </row>
    <row r="334" spans="24:33">
      <c r="X334">
        <v>165.668</v>
      </c>
      <c r="Y334">
        <v>1.22859999022108</v>
      </c>
      <c r="Z334">
        <v>165.668</v>
      </c>
      <c r="AA334">
        <v>1.23915168343532</v>
      </c>
      <c r="AB334">
        <v>165.668</v>
      </c>
      <c r="AC334">
        <v>1.25898472207868</v>
      </c>
      <c r="AD334">
        <v>165.668</v>
      </c>
      <c r="AE334">
        <v>1.21813397743664</v>
      </c>
      <c r="AF334">
        <v>165.668</v>
      </c>
      <c r="AG334">
        <v>1.24980195626201</v>
      </c>
    </row>
    <row r="335" spans="24:33">
      <c r="X335">
        <v>166.167</v>
      </c>
      <c r="Y335">
        <v>1.21744033255178</v>
      </c>
      <c r="Z335">
        <v>166.167</v>
      </c>
      <c r="AA335">
        <v>1.24739325509332</v>
      </c>
      <c r="AB335">
        <v>166.167</v>
      </c>
      <c r="AC335">
        <v>1.256317244202</v>
      </c>
      <c r="AD335">
        <v>166.167</v>
      </c>
      <c r="AE335">
        <v>1.22641774757378</v>
      </c>
      <c r="AF335">
        <v>166.167</v>
      </c>
      <c r="AG335">
        <v>1.25407411255392</v>
      </c>
    </row>
    <row r="336" spans="24:33">
      <c r="X336">
        <v>166.666</v>
      </c>
      <c r="Y336">
        <v>1.22970993772722</v>
      </c>
      <c r="Z336">
        <v>166.666</v>
      </c>
      <c r="AA336">
        <v>1.24967102588919</v>
      </c>
      <c r="AB336">
        <v>166.666</v>
      </c>
      <c r="AC336">
        <v>1.27021327320852</v>
      </c>
      <c r="AD336">
        <v>166.666</v>
      </c>
      <c r="AE336">
        <v>1.22850395804677</v>
      </c>
      <c r="AF336">
        <v>166.666</v>
      </c>
      <c r="AG336">
        <v>1.24669401108111</v>
      </c>
    </row>
    <row r="337" spans="24:33">
      <c r="X337">
        <v>167.165</v>
      </c>
      <c r="Y337">
        <v>1.22651513758847</v>
      </c>
      <c r="Z337">
        <v>167.165</v>
      </c>
      <c r="AA337">
        <v>1.23904027709661</v>
      </c>
      <c r="AB337">
        <v>167.165</v>
      </c>
      <c r="AC337">
        <v>1.26806026581775</v>
      </c>
      <c r="AD337">
        <v>167.165</v>
      </c>
      <c r="AE337">
        <v>1.2269541517329</v>
      </c>
      <c r="AF337">
        <v>167.165</v>
      </c>
      <c r="AG337">
        <v>1.24302765996652</v>
      </c>
    </row>
    <row r="338" spans="24:33">
      <c r="X338">
        <v>167.664</v>
      </c>
      <c r="Y338">
        <v>1.23030303985756</v>
      </c>
      <c r="Z338">
        <v>167.664</v>
      </c>
      <c r="AA338">
        <v>1.24473527150877</v>
      </c>
      <c r="AB338">
        <v>167.664</v>
      </c>
      <c r="AC338">
        <v>1.26820925885482</v>
      </c>
      <c r="AD338">
        <v>167.664</v>
      </c>
      <c r="AE338">
        <v>1.23460524984571</v>
      </c>
      <c r="AF338">
        <v>167.664</v>
      </c>
      <c r="AG338">
        <v>1.24753941938265</v>
      </c>
    </row>
    <row r="339" spans="24:33">
      <c r="X339">
        <v>168.163</v>
      </c>
      <c r="Y339">
        <v>1.22824763037826</v>
      </c>
      <c r="Z339">
        <v>168.163</v>
      </c>
      <c r="AA339">
        <v>1.24677861052619</v>
      </c>
      <c r="AB339">
        <v>168.163</v>
      </c>
      <c r="AC339">
        <v>1.26491732219507</v>
      </c>
      <c r="AD339">
        <v>168.163</v>
      </c>
      <c r="AE339">
        <v>1.22800267871097</v>
      </c>
      <c r="AF339">
        <v>168.163</v>
      </c>
      <c r="AG339">
        <v>1.24258591959227</v>
      </c>
    </row>
    <row r="340" spans="24:33">
      <c r="X340">
        <v>168.662</v>
      </c>
      <c r="Y340">
        <v>1.23077266648628</v>
      </c>
      <c r="Z340">
        <v>168.662</v>
      </c>
      <c r="AA340">
        <v>1.24548244230501</v>
      </c>
      <c r="AB340">
        <v>168.662</v>
      </c>
      <c r="AC340">
        <v>1.27305377750375</v>
      </c>
      <c r="AD340">
        <v>168.662</v>
      </c>
      <c r="AE340">
        <v>1.22761701088297</v>
      </c>
      <c r="AF340">
        <v>168.662</v>
      </c>
      <c r="AG340">
        <v>1.24695558349548</v>
      </c>
    </row>
    <row r="341" spans="24:33">
      <c r="X341">
        <v>169.161</v>
      </c>
      <c r="Y341">
        <v>1.22453928588623</v>
      </c>
      <c r="Z341">
        <v>169.161</v>
      </c>
      <c r="AA341">
        <v>1.24933852833283</v>
      </c>
      <c r="AB341">
        <v>169.161</v>
      </c>
      <c r="AC341">
        <v>1.26919799783384</v>
      </c>
      <c r="AD341">
        <v>169.161</v>
      </c>
      <c r="AE341">
        <v>1.23264768950355</v>
      </c>
      <c r="AF341">
        <v>169.161</v>
      </c>
      <c r="AG341">
        <v>1.25453279540473</v>
      </c>
    </row>
    <row r="342" spans="24:33">
      <c r="X342">
        <v>169.66</v>
      </c>
      <c r="Y342">
        <v>1.227508089525</v>
      </c>
      <c r="Z342">
        <v>169.66</v>
      </c>
      <c r="AA342">
        <v>1.23742985008008</v>
      </c>
      <c r="AB342">
        <v>169.66</v>
      </c>
      <c r="AC342">
        <v>1.26633054623216</v>
      </c>
      <c r="AD342">
        <v>169.66</v>
      </c>
      <c r="AE342">
        <v>1.22052452035627</v>
      </c>
      <c r="AF342">
        <v>169.66</v>
      </c>
      <c r="AG342">
        <v>1.26318853226248</v>
      </c>
    </row>
    <row r="343" spans="24:33">
      <c r="X343">
        <v>170.159</v>
      </c>
      <c r="Y343">
        <v>1.23201283984056</v>
      </c>
      <c r="Z343">
        <v>170.159</v>
      </c>
      <c r="AA343">
        <v>1.2476388818379</v>
      </c>
      <c r="AB343">
        <v>170.159</v>
      </c>
      <c r="AC343">
        <v>1.27073736391853</v>
      </c>
      <c r="AD343">
        <v>170.159</v>
      </c>
      <c r="AE343">
        <v>1.22375916789952</v>
      </c>
      <c r="AF343">
        <v>170.159</v>
      </c>
      <c r="AG343">
        <v>1.25634483793756</v>
      </c>
    </row>
    <row r="344" spans="24:33">
      <c r="X344">
        <v>170.658</v>
      </c>
      <c r="Y344">
        <v>1.23131778167697</v>
      </c>
      <c r="Z344">
        <v>170.658</v>
      </c>
      <c r="AA344">
        <v>1.24542457565219</v>
      </c>
      <c r="AB344">
        <v>170.658</v>
      </c>
      <c r="AC344">
        <v>1.26993074922651</v>
      </c>
      <c r="AD344">
        <v>170.658</v>
      </c>
      <c r="AE344">
        <v>1.22514779199379</v>
      </c>
      <c r="AF344">
        <v>170.658</v>
      </c>
      <c r="AG344">
        <v>1.2532102428354</v>
      </c>
    </row>
    <row r="345" spans="24:33">
      <c r="X345">
        <v>171.157</v>
      </c>
      <c r="Y345">
        <v>1.22711576510318</v>
      </c>
      <c r="Z345">
        <v>171.157</v>
      </c>
      <c r="AA345">
        <v>1.24602530326663</v>
      </c>
      <c r="AB345">
        <v>171.157</v>
      </c>
      <c r="AC345">
        <v>1.2650878200769</v>
      </c>
      <c r="AD345">
        <v>171.157</v>
      </c>
      <c r="AE345">
        <v>1.22767471735704</v>
      </c>
      <c r="AF345">
        <v>171.157</v>
      </c>
      <c r="AG345">
        <v>1.25150843501113</v>
      </c>
    </row>
    <row r="346" spans="24:33">
      <c r="X346">
        <v>171.656</v>
      </c>
      <c r="Y346">
        <v>1.22901405329558</v>
      </c>
      <c r="Z346">
        <v>171.656</v>
      </c>
      <c r="AA346">
        <v>1.24757579347559</v>
      </c>
      <c r="AB346">
        <v>171.656</v>
      </c>
      <c r="AC346">
        <v>1.27718381579503</v>
      </c>
      <c r="AD346">
        <v>171.656</v>
      </c>
      <c r="AE346">
        <v>1.22080853337672</v>
      </c>
      <c r="AF346">
        <v>171.656</v>
      </c>
      <c r="AG346">
        <v>1.24482885590513</v>
      </c>
    </row>
    <row r="347" spans="24:33">
      <c r="X347">
        <v>172.155</v>
      </c>
      <c r="Y347">
        <v>1.22056369896596</v>
      </c>
      <c r="Z347">
        <v>172.155</v>
      </c>
      <c r="AA347">
        <v>1.24733303781605</v>
      </c>
      <c r="AB347">
        <v>172.155</v>
      </c>
      <c r="AC347">
        <v>1.2776228799057</v>
      </c>
      <c r="AD347">
        <v>172.155</v>
      </c>
      <c r="AE347">
        <v>1.23586770521132</v>
      </c>
      <c r="AF347">
        <v>172.155</v>
      </c>
      <c r="AG347">
        <v>1.24808286579615</v>
      </c>
    </row>
    <row r="348" spans="24:33">
      <c r="X348">
        <v>172.654</v>
      </c>
      <c r="Y348">
        <v>1.21365249881652</v>
      </c>
      <c r="Z348">
        <v>172.654</v>
      </c>
      <c r="AA348">
        <v>1.2472646427632</v>
      </c>
      <c r="AB348">
        <v>172.654</v>
      </c>
      <c r="AC348">
        <v>1.27290906971393</v>
      </c>
      <c r="AD348">
        <v>172.654</v>
      </c>
      <c r="AE348">
        <v>1.23386906404803</v>
      </c>
      <c r="AF348">
        <v>172.654</v>
      </c>
      <c r="AG348">
        <v>1.24589038382041</v>
      </c>
    </row>
    <row r="349" spans="24:33">
      <c r="X349">
        <v>173.153</v>
      </c>
      <c r="Y349">
        <v>1.22050740212208</v>
      </c>
      <c r="Z349">
        <v>173.153</v>
      </c>
      <c r="AA349">
        <v>1.24754527125307</v>
      </c>
      <c r="AB349">
        <v>173.153</v>
      </c>
      <c r="AC349">
        <v>1.27440524758325</v>
      </c>
      <c r="AD349">
        <v>173.153</v>
      </c>
      <c r="AE349">
        <v>1.22697306626559</v>
      </c>
      <c r="AF349">
        <v>173.153</v>
      </c>
      <c r="AG349">
        <v>1.25012771456437</v>
      </c>
    </row>
    <row r="350" spans="24:33">
      <c r="X350">
        <v>173.652</v>
      </c>
      <c r="Y350">
        <v>1.22000207590773</v>
      </c>
      <c r="Z350">
        <v>173.652</v>
      </c>
      <c r="AA350">
        <v>1.24941732520209</v>
      </c>
      <c r="AB350">
        <v>173.652</v>
      </c>
      <c r="AC350">
        <v>1.28433216947184</v>
      </c>
      <c r="AD350">
        <v>173.652</v>
      </c>
      <c r="AE350">
        <v>1.2193730553706</v>
      </c>
      <c r="AF350">
        <v>173.652</v>
      </c>
      <c r="AG350">
        <v>1.25231589837649</v>
      </c>
    </row>
    <row r="351" spans="24:33">
      <c r="X351">
        <v>174.151</v>
      </c>
      <c r="Y351">
        <v>1.22998567947041</v>
      </c>
      <c r="Z351">
        <v>174.151</v>
      </c>
      <c r="AA351">
        <v>1.2417521996424</v>
      </c>
      <c r="AB351">
        <v>174.151</v>
      </c>
      <c r="AC351">
        <v>1.26416657242415</v>
      </c>
      <c r="AD351">
        <v>174.151</v>
      </c>
      <c r="AE351">
        <v>1.21667940122674</v>
      </c>
      <c r="AF351">
        <v>174.151</v>
      </c>
      <c r="AG351">
        <v>1.25501185807977</v>
      </c>
    </row>
    <row r="352" spans="24:33">
      <c r="X352">
        <v>174.65</v>
      </c>
      <c r="Y352">
        <v>1.23263172409167</v>
      </c>
      <c r="Z352">
        <v>174.65</v>
      </c>
      <c r="AA352">
        <v>1.24715713072502</v>
      </c>
      <c r="AB352">
        <v>174.65</v>
      </c>
      <c r="AC352">
        <v>1.27398475167335</v>
      </c>
      <c r="AD352">
        <v>174.65</v>
      </c>
      <c r="AE352">
        <v>1.21993770585081</v>
      </c>
      <c r="AF352">
        <v>174.65</v>
      </c>
      <c r="AG352">
        <v>1.24691723680366</v>
      </c>
    </row>
    <row r="353" spans="24:33">
      <c r="X353">
        <v>175.149</v>
      </c>
      <c r="Y353">
        <v>1.22616577485045</v>
      </c>
      <c r="Z353">
        <v>175.149</v>
      </c>
      <c r="AA353">
        <v>1.25214217240594</v>
      </c>
      <c r="AB353">
        <v>175.149</v>
      </c>
      <c r="AC353">
        <v>1.27947899996537</v>
      </c>
      <c r="AD353">
        <v>175.149</v>
      </c>
      <c r="AE353">
        <v>1.22767812965051</v>
      </c>
      <c r="AF353">
        <v>175.149</v>
      </c>
      <c r="AG353">
        <v>1.24134447204039</v>
      </c>
    </row>
    <row r="354" spans="24:33">
      <c r="X354">
        <v>175.648</v>
      </c>
      <c r="Y354">
        <v>1.23392391188992</v>
      </c>
      <c r="Z354">
        <v>175.648</v>
      </c>
      <c r="AA354">
        <v>1.2502821198259</v>
      </c>
      <c r="AB354">
        <v>175.648</v>
      </c>
      <c r="AC354">
        <v>1.28365647026676</v>
      </c>
      <c r="AD354">
        <v>175.648</v>
      </c>
      <c r="AE354">
        <v>1.22419046418711</v>
      </c>
      <c r="AF354">
        <v>175.648</v>
      </c>
      <c r="AG354">
        <v>1.24015797463339</v>
      </c>
    </row>
    <row r="355" spans="24:33">
      <c r="X355">
        <v>176.147</v>
      </c>
      <c r="Y355">
        <v>1.22895881501018</v>
      </c>
      <c r="Z355">
        <v>176.147</v>
      </c>
      <c r="AA355">
        <v>1.24534992926775</v>
      </c>
      <c r="AB355">
        <v>176.147</v>
      </c>
      <c r="AC355">
        <v>1.28402905371218</v>
      </c>
      <c r="AD355">
        <v>176.147</v>
      </c>
      <c r="AE355">
        <v>1.22741529237885</v>
      </c>
      <c r="AF355">
        <v>176.147</v>
      </c>
      <c r="AG355">
        <v>1.24552275070298</v>
      </c>
    </row>
    <row r="356" spans="24:33">
      <c r="X356">
        <v>176.646</v>
      </c>
      <c r="Y356">
        <v>1.2242624171119</v>
      </c>
      <c r="Z356">
        <v>176.646</v>
      </c>
      <c r="AA356">
        <v>1.24905946255279</v>
      </c>
      <c r="AB356">
        <v>176.646</v>
      </c>
      <c r="AC356">
        <v>1.28485031836377</v>
      </c>
      <c r="AD356">
        <v>176.646</v>
      </c>
      <c r="AE356">
        <v>1.22253609169142</v>
      </c>
      <c r="AF356">
        <v>176.646</v>
      </c>
      <c r="AG356">
        <v>1.25477943503686</v>
      </c>
    </row>
    <row r="357" spans="24:33">
      <c r="X357">
        <v>177.145</v>
      </c>
      <c r="Y357">
        <v>1.23260397376952</v>
      </c>
      <c r="Z357">
        <v>177.145</v>
      </c>
      <c r="AA357">
        <v>1.25180123731037</v>
      </c>
      <c r="AB357">
        <v>177.145</v>
      </c>
      <c r="AC357">
        <v>1.28047149526232</v>
      </c>
      <c r="AD357">
        <v>177.145</v>
      </c>
      <c r="AE357">
        <v>1.21834862171002</v>
      </c>
      <c r="AF357">
        <v>177.145</v>
      </c>
      <c r="AG357">
        <v>1.2549764732461</v>
      </c>
    </row>
    <row r="358" spans="24:33">
      <c r="X358">
        <v>177.644</v>
      </c>
      <c r="Y358">
        <v>1.21990839896363</v>
      </c>
      <c r="Z358">
        <v>177.644</v>
      </c>
      <c r="AA358">
        <v>1.24986570569196</v>
      </c>
      <c r="AB358">
        <v>177.644</v>
      </c>
      <c r="AC358">
        <v>1.28139806903203</v>
      </c>
      <c r="AD358">
        <v>177.644</v>
      </c>
      <c r="AE358">
        <v>1.21372276161771</v>
      </c>
      <c r="AF358">
        <v>177.644</v>
      </c>
      <c r="AG358">
        <v>1.24485662187625</v>
      </c>
    </row>
    <row r="359" spans="24:33">
      <c r="X359">
        <v>178.143</v>
      </c>
      <c r="Y359">
        <v>1.22390481159731</v>
      </c>
      <c r="Z359">
        <v>178.143</v>
      </c>
      <c r="AA359">
        <v>1.24857771174271</v>
      </c>
      <c r="AB359">
        <v>178.143</v>
      </c>
      <c r="AC359">
        <v>1.27636943504378</v>
      </c>
      <c r="AD359">
        <v>178.143</v>
      </c>
      <c r="AE359">
        <v>1.21497911311483</v>
      </c>
      <c r="AF359">
        <v>178.143</v>
      </c>
      <c r="AG359">
        <v>1.23942257917749</v>
      </c>
    </row>
    <row r="360" spans="24:33">
      <c r="X360">
        <v>178.642</v>
      </c>
      <c r="Y360">
        <v>1.2169972370897</v>
      </c>
      <c r="Z360">
        <v>178.642</v>
      </c>
      <c r="AA360">
        <v>1.25002348464903</v>
      </c>
      <c r="AB360">
        <v>178.642</v>
      </c>
      <c r="AC360">
        <v>1.28100822290607</v>
      </c>
      <c r="AD360">
        <v>178.642</v>
      </c>
      <c r="AE360">
        <v>1.23362707842619</v>
      </c>
      <c r="AF360">
        <v>178.642</v>
      </c>
      <c r="AG360">
        <v>1.24667653903741</v>
      </c>
    </row>
    <row r="361" spans="24:33">
      <c r="X361">
        <v>179.141</v>
      </c>
      <c r="Y361">
        <v>1.22976355520408</v>
      </c>
      <c r="Z361">
        <v>179.141</v>
      </c>
      <c r="AA361">
        <v>1.24107918948653</v>
      </c>
      <c r="AB361">
        <v>179.141</v>
      </c>
      <c r="AC361">
        <v>1.28084065566891</v>
      </c>
      <c r="AD361">
        <v>179.141</v>
      </c>
      <c r="AE361">
        <v>1.22771966010461</v>
      </c>
      <c r="AF361">
        <v>179.141</v>
      </c>
      <c r="AG361">
        <v>1.24002831115501</v>
      </c>
    </row>
    <row r="362" spans="24:33">
      <c r="X362">
        <v>179.64</v>
      </c>
      <c r="Y362">
        <v>1.22717841822335</v>
      </c>
      <c r="Z362">
        <v>179.64</v>
      </c>
      <c r="AA362">
        <v>1.24535381635837</v>
      </c>
      <c r="AB362">
        <v>179.64</v>
      </c>
      <c r="AC362">
        <v>1.28335080362585</v>
      </c>
      <c r="AD362">
        <v>179.64</v>
      </c>
      <c r="AE362">
        <v>1.229673382187</v>
      </c>
      <c r="AF362">
        <v>179.64</v>
      </c>
      <c r="AG362">
        <v>1.24557264828015</v>
      </c>
    </row>
    <row r="363" spans="24:33">
      <c r="X363">
        <v>180.139</v>
      </c>
      <c r="Y363">
        <v>1.22352305818674</v>
      </c>
      <c r="Z363">
        <v>180.139</v>
      </c>
      <c r="AA363">
        <v>1.24881606329082</v>
      </c>
      <c r="AB363">
        <v>180.139</v>
      </c>
      <c r="AC363">
        <v>1.28700687054909</v>
      </c>
      <c r="AD363">
        <v>180.139</v>
      </c>
      <c r="AE363">
        <v>1.23137991315296</v>
      </c>
      <c r="AF363">
        <v>180.139</v>
      </c>
      <c r="AG363">
        <v>1.24534390717892</v>
      </c>
    </row>
    <row r="364" spans="24:33">
      <c r="X364">
        <v>180.638</v>
      </c>
      <c r="Y364">
        <v>1.21998471120609</v>
      </c>
      <c r="Z364">
        <v>180.638</v>
      </c>
      <c r="AA364">
        <v>1.24672240203008</v>
      </c>
      <c r="AB364">
        <v>180.638</v>
      </c>
      <c r="AC364">
        <v>1.28836915411701</v>
      </c>
      <c r="AD364">
        <v>180.638</v>
      </c>
      <c r="AE364">
        <v>1.22307947678067</v>
      </c>
      <c r="AF364">
        <v>180.638</v>
      </c>
      <c r="AG364">
        <v>1.24516460382208</v>
      </c>
    </row>
    <row r="365" spans="24:33">
      <c r="X365">
        <v>181.137</v>
      </c>
      <c r="Y365">
        <v>1.22732720300748</v>
      </c>
      <c r="Z365">
        <v>181.137</v>
      </c>
      <c r="AA365">
        <v>1.24672508022578</v>
      </c>
      <c r="AB365">
        <v>181.137</v>
      </c>
      <c r="AC365">
        <v>1.28951976441372</v>
      </c>
      <c r="AD365">
        <v>181.137</v>
      </c>
      <c r="AE365">
        <v>1.22458590984855</v>
      </c>
      <c r="AF365">
        <v>181.137</v>
      </c>
      <c r="AG365">
        <v>1.24789458954083</v>
      </c>
    </row>
    <row r="366" spans="24:33">
      <c r="X366">
        <v>181.636</v>
      </c>
      <c r="Y366">
        <v>1.2240677300665</v>
      </c>
      <c r="Z366">
        <v>181.636</v>
      </c>
      <c r="AA366">
        <v>1.25389291414326</v>
      </c>
      <c r="AB366">
        <v>181.636</v>
      </c>
      <c r="AC366">
        <v>1.26822393399825</v>
      </c>
      <c r="AD366">
        <v>181.636</v>
      </c>
      <c r="AE366">
        <v>1.22717279860571</v>
      </c>
      <c r="AF366">
        <v>181.636</v>
      </c>
      <c r="AG366">
        <v>1.24096319165711</v>
      </c>
    </row>
    <row r="367" spans="24:33">
      <c r="X367">
        <v>182.135</v>
      </c>
      <c r="Y367">
        <v>1.22008240530813</v>
      </c>
      <c r="Z367">
        <v>182.135</v>
      </c>
      <c r="AA367">
        <v>1.25686337835061</v>
      </c>
      <c r="AB367">
        <v>182.135</v>
      </c>
      <c r="AC367">
        <v>1.28381477417928</v>
      </c>
      <c r="AD367">
        <v>182.135</v>
      </c>
      <c r="AE367">
        <v>1.22717250404261</v>
      </c>
      <c r="AF367">
        <v>182.135</v>
      </c>
      <c r="AG367">
        <v>1.25344819316339</v>
      </c>
    </row>
    <row r="368" spans="24:33">
      <c r="X368">
        <v>182.634</v>
      </c>
      <c r="Y368">
        <v>1.22394520303491</v>
      </c>
      <c r="Z368">
        <v>182.634</v>
      </c>
      <c r="AA368">
        <v>1.25445867774206</v>
      </c>
      <c r="AB368">
        <v>182.634</v>
      </c>
      <c r="AC368">
        <v>1.28072378446391</v>
      </c>
      <c r="AD368">
        <v>182.634</v>
      </c>
      <c r="AE368">
        <v>1.23043461865123</v>
      </c>
      <c r="AF368">
        <v>182.634</v>
      </c>
      <c r="AG368">
        <v>1.25145934517792</v>
      </c>
    </row>
    <row r="369" spans="24:33">
      <c r="X369">
        <v>183.133</v>
      </c>
      <c r="Y369">
        <v>1.23061030280165</v>
      </c>
      <c r="Z369">
        <v>183.133</v>
      </c>
      <c r="AA369">
        <v>1.24262314662899</v>
      </c>
      <c r="AB369">
        <v>183.133</v>
      </c>
      <c r="AC369">
        <v>1.27710842841041</v>
      </c>
      <c r="AD369">
        <v>183.133</v>
      </c>
      <c r="AE369">
        <v>1.21796419643702</v>
      </c>
      <c r="AF369">
        <v>183.133</v>
      </c>
      <c r="AG369">
        <v>1.25806280831346</v>
      </c>
    </row>
    <row r="370" spans="24:33">
      <c r="X370">
        <v>183.632</v>
      </c>
      <c r="Y370">
        <v>1.2296328890714</v>
      </c>
      <c r="Z370">
        <v>183.632</v>
      </c>
      <c r="AA370">
        <v>1.24939737946497</v>
      </c>
      <c r="AB370">
        <v>183.632</v>
      </c>
      <c r="AC370">
        <v>1.28011176696544</v>
      </c>
      <c r="AD370">
        <v>183.632</v>
      </c>
      <c r="AE370">
        <v>1.22404585293471</v>
      </c>
      <c r="AF370">
        <v>183.632</v>
      </c>
      <c r="AG370">
        <v>1.25021631622503</v>
      </c>
    </row>
    <row r="371" spans="24:33">
      <c r="X371">
        <v>184.131</v>
      </c>
      <c r="Y371">
        <v>1.22659080637456</v>
      </c>
      <c r="Z371">
        <v>184.131</v>
      </c>
      <c r="AA371">
        <v>1.25033657352154</v>
      </c>
      <c r="AB371">
        <v>184.131</v>
      </c>
      <c r="AC371">
        <v>1.28473381730831</v>
      </c>
      <c r="AD371">
        <v>184.131</v>
      </c>
      <c r="AE371">
        <v>1.23045803975116</v>
      </c>
      <c r="AF371">
        <v>184.131</v>
      </c>
      <c r="AG371">
        <v>1.25155648845743</v>
      </c>
    </row>
    <row r="372" spans="24:33">
      <c r="X372">
        <v>184.63</v>
      </c>
      <c r="Y372">
        <v>1.22764820349936</v>
      </c>
      <c r="Z372">
        <v>184.63</v>
      </c>
      <c r="AA372">
        <v>1.25135200861967</v>
      </c>
      <c r="AB372">
        <v>184.63</v>
      </c>
      <c r="AC372">
        <v>1.27625388980118</v>
      </c>
      <c r="AD372">
        <v>184.63</v>
      </c>
      <c r="AE372">
        <v>1.22554636548898</v>
      </c>
      <c r="AF372">
        <v>184.63</v>
      </c>
      <c r="AG372">
        <v>1.24678490202478</v>
      </c>
    </row>
    <row r="373" spans="24:33">
      <c r="X373">
        <v>185.129</v>
      </c>
      <c r="Y373">
        <v>1.22882068089023</v>
      </c>
      <c r="Z373">
        <v>185.129</v>
      </c>
      <c r="AA373">
        <v>1.25373796566413</v>
      </c>
      <c r="AB373">
        <v>185.129</v>
      </c>
      <c r="AC373">
        <v>1.27531392281163</v>
      </c>
      <c r="AD373">
        <v>185.129</v>
      </c>
      <c r="AE373">
        <v>1.22749593846185</v>
      </c>
      <c r="AF373">
        <v>185.129</v>
      </c>
      <c r="AG373">
        <v>1.25268842277309</v>
      </c>
    </row>
    <row r="374" spans="24:33">
      <c r="X374">
        <v>185.628</v>
      </c>
      <c r="Y374">
        <v>1.2326878606825</v>
      </c>
      <c r="Z374">
        <v>185.628</v>
      </c>
      <c r="AA374">
        <v>1.25277850397276</v>
      </c>
      <c r="AB374">
        <v>185.628</v>
      </c>
      <c r="AC374">
        <v>1.27008956185888</v>
      </c>
      <c r="AD374">
        <v>185.628</v>
      </c>
      <c r="AE374">
        <v>1.21884830842122</v>
      </c>
      <c r="AF374">
        <v>185.628</v>
      </c>
      <c r="AG374">
        <v>1.2562035437556</v>
      </c>
    </row>
    <row r="375" spans="24:33">
      <c r="X375">
        <v>186.127</v>
      </c>
      <c r="Y375">
        <v>1.22158756971313</v>
      </c>
      <c r="Z375">
        <v>186.127</v>
      </c>
      <c r="AA375">
        <v>1.26781611133293</v>
      </c>
      <c r="AB375">
        <v>186.127</v>
      </c>
      <c r="AC375">
        <v>1.29142554477009</v>
      </c>
      <c r="AD375">
        <v>186.127</v>
      </c>
      <c r="AE375">
        <v>1.22077296399374</v>
      </c>
      <c r="AF375">
        <v>186.127</v>
      </c>
      <c r="AG375">
        <v>1.24937276347553</v>
      </c>
    </row>
    <row r="376" spans="24:33">
      <c r="X376">
        <v>186.626</v>
      </c>
      <c r="Y376">
        <v>1.23247542127215</v>
      </c>
      <c r="Z376">
        <v>186.626</v>
      </c>
      <c r="AA376">
        <v>1.25808390963847</v>
      </c>
      <c r="AB376">
        <v>186.626</v>
      </c>
      <c r="AC376">
        <v>1.290272231666</v>
      </c>
      <c r="AD376">
        <v>186.626</v>
      </c>
      <c r="AE376">
        <v>1.23042038669726</v>
      </c>
      <c r="AF376">
        <v>186.626</v>
      </c>
      <c r="AG376">
        <v>1.25030980904853</v>
      </c>
    </row>
    <row r="377" spans="24:33">
      <c r="X377">
        <v>187.125</v>
      </c>
      <c r="Y377">
        <v>1.22325105210921</v>
      </c>
      <c r="Z377">
        <v>187.125</v>
      </c>
      <c r="AA377">
        <v>1.2554743082962</v>
      </c>
      <c r="AB377">
        <v>187.125</v>
      </c>
      <c r="AC377">
        <v>1.28275445481099</v>
      </c>
      <c r="AD377">
        <v>187.125</v>
      </c>
      <c r="AE377">
        <v>1.22367393363151</v>
      </c>
      <c r="AF377">
        <v>187.125</v>
      </c>
      <c r="AG377">
        <v>1.25505060998359</v>
      </c>
    </row>
    <row r="378" spans="24:33">
      <c r="X378">
        <v>187.624</v>
      </c>
      <c r="Y378">
        <v>1.23740832115855</v>
      </c>
      <c r="Z378">
        <v>187.624</v>
      </c>
      <c r="AA378">
        <v>1.25916987875329</v>
      </c>
      <c r="AB378">
        <v>187.624</v>
      </c>
      <c r="AC378">
        <v>1.29118883369514</v>
      </c>
      <c r="AD378">
        <v>187.624</v>
      </c>
      <c r="AE378">
        <v>1.22152711849362</v>
      </c>
      <c r="AF378">
        <v>187.624</v>
      </c>
      <c r="AG378">
        <v>1.2556139288749</v>
      </c>
    </row>
    <row r="379" spans="24:33">
      <c r="X379">
        <v>188.123</v>
      </c>
      <c r="Y379">
        <v>1.22870231686937</v>
      </c>
      <c r="Z379">
        <v>188.123</v>
      </c>
      <c r="AA379">
        <v>1.25591913946169</v>
      </c>
      <c r="AB379">
        <v>188.123</v>
      </c>
      <c r="AC379">
        <v>1.29015900350252</v>
      </c>
      <c r="AD379">
        <v>188.123</v>
      </c>
      <c r="AE379">
        <v>1.21947408575888</v>
      </c>
      <c r="AF379">
        <v>188.123</v>
      </c>
      <c r="AG379">
        <v>1.24595435526175</v>
      </c>
    </row>
    <row r="380" spans="24:33">
      <c r="X380">
        <v>188.622</v>
      </c>
      <c r="Y380">
        <v>1.22532616028126</v>
      </c>
      <c r="Z380">
        <v>188.622</v>
      </c>
      <c r="AA380">
        <v>1.26148860862366</v>
      </c>
      <c r="AB380">
        <v>188.622</v>
      </c>
      <c r="AC380">
        <v>1.28553553496066</v>
      </c>
      <c r="AD380">
        <v>188.622</v>
      </c>
      <c r="AE380">
        <v>1.22370596967386</v>
      </c>
      <c r="AF380">
        <v>188.622</v>
      </c>
      <c r="AG380">
        <v>1.24715986491302</v>
      </c>
    </row>
    <row r="381" spans="24:33">
      <c r="X381">
        <v>189.121</v>
      </c>
      <c r="Y381">
        <v>1.22278706541625</v>
      </c>
      <c r="Z381">
        <v>189.121</v>
      </c>
      <c r="AA381">
        <v>1.25663626955078</v>
      </c>
      <c r="AB381">
        <v>189.121</v>
      </c>
      <c r="AC381">
        <v>1.28940020517008</v>
      </c>
      <c r="AD381">
        <v>189.121</v>
      </c>
      <c r="AE381">
        <v>1.21877290776019</v>
      </c>
      <c r="AF381">
        <v>189.121</v>
      </c>
      <c r="AG381">
        <v>1.25391080224344</v>
      </c>
    </row>
    <row r="382" spans="24:33">
      <c r="X382">
        <v>189.62</v>
      </c>
      <c r="Y382">
        <v>1.22391423399596</v>
      </c>
      <c r="Z382">
        <v>189.62</v>
      </c>
      <c r="AA382">
        <v>1.25772054236796</v>
      </c>
      <c r="AB382">
        <v>189.62</v>
      </c>
      <c r="AC382">
        <v>1.29031253436086</v>
      </c>
      <c r="AD382">
        <v>189.62</v>
      </c>
      <c r="AE382">
        <v>1.2142239622573</v>
      </c>
      <c r="AF382">
        <v>189.62</v>
      </c>
      <c r="AG382">
        <v>1.25880508809101</v>
      </c>
    </row>
    <row r="383" spans="24:33">
      <c r="X383">
        <v>190.119</v>
      </c>
      <c r="Y383">
        <v>1.23215667679839</v>
      </c>
      <c r="Z383">
        <v>190.119</v>
      </c>
      <c r="AA383">
        <v>1.25611794258977</v>
      </c>
      <c r="AB383">
        <v>190.119</v>
      </c>
      <c r="AC383">
        <v>1.28433884105929</v>
      </c>
      <c r="AD383">
        <v>190.119</v>
      </c>
      <c r="AE383">
        <v>1.22302086595147</v>
      </c>
      <c r="AF383">
        <v>190.119</v>
      </c>
      <c r="AG383">
        <v>1.2593066153288</v>
      </c>
    </row>
    <row r="384" spans="24:33">
      <c r="X384">
        <v>190.618</v>
      </c>
      <c r="Y384">
        <v>1.23042257017736</v>
      </c>
      <c r="Z384">
        <v>190.618</v>
      </c>
      <c r="AA384">
        <v>1.25192637632627</v>
      </c>
      <c r="AB384">
        <v>190.618</v>
      </c>
      <c r="AC384">
        <v>1.2933629184813</v>
      </c>
      <c r="AD384">
        <v>190.618</v>
      </c>
      <c r="AE384">
        <v>1.22492531053693</v>
      </c>
      <c r="AF384">
        <v>190.618</v>
      </c>
      <c r="AG384">
        <v>1.2560092396511</v>
      </c>
    </row>
    <row r="385" spans="24:33">
      <c r="X385">
        <v>191.117</v>
      </c>
      <c r="Y385">
        <v>1.23279132904202</v>
      </c>
      <c r="Z385">
        <v>191.117</v>
      </c>
      <c r="AA385">
        <v>1.24538848570109</v>
      </c>
      <c r="AB385">
        <v>191.117</v>
      </c>
      <c r="AC385">
        <v>1.29652422848302</v>
      </c>
      <c r="AD385">
        <v>191.117</v>
      </c>
      <c r="AE385">
        <v>1.2221022656971</v>
      </c>
      <c r="AF385">
        <v>191.117</v>
      </c>
      <c r="AG385">
        <v>1.25368732337264</v>
      </c>
    </row>
    <row r="386" spans="24:33">
      <c r="X386">
        <v>191.616</v>
      </c>
      <c r="Y386">
        <v>1.22402510858762</v>
      </c>
      <c r="Z386">
        <v>191.616</v>
      </c>
      <c r="AA386">
        <v>1.24341914820513</v>
      </c>
      <c r="AB386">
        <v>191.616</v>
      </c>
      <c r="AC386">
        <v>1.29962466546544</v>
      </c>
      <c r="AD386">
        <v>191.616</v>
      </c>
      <c r="AE386">
        <v>1.23209252236239</v>
      </c>
      <c r="AF386">
        <v>191.616</v>
      </c>
      <c r="AG386">
        <v>1.24950135968691</v>
      </c>
    </row>
    <row r="387" spans="24:33">
      <c r="X387">
        <v>192.115</v>
      </c>
      <c r="Y387">
        <v>1.21592298364806</v>
      </c>
      <c r="Z387">
        <v>192.115</v>
      </c>
      <c r="AA387">
        <v>1.25432837333724</v>
      </c>
      <c r="AB387">
        <v>192.115</v>
      </c>
      <c r="AC387">
        <v>1.29908775767514</v>
      </c>
      <c r="AD387">
        <v>192.115</v>
      </c>
      <c r="AE387">
        <v>1.22375908009141</v>
      </c>
      <c r="AF387">
        <v>192.115</v>
      </c>
      <c r="AG387">
        <v>1.25110808665768</v>
      </c>
    </row>
    <row r="388" spans="24:33">
      <c r="X388">
        <v>192.614</v>
      </c>
      <c r="Y388">
        <v>1.21865932684075</v>
      </c>
      <c r="Z388">
        <v>192.614</v>
      </c>
      <c r="AA388">
        <v>1.25663828090193</v>
      </c>
      <c r="AB388">
        <v>192.614</v>
      </c>
      <c r="AC388">
        <v>1.2950313732236</v>
      </c>
      <c r="AD388">
        <v>192.614</v>
      </c>
      <c r="AE388">
        <v>1.22550785048133</v>
      </c>
      <c r="AF388">
        <v>192.614</v>
      </c>
      <c r="AG388">
        <v>1.25906801650107</v>
      </c>
    </row>
    <row r="389" spans="24:33">
      <c r="X389">
        <v>193.113</v>
      </c>
      <c r="Y389">
        <v>1.2242518215181</v>
      </c>
      <c r="Z389">
        <v>193.113</v>
      </c>
      <c r="AA389">
        <v>1.25530107793995</v>
      </c>
      <c r="AB389">
        <v>193.113</v>
      </c>
      <c r="AC389">
        <v>1.29743753968336</v>
      </c>
      <c r="AD389">
        <v>193.113</v>
      </c>
      <c r="AE389">
        <v>1.22183677636622</v>
      </c>
      <c r="AF389">
        <v>193.113</v>
      </c>
      <c r="AG389">
        <v>1.25634160466301</v>
      </c>
    </row>
    <row r="390" spans="24:33">
      <c r="X390">
        <v>193.612</v>
      </c>
      <c r="Y390">
        <v>1.21621911710582</v>
      </c>
      <c r="Z390">
        <v>193.612</v>
      </c>
      <c r="AA390">
        <v>1.25302773676723</v>
      </c>
      <c r="AB390">
        <v>193.612</v>
      </c>
      <c r="AC390">
        <v>1.30155533015524</v>
      </c>
      <c r="AD390">
        <v>193.612</v>
      </c>
      <c r="AE390">
        <v>1.2220375578975</v>
      </c>
      <c r="AF390">
        <v>193.612</v>
      </c>
      <c r="AG390">
        <v>1.25855951757194</v>
      </c>
    </row>
    <row r="391" spans="24:33">
      <c r="X391">
        <v>194.111</v>
      </c>
      <c r="Y391">
        <v>1.21814024033948</v>
      </c>
      <c r="Z391">
        <v>194.111</v>
      </c>
      <c r="AA391">
        <v>1.25565148616778</v>
      </c>
      <c r="AB391">
        <v>194.111</v>
      </c>
      <c r="AC391">
        <v>1.29856373874381</v>
      </c>
      <c r="AD391">
        <v>194.111</v>
      </c>
      <c r="AE391">
        <v>1.21654182983594</v>
      </c>
      <c r="AF391">
        <v>194.111</v>
      </c>
      <c r="AG391">
        <v>1.24550177378869</v>
      </c>
    </row>
    <row r="392" spans="24:33">
      <c r="X392">
        <v>194.61</v>
      </c>
      <c r="Y392">
        <v>1.22738394067885</v>
      </c>
      <c r="Z392">
        <v>194.61</v>
      </c>
      <c r="AA392">
        <v>1.25393749285375</v>
      </c>
      <c r="AB392">
        <v>194.61</v>
      </c>
      <c r="AC392">
        <v>1.30039663417623</v>
      </c>
      <c r="AD392">
        <v>194.61</v>
      </c>
      <c r="AE392">
        <v>1.22833629277647</v>
      </c>
      <c r="AF392">
        <v>194.61</v>
      </c>
      <c r="AG392">
        <v>1.24735019068032</v>
      </c>
    </row>
    <row r="393" spans="24:33">
      <c r="X393">
        <v>195.109</v>
      </c>
      <c r="Y393">
        <v>1.22310809439147</v>
      </c>
      <c r="Z393">
        <v>195.109</v>
      </c>
      <c r="AA393">
        <v>1.25443324668996</v>
      </c>
      <c r="AB393">
        <v>195.109</v>
      </c>
      <c r="AC393">
        <v>1.29520316911257</v>
      </c>
      <c r="AD393">
        <v>195.109</v>
      </c>
      <c r="AE393">
        <v>1.22039467554789</v>
      </c>
      <c r="AF393">
        <v>195.109</v>
      </c>
      <c r="AG393">
        <v>1.23880032722768</v>
      </c>
    </row>
    <row r="394" spans="24:33">
      <c r="X394">
        <v>195.608</v>
      </c>
      <c r="Y394">
        <v>1.22248751596913</v>
      </c>
      <c r="Z394">
        <v>195.608</v>
      </c>
      <c r="AA394">
        <v>1.25776869578984</v>
      </c>
      <c r="AB394">
        <v>195.608</v>
      </c>
      <c r="AC394">
        <v>1.29840514223348</v>
      </c>
      <c r="AD394">
        <v>195.608</v>
      </c>
      <c r="AE394">
        <v>1.23069527809615</v>
      </c>
      <c r="AF394">
        <v>195.608</v>
      </c>
      <c r="AG394">
        <v>1.24112097326112</v>
      </c>
    </row>
    <row r="395" spans="24:33">
      <c r="X395">
        <v>196.107</v>
      </c>
      <c r="Y395">
        <v>1.22105493980446</v>
      </c>
      <c r="Z395">
        <v>196.107</v>
      </c>
      <c r="AA395">
        <v>1.25970713335938</v>
      </c>
      <c r="AB395">
        <v>196.107</v>
      </c>
      <c r="AC395">
        <v>1.30394189007302</v>
      </c>
      <c r="AD395">
        <v>196.107</v>
      </c>
      <c r="AE395">
        <v>1.22362649308483</v>
      </c>
      <c r="AF395">
        <v>196.107</v>
      </c>
      <c r="AG395">
        <v>1.24574555114557</v>
      </c>
    </row>
    <row r="396" spans="24:33">
      <c r="X396">
        <v>196.606</v>
      </c>
      <c r="Y396">
        <v>1.21856097265001</v>
      </c>
      <c r="Z396">
        <v>196.606</v>
      </c>
      <c r="AA396">
        <v>1.25296445489399</v>
      </c>
      <c r="AB396">
        <v>196.606</v>
      </c>
      <c r="AC396">
        <v>1.29624090482126</v>
      </c>
      <c r="AD396">
        <v>196.606</v>
      </c>
      <c r="AE396">
        <v>1.21827984906293</v>
      </c>
      <c r="AF396">
        <v>196.606</v>
      </c>
      <c r="AG396">
        <v>1.24146049191621</v>
      </c>
    </row>
    <row r="397" spans="24:33">
      <c r="X397">
        <v>197.105</v>
      </c>
      <c r="Y397">
        <v>1.2156344230511</v>
      </c>
      <c r="Z397">
        <v>197.105</v>
      </c>
      <c r="AA397">
        <v>1.25199284869724</v>
      </c>
      <c r="AB397">
        <v>197.105</v>
      </c>
      <c r="AC397">
        <v>1.30335687525996</v>
      </c>
      <c r="AD397">
        <v>197.105</v>
      </c>
      <c r="AE397">
        <v>1.22781119891859</v>
      </c>
      <c r="AF397">
        <v>197.105</v>
      </c>
      <c r="AG397">
        <v>1.24018023522564</v>
      </c>
    </row>
    <row r="398" spans="24:33">
      <c r="X398">
        <v>197.604</v>
      </c>
      <c r="Y398">
        <v>1.22056596875297</v>
      </c>
      <c r="Z398">
        <v>197.604</v>
      </c>
      <c r="AA398">
        <v>1.24824099125576</v>
      </c>
      <c r="AB398">
        <v>197.604</v>
      </c>
      <c r="AC398">
        <v>1.30174128883943</v>
      </c>
      <c r="AD398">
        <v>197.604</v>
      </c>
      <c r="AE398">
        <v>1.22129942770038</v>
      </c>
      <c r="AF398">
        <v>197.604</v>
      </c>
      <c r="AG398">
        <v>1.23899128770405</v>
      </c>
    </row>
    <row r="399" spans="24:33">
      <c r="X399">
        <v>198.103</v>
      </c>
      <c r="Y399">
        <v>1.22057367152814</v>
      </c>
      <c r="Z399">
        <v>198.103</v>
      </c>
      <c r="AA399">
        <v>1.25711048714595</v>
      </c>
      <c r="AB399">
        <v>198.103</v>
      </c>
      <c r="AC399">
        <v>1.29416423866412</v>
      </c>
      <c r="AD399">
        <v>198.103</v>
      </c>
      <c r="AE399">
        <v>1.22363371651183</v>
      </c>
      <c r="AF399">
        <v>198.103</v>
      </c>
      <c r="AG399">
        <v>1.24517833394599</v>
      </c>
    </row>
    <row r="400" spans="24:33">
      <c r="X400">
        <v>198.602</v>
      </c>
      <c r="Y400">
        <v>1.22672826791018</v>
      </c>
      <c r="Z400">
        <v>198.602</v>
      </c>
      <c r="AA400">
        <v>1.24582425149043</v>
      </c>
      <c r="AB400">
        <v>198.602</v>
      </c>
      <c r="AC400">
        <v>1.29108337522517</v>
      </c>
      <c r="AD400">
        <v>198.602</v>
      </c>
      <c r="AE400">
        <v>1.22314323652107</v>
      </c>
      <c r="AF400">
        <v>198.602</v>
      </c>
      <c r="AG400">
        <v>1.25071790644584</v>
      </c>
    </row>
    <row r="401" spans="24:33">
      <c r="X401">
        <v>199.101</v>
      </c>
      <c r="Y401">
        <v>1.22674234509316</v>
      </c>
      <c r="Z401">
        <v>199.101</v>
      </c>
      <c r="AA401">
        <v>1.2446732754075</v>
      </c>
      <c r="AB401">
        <v>199.101</v>
      </c>
      <c r="AC401">
        <v>1.28848947864566</v>
      </c>
      <c r="AD401">
        <v>199.101</v>
      </c>
      <c r="AE401">
        <v>1.21790324560607</v>
      </c>
      <c r="AF401">
        <v>199.101</v>
      </c>
      <c r="AG401">
        <v>1.24346372722457</v>
      </c>
    </row>
    <row r="402" spans="24:33">
      <c r="X402">
        <v>199.6</v>
      </c>
      <c r="Y402">
        <v>1.22158010764957</v>
      </c>
      <c r="Z402">
        <v>199.6</v>
      </c>
      <c r="AA402">
        <v>1.25212547384694</v>
      </c>
      <c r="AB402">
        <v>199.6</v>
      </c>
      <c r="AC402">
        <v>1.29429534675193</v>
      </c>
      <c r="AD402">
        <v>199.6</v>
      </c>
      <c r="AE402">
        <v>1.22878161952304</v>
      </c>
      <c r="AF402">
        <v>199.6</v>
      </c>
      <c r="AG402">
        <v>1.24770394587644</v>
      </c>
    </row>
    <row r="403" spans="24:33">
      <c r="X403">
        <v>200.099</v>
      </c>
      <c r="Y403">
        <v>1.21868615365452</v>
      </c>
      <c r="Z403">
        <v>200.099</v>
      </c>
      <c r="AA403">
        <v>1.25084934424339</v>
      </c>
      <c r="AB403">
        <v>200.099</v>
      </c>
      <c r="AC403">
        <v>1.29165699234481</v>
      </c>
      <c r="AD403">
        <v>200.099</v>
      </c>
      <c r="AE403">
        <v>1.2212890868109</v>
      </c>
      <c r="AF403">
        <v>200.099</v>
      </c>
      <c r="AG403">
        <v>1.25086820606732</v>
      </c>
    </row>
    <row r="404" spans="24:33">
      <c r="X404">
        <v>200.598</v>
      </c>
      <c r="Y404">
        <v>1.22307055078565</v>
      </c>
      <c r="Z404">
        <v>200.598</v>
      </c>
      <c r="AA404">
        <v>1.24579904730223</v>
      </c>
      <c r="AB404">
        <v>200.598</v>
      </c>
      <c r="AC404">
        <v>1.2869696001198</v>
      </c>
      <c r="AD404">
        <v>200.598</v>
      </c>
      <c r="AE404">
        <v>1.22377465095931</v>
      </c>
      <c r="AF404">
        <v>200.598</v>
      </c>
      <c r="AG404">
        <v>1.24705694376404</v>
      </c>
    </row>
    <row r="405" spans="24:33">
      <c r="X405">
        <v>201.097</v>
      </c>
      <c r="Y405">
        <v>1.22565612711651</v>
      </c>
      <c r="Z405">
        <v>201.097</v>
      </c>
      <c r="AA405">
        <v>1.24844353538505</v>
      </c>
      <c r="AB405">
        <v>201.097</v>
      </c>
      <c r="AC405">
        <v>1.29119220481051</v>
      </c>
      <c r="AD405">
        <v>201.097</v>
      </c>
      <c r="AE405">
        <v>1.22308902752502</v>
      </c>
      <c r="AF405">
        <v>201.097</v>
      </c>
      <c r="AG405">
        <v>1.25215562832126</v>
      </c>
    </row>
    <row r="406" spans="24:33">
      <c r="X406">
        <v>201.596</v>
      </c>
      <c r="Y406">
        <v>1.22253158942818</v>
      </c>
      <c r="Z406">
        <v>201.596</v>
      </c>
      <c r="AA406">
        <v>1.24859204958137</v>
      </c>
      <c r="AB406">
        <v>201.596</v>
      </c>
      <c r="AC406">
        <v>1.28684495281217</v>
      </c>
      <c r="AD406">
        <v>201.596</v>
      </c>
      <c r="AE406">
        <v>1.21713375384405</v>
      </c>
      <c r="AF406">
        <v>201.596</v>
      </c>
      <c r="AG406">
        <v>1.25401667069734</v>
      </c>
    </row>
    <row r="407" spans="24:33">
      <c r="X407">
        <v>202.095</v>
      </c>
      <c r="Y407">
        <v>1.22403590735883</v>
      </c>
      <c r="Z407">
        <v>202.095</v>
      </c>
      <c r="AA407">
        <v>1.26845026127268</v>
      </c>
      <c r="AB407">
        <v>202.095</v>
      </c>
      <c r="AC407">
        <v>1.2896341262883</v>
      </c>
      <c r="AD407">
        <v>202.095</v>
      </c>
      <c r="AE407">
        <v>1.22021178594259</v>
      </c>
      <c r="AF407">
        <v>202.095</v>
      </c>
      <c r="AG407">
        <v>1.25185196039126</v>
      </c>
    </row>
    <row r="408" spans="24:33">
      <c r="X408">
        <v>202.594</v>
      </c>
      <c r="Y408">
        <v>1.22895297327474</v>
      </c>
      <c r="Z408">
        <v>202.594</v>
      </c>
      <c r="AA408">
        <v>1.26511926357346</v>
      </c>
      <c r="AB408">
        <v>202.594</v>
      </c>
      <c r="AC408">
        <v>1.29655888427996</v>
      </c>
      <c r="AD408">
        <v>202.594</v>
      </c>
      <c r="AE408">
        <v>1.2233426202736</v>
      </c>
      <c r="AF408">
        <v>202.594</v>
      </c>
      <c r="AG408">
        <v>1.25303013081339</v>
      </c>
    </row>
    <row r="409" spans="24:33">
      <c r="X409">
        <v>203.093</v>
      </c>
      <c r="Y409">
        <v>1.22674367252483</v>
      </c>
      <c r="Z409">
        <v>203.093</v>
      </c>
      <c r="AA409">
        <v>1.26970137451653</v>
      </c>
      <c r="AB409">
        <v>203.093</v>
      </c>
      <c r="AC409">
        <v>1.29976601095059</v>
      </c>
      <c r="AD409">
        <v>203.093</v>
      </c>
      <c r="AE409">
        <v>1.22806986144837</v>
      </c>
      <c r="AF409">
        <v>203.093</v>
      </c>
      <c r="AG409">
        <v>1.2558765663637</v>
      </c>
    </row>
    <row r="410" spans="24:33">
      <c r="X410">
        <v>203.592</v>
      </c>
      <c r="Y410">
        <v>1.21445524961444</v>
      </c>
      <c r="Z410">
        <v>203.592</v>
      </c>
      <c r="AA410">
        <v>1.25644813480445</v>
      </c>
      <c r="AB410">
        <v>203.592</v>
      </c>
      <c r="AC410">
        <v>1.29992806606574</v>
      </c>
      <c r="AD410">
        <v>203.592</v>
      </c>
      <c r="AE410">
        <v>1.23045699615269</v>
      </c>
      <c r="AF410">
        <v>203.592</v>
      </c>
      <c r="AG410">
        <v>1.26756605598024</v>
      </c>
    </row>
    <row r="411" spans="24:33">
      <c r="X411">
        <v>204.091</v>
      </c>
      <c r="Y411">
        <v>1.22539330867376</v>
      </c>
      <c r="Z411">
        <v>204.091</v>
      </c>
      <c r="AA411">
        <v>1.26037954105962</v>
      </c>
      <c r="AB411">
        <v>204.091</v>
      </c>
      <c r="AC411">
        <v>1.30052173238005</v>
      </c>
      <c r="AD411">
        <v>204.091</v>
      </c>
      <c r="AE411">
        <v>1.21849105477637</v>
      </c>
      <c r="AF411">
        <v>204.091</v>
      </c>
      <c r="AG411">
        <v>1.27120777662493</v>
      </c>
    </row>
    <row r="412" spans="24:33">
      <c r="X412">
        <v>204.59</v>
      </c>
      <c r="Y412">
        <v>1.23100480634623</v>
      </c>
      <c r="Z412">
        <v>204.59</v>
      </c>
      <c r="AA412">
        <v>1.26266792246643</v>
      </c>
      <c r="AB412">
        <v>204.59</v>
      </c>
      <c r="AC412">
        <v>1.30518602358646</v>
      </c>
      <c r="AD412">
        <v>204.59</v>
      </c>
      <c r="AE412">
        <v>1.21441496832079</v>
      </c>
      <c r="AF412">
        <v>204.59</v>
      </c>
      <c r="AG412">
        <v>1.27298727590087</v>
      </c>
    </row>
    <row r="413" spans="24:33">
      <c r="X413">
        <v>205.089</v>
      </c>
      <c r="Y413">
        <v>1.22422642114539</v>
      </c>
      <c r="Z413">
        <v>205.089</v>
      </c>
      <c r="AA413">
        <v>1.26150052792311</v>
      </c>
      <c r="AB413">
        <v>205.089</v>
      </c>
      <c r="AC413">
        <v>1.29711724445767</v>
      </c>
      <c r="AD413">
        <v>205.089</v>
      </c>
      <c r="AE413">
        <v>1.21093892749174</v>
      </c>
      <c r="AF413">
        <v>205.089</v>
      </c>
      <c r="AG413">
        <v>1.26432820495489</v>
      </c>
    </row>
    <row r="414" spans="24:33">
      <c r="X414">
        <v>205.588</v>
      </c>
      <c r="Y414">
        <v>1.22966321340387</v>
      </c>
      <c r="Z414">
        <v>205.588</v>
      </c>
      <c r="AA414">
        <v>1.26995510719825</v>
      </c>
      <c r="AB414">
        <v>205.588</v>
      </c>
      <c r="AC414">
        <v>1.29725005569642</v>
      </c>
      <c r="AD414">
        <v>205.588</v>
      </c>
      <c r="AE414">
        <v>1.21865380927951</v>
      </c>
      <c r="AF414">
        <v>205.588</v>
      </c>
      <c r="AG414">
        <v>1.25744103857242</v>
      </c>
    </row>
    <row r="415" spans="24:33">
      <c r="X415">
        <v>206.087</v>
      </c>
      <c r="Y415">
        <v>1.23132807284487</v>
      </c>
      <c r="Z415">
        <v>206.087</v>
      </c>
      <c r="AA415">
        <v>1.25920384136025</v>
      </c>
      <c r="AB415">
        <v>206.087</v>
      </c>
      <c r="AC415">
        <v>1.28897921542603</v>
      </c>
      <c r="AD415">
        <v>206.087</v>
      </c>
      <c r="AE415">
        <v>1.22995055448528</v>
      </c>
      <c r="AF415">
        <v>206.087</v>
      </c>
      <c r="AG415">
        <v>1.25954488125675</v>
      </c>
    </row>
    <row r="416" spans="24:33">
      <c r="X416">
        <v>206.586</v>
      </c>
      <c r="Y416">
        <v>1.22798139775675</v>
      </c>
      <c r="Z416">
        <v>206.586</v>
      </c>
      <c r="AA416">
        <v>1.26591710267154</v>
      </c>
      <c r="AB416">
        <v>206.586</v>
      </c>
      <c r="AC416">
        <v>1.29208008745557</v>
      </c>
      <c r="AD416">
        <v>206.586</v>
      </c>
      <c r="AE416">
        <v>1.22768075265603</v>
      </c>
      <c r="AF416">
        <v>206.586</v>
      </c>
      <c r="AG416">
        <v>1.26093043346142</v>
      </c>
    </row>
    <row r="417" spans="24:33">
      <c r="X417">
        <v>207.085</v>
      </c>
      <c r="Y417">
        <v>1.23430990789898</v>
      </c>
      <c r="Z417">
        <v>207.085</v>
      </c>
      <c r="AA417">
        <v>1.27352174113819</v>
      </c>
      <c r="AB417">
        <v>207.085</v>
      </c>
      <c r="AC417">
        <v>1.29141045193173</v>
      </c>
      <c r="AD417">
        <v>207.085</v>
      </c>
      <c r="AE417">
        <v>1.22482411544899</v>
      </c>
      <c r="AF417">
        <v>207.085</v>
      </c>
      <c r="AG417">
        <v>1.27365095529273</v>
      </c>
    </row>
    <row r="418" spans="24:33">
      <c r="X418">
        <v>207.584</v>
      </c>
      <c r="Y418">
        <v>1.23343304635933</v>
      </c>
      <c r="Z418">
        <v>207.584</v>
      </c>
      <c r="AA418">
        <v>1.2667615823676</v>
      </c>
      <c r="AB418">
        <v>207.584</v>
      </c>
      <c r="AC418">
        <v>1.29852947730517</v>
      </c>
      <c r="AD418">
        <v>207.584</v>
      </c>
      <c r="AE418">
        <v>1.2279703178908</v>
      </c>
      <c r="AF418">
        <v>207.584</v>
      </c>
      <c r="AG418">
        <v>1.27415777480905</v>
      </c>
    </row>
    <row r="419" spans="24:33">
      <c r="X419">
        <v>208.083</v>
      </c>
      <c r="Y419">
        <v>1.22740975863313</v>
      </c>
      <c r="Z419">
        <v>208.083</v>
      </c>
      <c r="AA419">
        <v>1.26809062772397</v>
      </c>
      <c r="AB419">
        <v>208.083</v>
      </c>
      <c r="AC419">
        <v>1.29070172942648</v>
      </c>
      <c r="AD419">
        <v>208.083</v>
      </c>
      <c r="AE419">
        <v>1.22126159133028</v>
      </c>
      <c r="AF419">
        <v>208.083</v>
      </c>
      <c r="AG419">
        <v>1.27263009887342</v>
      </c>
    </row>
    <row r="420" spans="24:33">
      <c r="X420">
        <v>208.582</v>
      </c>
      <c r="Y420">
        <v>1.22898378954926</v>
      </c>
      <c r="Z420">
        <v>208.582</v>
      </c>
      <c r="AA420">
        <v>1.26791422344071</v>
      </c>
      <c r="AB420">
        <v>208.582</v>
      </c>
      <c r="AC420">
        <v>1.2924746446236</v>
      </c>
      <c r="AD420">
        <v>208.582</v>
      </c>
      <c r="AE420">
        <v>1.22313940952891</v>
      </c>
      <c r="AF420">
        <v>208.582</v>
      </c>
      <c r="AG420">
        <v>1.27449302120291</v>
      </c>
    </row>
    <row r="421" spans="24:33">
      <c r="X421">
        <v>209.081</v>
      </c>
      <c r="Y421">
        <v>1.22694321802154</v>
      </c>
      <c r="Z421">
        <v>209.081</v>
      </c>
      <c r="AA421">
        <v>1.26395178448453</v>
      </c>
      <c r="AB421">
        <v>209.081</v>
      </c>
      <c r="AC421">
        <v>1.29267351272697</v>
      </c>
      <c r="AD421">
        <v>209.081</v>
      </c>
      <c r="AE421">
        <v>1.22738425281037</v>
      </c>
      <c r="AF421">
        <v>209.081</v>
      </c>
      <c r="AG421">
        <v>1.26599136352801</v>
      </c>
    </row>
    <row r="422" spans="24:33">
      <c r="X422">
        <v>209.58</v>
      </c>
      <c r="Y422">
        <v>1.24038434739922</v>
      </c>
      <c r="Z422">
        <v>209.58</v>
      </c>
      <c r="AA422">
        <v>1.26147894303002</v>
      </c>
      <c r="AB422">
        <v>209.58</v>
      </c>
      <c r="AC422">
        <v>1.29593095186591</v>
      </c>
      <c r="AD422">
        <v>209.58</v>
      </c>
      <c r="AE422">
        <v>1.23283480642456</v>
      </c>
      <c r="AF422">
        <v>209.58</v>
      </c>
      <c r="AG422">
        <v>1.27029865919109</v>
      </c>
    </row>
    <row r="423" spans="24:33">
      <c r="X423">
        <v>210.079</v>
      </c>
      <c r="Y423">
        <v>1.24064246565591</v>
      </c>
      <c r="Z423">
        <v>210.079</v>
      </c>
      <c r="AA423">
        <v>1.27024276224648</v>
      </c>
      <c r="AB423">
        <v>210.079</v>
      </c>
      <c r="AC423">
        <v>1.30207297394287</v>
      </c>
      <c r="AD423">
        <v>210.079</v>
      </c>
      <c r="AE423">
        <v>1.2358865939623</v>
      </c>
      <c r="AF423">
        <v>210.079</v>
      </c>
      <c r="AG423">
        <v>1.27861226246624</v>
      </c>
    </row>
    <row r="424" spans="24:33">
      <c r="X424">
        <v>210.578</v>
      </c>
      <c r="Y424">
        <v>1.2329808485187</v>
      </c>
      <c r="Z424">
        <v>210.578</v>
      </c>
      <c r="AA424">
        <v>1.27068802816978</v>
      </c>
      <c r="AB424">
        <v>210.578</v>
      </c>
      <c r="AC424">
        <v>1.30307739347089</v>
      </c>
      <c r="AD424">
        <v>210.578</v>
      </c>
      <c r="AE424">
        <v>1.22937168031309</v>
      </c>
      <c r="AF424">
        <v>210.578</v>
      </c>
      <c r="AG424">
        <v>1.27604026169079</v>
      </c>
    </row>
    <row r="425" spans="24:33">
      <c r="X425">
        <v>211.077</v>
      </c>
      <c r="Y425">
        <v>1.23785297769845</v>
      </c>
      <c r="Z425">
        <v>211.077</v>
      </c>
      <c r="AA425">
        <v>1.26851422477794</v>
      </c>
      <c r="AB425">
        <v>211.077</v>
      </c>
      <c r="AC425">
        <v>1.30500498906042</v>
      </c>
      <c r="AD425">
        <v>211.077</v>
      </c>
      <c r="AE425">
        <v>1.23444024252298</v>
      </c>
      <c r="AF425">
        <v>211.077</v>
      </c>
      <c r="AG425">
        <v>1.27918060690344</v>
      </c>
    </row>
    <row r="426" spans="24:33">
      <c r="X426">
        <v>211.576</v>
      </c>
      <c r="Y426">
        <v>1.23338241413115</v>
      </c>
      <c r="Z426">
        <v>211.576</v>
      </c>
      <c r="AA426">
        <v>1.27339881657968</v>
      </c>
      <c r="AB426">
        <v>211.576</v>
      </c>
      <c r="AC426">
        <v>1.29851053818887</v>
      </c>
      <c r="AD426">
        <v>211.576</v>
      </c>
      <c r="AE426">
        <v>1.23665916149835</v>
      </c>
      <c r="AF426">
        <v>211.576</v>
      </c>
      <c r="AG426">
        <v>1.28808858974757</v>
      </c>
    </row>
    <row r="427" spans="24:33">
      <c r="X427">
        <v>212.075</v>
      </c>
      <c r="Y427">
        <v>1.23693265266951</v>
      </c>
      <c r="Z427">
        <v>212.075</v>
      </c>
      <c r="AA427">
        <v>1.27563546611606</v>
      </c>
      <c r="AB427">
        <v>212.075</v>
      </c>
      <c r="AC427">
        <v>1.29618126472257</v>
      </c>
      <c r="AD427">
        <v>212.075</v>
      </c>
      <c r="AE427">
        <v>1.2305140246693</v>
      </c>
      <c r="AF427">
        <v>212.075</v>
      </c>
      <c r="AG427">
        <v>1.27983659387466</v>
      </c>
    </row>
    <row r="428" spans="24:33">
      <c r="X428">
        <v>212.574</v>
      </c>
      <c r="Y428">
        <v>1.23912295624585</v>
      </c>
      <c r="Z428">
        <v>212.574</v>
      </c>
      <c r="AA428">
        <v>1.27590595189804</v>
      </c>
      <c r="AB428">
        <v>212.574</v>
      </c>
      <c r="AC428">
        <v>1.29592525954655</v>
      </c>
      <c r="AD428">
        <v>212.574</v>
      </c>
      <c r="AE428">
        <v>1.22396575504271</v>
      </c>
      <c r="AF428">
        <v>212.574</v>
      </c>
      <c r="AG428">
        <v>1.2742572795566</v>
      </c>
    </row>
    <row r="429" spans="24:33">
      <c r="X429">
        <v>213.073</v>
      </c>
      <c r="Y429">
        <v>1.24281460254539</v>
      </c>
      <c r="Z429">
        <v>213.073</v>
      </c>
      <c r="AA429">
        <v>1.2706471903627</v>
      </c>
      <c r="AB429">
        <v>213.073</v>
      </c>
      <c r="AC429">
        <v>1.30038620333647</v>
      </c>
      <c r="AD429">
        <v>213.073</v>
      </c>
      <c r="AE429">
        <v>1.23008310986628</v>
      </c>
      <c r="AF429">
        <v>213.073</v>
      </c>
      <c r="AG429">
        <v>1.27008111836297</v>
      </c>
    </row>
    <row r="430" spans="24:33">
      <c r="X430">
        <v>213.572</v>
      </c>
      <c r="Y430">
        <v>1.23787836327525</v>
      </c>
      <c r="Z430">
        <v>213.572</v>
      </c>
      <c r="AA430">
        <v>1.27375026213873</v>
      </c>
      <c r="AB430">
        <v>213.572</v>
      </c>
      <c r="AC430">
        <v>1.30191679863634</v>
      </c>
      <c r="AD430">
        <v>213.572</v>
      </c>
      <c r="AE430">
        <v>1.22731927364413</v>
      </c>
      <c r="AF430">
        <v>213.572</v>
      </c>
      <c r="AG430">
        <v>1.26619199608555</v>
      </c>
    </row>
    <row r="431" spans="24:33">
      <c r="X431">
        <v>214.071</v>
      </c>
      <c r="Y431">
        <v>1.22784998269339</v>
      </c>
      <c r="Z431">
        <v>214.071</v>
      </c>
      <c r="AA431">
        <v>1.26748246266595</v>
      </c>
      <c r="AB431">
        <v>214.071</v>
      </c>
      <c r="AC431">
        <v>1.30290177823075</v>
      </c>
      <c r="AD431">
        <v>214.071</v>
      </c>
      <c r="AE431">
        <v>1.21806624738653</v>
      </c>
      <c r="AF431">
        <v>214.071</v>
      </c>
      <c r="AG431">
        <v>1.26700462849484</v>
      </c>
    </row>
    <row r="432" spans="24:33">
      <c r="X432">
        <v>214.57</v>
      </c>
      <c r="Y432">
        <v>1.23222785058546</v>
      </c>
      <c r="Z432">
        <v>214.57</v>
      </c>
      <c r="AA432">
        <v>1.26897130975192</v>
      </c>
      <c r="AB432">
        <v>214.57</v>
      </c>
      <c r="AC432">
        <v>1.29585661429196</v>
      </c>
      <c r="AD432">
        <v>214.57</v>
      </c>
      <c r="AE432">
        <v>1.22779503959349</v>
      </c>
      <c r="AF432">
        <v>214.57</v>
      </c>
      <c r="AG432">
        <v>1.26805838278417</v>
      </c>
    </row>
    <row r="433" spans="24:33">
      <c r="X433">
        <v>215.069</v>
      </c>
      <c r="Y433">
        <v>1.23510130975056</v>
      </c>
      <c r="Z433">
        <v>215.069</v>
      </c>
      <c r="AA433">
        <v>1.26939820955325</v>
      </c>
      <c r="AB433">
        <v>215.069</v>
      </c>
      <c r="AC433">
        <v>1.29875118651664</v>
      </c>
      <c r="AD433">
        <v>215.069</v>
      </c>
      <c r="AE433">
        <v>1.23305209532244</v>
      </c>
      <c r="AF433">
        <v>215.069</v>
      </c>
      <c r="AG433">
        <v>1.27036543341592</v>
      </c>
    </row>
    <row r="434" spans="24:33">
      <c r="X434">
        <v>215.568</v>
      </c>
      <c r="Y434">
        <v>1.22981386084076</v>
      </c>
      <c r="Z434">
        <v>215.568</v>
      </c>
      <c r="AA434">
        <v>1.26646209229315</v>
      </c>
      <c r="AB434">
        <v>215.568</v>
      </c>
      <c r="AC434">
        <v>1.30196262247104</v>
      </c>
      <c r="AD434">
        <v>215.568</v>
      </c>
      <c r="AE434">
        <v>1.23073001150905</v>
      </c>
      <c r="AF434">
        <v>215.568</v>
      </c>
      <c r="AG434">
        <v>1.27505690772392</v>
      </c>
    </row>
    <row r="435" spans="24:33">
      <c r="X435">
        <v>216.067</v>
      </c>
      <c r="Y435">
        <v>1.22554241276075</v>
      </c>
      <c r="Z435">
        <v>216.067</v>
      </c>
      <c r="AA435">
        <v>1.25976072595178</v>
      </c>
      <c r="AB435">
        <v>216.067</v>
      </c>
      <c r="AC435">
        <v>1.30539172322644</v>
      </c>
      <c r="AD435">
        <v>216.067</v>
      </c>
      <c r="AE435">
        <v>1.2257960796193</v>
      </c>
      <c r="AF435">
        <v>216.067</v>
      </c>
      <c r="AG435">
        <v>1.27179079142995</v>
      </c>
    </row>
    <row r="436" spans="24:33">
      <c r="X436">
        <v>216.566</v>
      </c>
      <c r="Y436">
        <v>1.23869736624142</v>
      </c>
      <c r="Z436">
        <v>216.566</v>
      </c>
      <c r="AA436">
        <v>1.26578963210864</v>
      </c>
      <c r="AB436">
        <v>216.566</v>
      </c>
      <c r="AC436">
        <v>1.30131311835261</v>
      </c>
      <c r="AD436">
        <v>216.566</v>
      </c>
      <c r="AE436">
        <v>1.22198470580105</v>
      </c>
      <c r="AF436">
        <v>216.566</v>
      </c>
      <c r="AG436">
        <v>1.26570455304269</v>
      </c>
    </row>
    <row r="437" spans="24:33">
      <c r="X437">
        <v>217.065</v>
      </c>
      <c r="Y437">
        <v>1.24329113410099</v>
      </c>
      <c r="Z437">
        <v>217.065</v>
      </c>
      <c r="AA437">
        <v>1.26811744663651</v>
      </c>
      <c r="AB437">
        <v>217.065</v>
      </c>
      <c r="AC437">
        <v>1.31165411160039</v>
      </c>
      <c r="AD437">
        <v>217.065</v>
      </c>
      <c r="AE437">
        <v>1.21960020237896</v>
      </c>
      <c r="AF437">
        <v>217.065</v>
      </c>
      <c r="AG437">
        <v>1.27892338479129</v>
      </c>
    </row>
    <row r="438" spans="24:33">
      <c r="X438">
        <v>217.564</v>
      </c>
      <c r="Y438">
        <v>1.24236019219918</v>
      </c>
      <c r="Z438">
        <v>217.564</v>
      </c>
      <c r="AA438">
        <v>1.27489207546745</v>
      </c>
      <c r="AB438">
        <v>217.564</v>
      </c>
      <c r="AC438">
        <v>1.30134616658751</v>
      </c>
      <c r="AD438">
        <v>217.564</v>
      </c>
      <c r="AE438">
        <v>1.2212029830988</v>
      </c>
      <c r="AF438">
        <v>217.564</v>
      </c>
      <c r="AG438">
        <v>1.27796062671326</v>
      </c>
    </row>
    <row r="439" spans="24:33">
      <c r="X439">
        <v>218.063</v>
      </c>
      <c r="Y439">
        <v>1.24068362659459</v>
      </c>
      <c r="Z439">
        <v>218.063</v>
      </c>
      <c r="AA439">
        <v>1.27069178045199</v>
      </c>
      <c r="AB439">
        <v>218.063</v>
      </c>
      <c r="AC439">
        <v>1.30107372762474</v>
      </c>
      <c r="AD439">
        <v>218.063</v>
      </c>
      <c r="AE439">
        <v>1.22469095951978</v>
      </c>
      <c r="AF439">
        <v>218.063</v>
      </c>
      <c r="AG439">
        <v>1.27365068645939</v>
      </c>
    </row>
    <row r="440" spans="24:33">
      <c r="X440">
        <v>218.562</v>
      </c>
      <c r="Y440">
        <v>1.24423742922668</v>
      </c>
      <c r="Z440">
        <v>218.562</v>
      </c>
      <c r="AA440">
        <v>1.27200388384624</v>
      </c>
      <c r="AB440">
        <v>218.562</v>
      </c>
      <c r="AC440">
        <v>1.3112565251806</v>
      </c>
      <c r="AD440">
        <v>218.562</v>
      </c>
      <c r="AE440">
        <v>1.22528025370547</v>
      </c>
      <c r="AF440">
        <v>218.562</v>
      </c>
      <c r="AG440">
        <v>1.26420922565671</v>
      </c>
    </row>
    <row r="441" spans="24:33">
      <c r="X441">
        <v>219.061</v>
      </c>
      <c r="Y441">
        <v>1.23401617391857</v>
      </c>
      <c r="Z441">
        <v>219.061</v>
      </c>
      <c r="AA441">
        <v>1.26806439649665</v>
      </c>
      <c r="AB441">
        <v>219.061</v>
      </c>
      <c r="AC441">
        <v>1.29891139056379</v>
      </c>
      <c r="AD441">
        <v>219.061</v>
      </c>
      <c r="AE441">
        <v>1.22323329071527</v>
      </c>
      <c r="AF441">
        <v>219.061</v>
      </c>
      <c r="AG441">
        <v>1.26449226572322</v>
      </c>
    </row>
    <row r="442" spans="24:33">
      <c r="X442">
        <v>219.56</v>
      </c>
      <c r="Y442">
        <v>1.2429159287615</v>
      </c>
      <c r="Z442">
        <v>219.56</v>
      </c>
      <c r="AA442">
        <v>1.2739472929409</v>
      </c>
      <c r="AB442">
        <v>219.56</v>
      </c>
      <c r="AC442">
        <v>1.30115825657832</v>
      </c>
      <c r="AD442">
        <v>219.56</v>
      </c>
      <c r="AE442">
        <v>1.22364354815187</v>
      </c>
      <c r="AF442">
        <v>219.56</v>
      </c>
      <c r="AG442">
        <v>1.26244574444995</v>
      </c>
    </row>
    <row r="443" spans="24:33">
      <c r="X443">
        <v>220.059</v>
      </c>
      <c r="Y443">
        <v>1.23175171056609</v>
      </c>
      <c r="Z443">
        <v>220.059</v>
      </c>
      <c r="AA443">
        <v>1.26860876407866</v>
      </c>
      <c r="AB443">
        <v>220.059</v>
      </c>
      <c r="AC443">
        <v>1.30046017388252</v>
      </c>
      <c r="AD443">
        <v>220.059</v>
      </c>
      <c r="AE443">
        <v>1.21982426476859</v>
      </c>
      <c r="AF443">
        <v>220.059</v>
      </c>
      <c r="AG443">
        <v>1.2769397622522</v>
      </c>
    </row>
    <row r="444" spans="24:33">
      <c r="X444">
        <v>220.558</v>
      </c>
      <c r="Y444">
        <v>1.23893001191898</v>
      </c>
      <c r="Z444">
        <v>220.558</v>
      </c>
      <c r="AA444">
        <v>1.27316898764855</v>
      </c>
      <c r="AB444">
        <v>220.558</v>
      </c>
      <c r="AC444">
        <v>1.30880570652206</v>
      </c>
      <c r="AD444">
        <v>220.558</v>
      </c>
      <c r="AE444">
        <v>1.23345291688331</v>
      </c>
      <c r="AF444">
        <v>220.558</v>
      </c>
      <c r="AG444">
        <v>1.27439738937339</v>
      </c>
    </row>
    <row r="445" spans="24:33">
      <c r="X445">
        <v>221.057</v>
      </c>
      <c r="Y445">
        <v>1.24250331967148</v>
      </c>
      <c r="Z445">
        <v>221.057</v>
      </c>
      <c r="AA445">
        <v>1.2701123543264</v>
      </c>
      <c r="AB445">
        <v>221.057</v>
      </c>
      <c r="AC445">
        <v>1.31359039308998</v>
      </c>
      <c r="AD445">
        <v>221.057</v>
      </c>
      <c r="AE445">
        <v>1.23149180874392</v>
      </c>
      <c r="AF445">
        <v>221.057</v>
      </c>
      <c r="AG445">
        <v>1.27681018830033</v>
      </c>
    </row>
    <row r="446" spans="24:33">
      <c r="X446">
        <v>221.556</v>
      </c>
      <c r="Y446">
        <v>1.24720122368231</v>
      </c>
      <c r="Z446">
        <v>221.556</v>
      </c>
      <c r="AA446">
        <v>1.27757942711558</v>
      </c>
      <c r="AB446">
        <v>221.556</v>
      </c>
      <c r="AC446">
        <v>1.30326965050696</v>
      </c>
      <c r="AD446">
        <v>221.556</v>
      </c>
      <c r="AE446">
        <v>1.23518941034601</v>
      </c>
      <c r="AF446">
        <v>221.556</v>
      </c>
      <c r="AG446">
        <v>1.27848477489153</v>
      </c>
    </row>
    <row r="447" spans="24:33">
      <c r="X447">
        <v>222.055</v>
      </c>
      <c r="Y447">
        <v>1.24203980380364</v>
      </c>
      <c r="Z447">
        <v>222.055</v>
      </c>
      <c r="AA447">
        <v>1.2755772975136</v>
      </c>
      <c r="AB447">
        <v>222.055</v>
      </c>
      <c r="AC447">
        <v>1.30292175983339</v>
      </c>
      <c r="AD447">
        <v>222.055</v>
      </c>
      <c r="AE447">
        <v>1.2340974105253</v>
      </c>
      <c r="AF447">
        <v>222.055</v>
      </c>
      <c r="AG447">
        <v>1.28641624889585</v>
      </c>
    </row>
    <row r="448" spans="24:33">
      <c r="X448">
        <v>222.554</v>
      </c>
      <c r="Y448">
        <v>1.24487561193401</v>
      </c>
      <c r="Z448">
        <v>222.554</v>
      </c>
      <c r="AA448">
        <v>1.27757352831922</v>
      </c>
      <c r="AB448">
        <v>222.554</v>
      </c>
      <c r="AC448">
        <v>1.30543523578948</v>
      </c>
      <c r="AD448">
        <v>222.554</v>
      </c>
      <c r="AE448">
        <v>1.23342371585984</v>
      </c>
      <c r="AF448">
        <v>222.554</v>
      </c>
      <c r="AG448">
        <v>1.28233867644416</v>
      </c>
    </row>
    <row r="449" spans="24:33">
      <c r="X449">
        <v>223.053</v>
      </c>
      <c r="Y449">
        <v>1.24266577543603</v>
      </c>
      <c r="Z449">
        <v>223.053</v>
      </c>
      <c r="AA449">
        <v>1.27731801453217</v>
      </c>
      <c r="AB449">
        <v>223.053</v>
      </c>
      <c r="AC449">
        <v>1.31068437967464</v>
      </c>
      <c r="AD449">
        <v>223.053</v>
      </c>
      <c r="AE449">
        <v>1.23309092451724</v>
      </c>
      <c r="AF449">
        <v>223.053</v>
      </c>
      <c r="AG449">
        <v>1.29166095814597</v>
      </c>
    </row>
    <row r="450" spans="24:33">
      <c r="X450">
        <v>223.552</v>
      </c>
      <c r="Y450">
        <v>1.24533470349114</v>
      </c>
      <c r="Z450">
        <v>223.552</v>
      </c>
      <c r="AA450">
        <v>1.27830480517598</v>
      </c>
      <c r="AB450">
        <v>223.552</v>
      </c>
      <c r="AC450">
        <v>1.30729512331391</v>
      </c>
      <c r="AD450">
        <v>223.552</v>
      </c>
      <c r="AE450">
        <v>1.2312793459674</v>
      </c>
      <c r="AF450">
        <v>223.552</v>
      </c>
      <c r="AG450">
        <v>1.27718203669831</v>
      </c>
    </row>
    <row r="451" spans="24:33">
      <c r="X451">
        <v>224.051</v>
      </c>
      <c r="Y451">
        <v>1.235678057105</v>
      </c>
      <c r="Z451">
        <v>224.051</v>
      </c>
      <c r="AA451">
        <v>1.2765034406093</v>
      </c>
      <c r="AB451">
        <v>224.051</v>
      </c>
      <c r="AC451">
        <v>1.30603321756211</v>
      </c>
      <c r="AD451">
        <v>224.051</v>
      </c>
      <c r="AE451">
        <v>1.22962336113583</v>
      </c>
      <c r="AF451">
        <v>224.051</v>
      </c>
      <c r="AG451">
        <v>1.27927477418025</v>
      </c>
    </row>
    <row r="452" spans="24:33">
      <c r="X452">
        <v>224.55</v>
      </c>
      <c r="Y452">
        <v>1.23797499226923</v>
      </c>
      <c r="Z452">
        <v>224.55</v>
      </c>
      <c r="AA452">
        <v>1.26836205987885</v>
      </c>
      <c r="AB452">
        <v>224.55</v>
      </c>
      <c r="AC452">
        <v>1.3073747776558</v>
      </c>
      <c r="AD452">
        <v>224.55</v>
      </c>
      <c r="AE452">
        <v>1.22277116118477</v>
      </c>
      <c r="AF452">
        <v>224.55</v>
      </c>
      <c r="AG452">
        <v>1.29379105303136</v>
      </c>
    </row>
    <row r="453" spans="24:33">
      <c r="X453">
        <v>225.049</v>
      </c>
      <c r="Y453">
        <v>1.24067061989579</v>
      </c>
      <c r="Z453">
        <v>225.049</v>
      </c>
      <c r="AA453">
        <v>1.28085350217925</v>
      </c>
      <c r="AB453">
        <v>225.049</v>
      </c>
      <c r="AC453">
        <v>1.30973559581836</v>
      </c>
      <c r="AD453">
        <v>225.049</v>
      </c>
      <c r="AE453">
        <v>1.22868893230884</v>
      </c>
      <c r="AF453">
        <v>225.049</v>
      </c>
      <c r="AG453">
        <v>1.29108050114428</v>
      </c>
    </row>
    <row r="454" spans="24:33">
      <c r="X454">
        <v>225.548</v>
      </c>
      <c r="Y454">
        <v>1.24431155607035</v>
      </c>
      <c r="Z454">
        <v>225.548</v>
      </c>
      <c r="AA454">
        <v>1.27686373286579</v>
      </c>
      <c r="AB454">
        <v>225.548</v>
      </c>
      <c r="AC454">
        <v>1.30943322709994</v>
      </c>
      <c r="AD454">
        <v>225.548</v>
      </c>
      <c r="AE454">
        <v>1.23049792635728</v>
      </c>
      <c r="AF454">
        <v>225.548</v>
      </c>
      <c r="AG454">
        <v>1.28188675367306</v>
      </c>
    </row>
    <row r="455" spans="24:33">
      <c r="X455">
        <v>226.047</v>
      </c>
      <c r="Y455">
        <v>1.24104679290143</v>
      </c>
      <c r="Z455">
        <v>226.047</v>
      </c>
      <c r="AA455">
        <v>1.27990786304307</v>
      </c>
      <c r="AB455">
        <v>226.047</v>
      </c>
      <c r="AC455">
        <v>1.30616205132006</v>
      </c>
      <c r="AD455">
        <v>226.047</v>
      </c>
      <c r="AE455">
        <v>1.23472452985407</v>
      </c>
      <c r="AF455">
        <v>226.047</v>
      </c>
      <c r="AG455">
        <v>1.29223941740947</v>
      </c>
    </row>
    <row r="456" spans="24:33">
      <c r="X456">
        <v>226.546</v>
      </c>
      <c r="Y456">
        <v>1.23893655707156</v>
      </c>
      <c r="Z456">
        <v>226.546</v>
      </c>
      <c r="AA456">
        <v>1.27044753621991</v>
      </c>
      <c r="AB456">
        <v>226.546</v>
      </c>
      <c r="AC456">
        <v>1.30547078857753</v>
      </c>
      <c r="AD456">
        <v>226.546</v>
      </c>
      <c r="AE456">
        <v>1.22892618089183</v>
      </c>
      <c r="AF456">
        <v>226.546</v>
      </c>
      <c r="AG456">
        <v>1.28482476261894</v>
      </c>
    </row>
    <row r="457" spans="24:33">
      <c r="X457">
        <v>227.045</v>
      </c>
      <c r="Y457">
        <v>1.24585431813787</v>
      </c>
      <c r="Z457">
        <v>227.045</v>
      </c>
      <c r="AA457">
        <v>1.27467809883862</v>
      </c>
      <c r="AB457">
        <v>227.045</v>
      </c>
      <c r="AC457">
        <v>1.30052057879408</v>
      </c>
      <c r="AD457">
        <v>227.045</v>
      </c>
      <c r="AE457">
        <v>1.23501238267075</v>
      </c>
      <c r="AF457">
        <v>227.045</v>
      </c>
      <c r="AG457">
        <v>1.27902205492016</v>
      </c>
    </row>
    <row r="458" spans="24:33">
      <c r="X458">
        <v>227.544</v>
      </c>
      <c r="Y458">
        <v>1.25023790020215</v>
      </c>
      <c r="Z458">
        <v>227.544</v>
      </c>
      <c r="AA458">
        <v>1.27557351779761</v>
      </c>
      <c r="AB458">
        <v>227.544</v>
      </c>
      <c r="AC458">
        <v>1.30847983380508</v>
      </c>
      <c r="AD458">
        <v>227.544</v>
      </c>
      <c r="AE458">
        <v>1.23082743172121</v>
      </c>
      <c r="AF458">
        <v>227.544</v>
      </c>
      <c r="AG458">
        <v>1.27957909755707</v>
      </c>
    </row>
    <row r="459" spans="24:33">
      <c r="X459">
        <v>228.043</v>
      </c>
      <c r="Y459">
        <v>1.2436940871548</v>
      </c>
      <c r="Z459">
        <v>228.043</v>
      </c>
      <c r="AA459">
        <v>1.27792238620886</v>
      </c>
      <c r="AB459">
        <v>228.043</v>
      </c>
      <c r="AC459">
        <v>1.30479041585683</v>
      </c>
      <c r="AD459">
        <v>228.043</v>
      </c>
      <c r="AE459">
        <v>1.24823049951523</v>
      </c>
      <c r="AF459">
        <v>228.043</v>
      </c>
      <c r="AG459">
        <v>1.28324586951528</v>
      </c>
    </row>
    <row r="460" spans="24:33">
      <c r="X460">
        <v>228.542</v>
      </c>
      <c r="Y460">
        <v>1.24407561628149</v>
      </c>
      <c r="Z460">
        <v>228.542</v>
      </c>
      <c r="AA460">
        <v>1.27699473999798</v>
      </c>
      <c r="AB460">
        <v>228.542</v>
      </c>
      <c r="AC460">
        <v>1.30485654797833</v>
      </c>
      <c r="AD460">
        <v>228.542</v>
      </c>
      <c r="AE460">
        <v>1.24338012562422</v>
      </c>
      <c r="AF460">
        <v>228.542</v>
      </c>
      <c r="AG460">
        <v>1.28489943766072</v>
      </c>
    </row>
    <row r="461" spans="24:33">
      <c r="X461">
        <v>229.041</v>
      </c>
      <c r="Y461">
        <v>1.23820369706237</v>
      </c>
      <c r="Z461">
        <v>229.041</v>
      </c>
      <c r="AA461">
        <v>1.27970535960335</v>
      </c>
      <c r="AB461">
        <v>229.041</v>
      </c>
      <c r="AC461">
        <v>1.2953901034834</v>
      </c>
      <c r="AD461">
        <v>229.041</v>
      </c>
      <c r="AE461">
        <v>1.23934491911882</v>
      </c>
      <c r="AF461">
        <v>229.041</v>
      </c>
      <c r="AG461">
        <v>1.28688962738955</v>
      </c>
    </row>
    <row r="462" spans="24:33">
      <c r="X462">
        <v>229.54</v>
      </c>
      <c r="Y462">
        <v>1.24682935220036</v>
      </c>
      <c r="Z462">
        <v>229.54</v>
      </c>
      <c r="AA462">
        <v>1.27725930841221</v>
      </c>
      <c r="AB462">
        <v>229.54</v>
      </c>
      <c r="AC462">
        <v>1.30304188184741</v>
      </c>
      <c r="AD462">
        <v>229.54</v>
      </c>
      <c r="AE462">
        <v>1.22956458276254</v>
      </c>
      <c r="AF462">
        <v>229.54</v>
      </c>
      <c r="AG462">
        <v>1.27817242309209</v>
      </c>
    </row>
    <row r="463" spans="24:33">
      <c r="X463">
        <v>230.039</v>
      </c>
      <c r="Y463">
        <v>1.24260303949756</v>
      </c>
      <c r="Z463">
        <v>230.039</v>
      </c>
      <c r="AA463">
        <v>1.27242144526115</v>
      </c>
      <c r="AB463">
        <v>230.039</v>
      </c>
      <c r="AC463">
        <v>1.30385276394185</v>
      </c>
      <c r="AD463">
        <v>230.039</v>
      </c>
      <c r="AE463">
        <v>1.2367937605593</v>
      </c>
      <c r="AF463">
        <v>230.039</v>
      </c>
      <c r="AG463">
        <v>1.28267252003041</v>
      </c>
    </row>
    <row r="464" spans="24:33">
      <c r="X464">
        <v>230.538</v>
      </c>
      <c r="Y464">
        <v>1.24346885607982</v>
      </c>
      <c r="Z464">
        <v>230.538</v>
      </c>
      <c r="AA464">
        <v>1.26735636200547</v>
      </c>
      <c r="AB464">
        <v>230.538</v>
      </c>
      <c r="AC464">
        <v>1.31321269749919</v>
      </c>
      <c r="AD464">
        <v>230.538</v>
      </c>
      <c r="AE464">
        <v>1.23865235245799</v>
      </c>
      <c r="AF464">
        <v>230.538</v>
      </c>
      <c r="AG464">
        <v>1.28240414962662</v>
      </c>
    </row>
    <row r="465" spans="24:33">
      <c r="X465">
        <v>231.037</v>
      </c>
      <c r="Y465">
        <v>1.24195394323497</v>
      </c>
      <c r="Z465">
        <v>231.037</v>
      </c>
      <c r="AA465">
        <v>1.27683718206306</v>
      </c>
      <c r="AB465">
        <v>231.037</v>
      </c>
      <c r="AC465">
        <v>1.30482305762847</v>
      </c>
      <c r="AD465">
        <v>231.037</v>
      </c>
      <c r="AE465">
        <v>1.24463298645472</v>
      </c>
      <c r="AF465">
        <v>231.037</v>
      </c>
      <c r="AG465">
        <v>1.28634237546074</v>
      </c>
    </row>
    <row r="466" spans="24:33">
      <c r="X466">
        <v>231.536</v>
      </c>
      <c r="Y466">
        <v>1.23488966872245</v>
      </c>
      <c r="Z466">
        <v>231.536</v>
      </c>
      <c r="AA466">
        <v>1.27846122509194</v>
      </c>
      <c r="AB466">
        <v>231.536</v>
      </c>
      <c r="AC466">
        <v>1.31023405144356</v>
      </c>
      <c r="AD466">
        <v>231.536</v>
      </c>
      <c r="AE466">
        <v>1.23796945159036</v>
      </c>
      <c r="AF466">
        <v>231.536</v>
      </c>
      <c r="AG466">
        <v>1.27985592265</v>
      </c>
    </row>
    <row r="467" spans="24:33">
      <c r="X467">
        <v>232.035</v>
      </c>
      <c r="Y467">
        <v>1.24392970733436</v>
      </c>
      <c r="Z467">
        <v>232.035</v>
      </c>
      <c r="AA467">
        <v>1.28112791990742</v>
      </c>
      <c r="AB467">
        <v>232.035</v>
      </c>
      <c r="AC467">
        <v>1.30998137737812</v>
      </c>
      <c r="AD467">
        <v>232.035</v>
      </c>
      <c r="AE467">
        <v>1.23516210075141</v>
      </c>
      <c r="AF467">
        <v>232.035</v>
      </c>
      <c r="AG467">
        <v>1.28136478708164</v>
      </c>
    </row>
    <row r="468" spans="24:33">
      <c r="X468">
        <v>232.534</v>
      </c>
      <c r="Y468">
        <v>1.2503844772925</v>
      </c>
      <c r="Z468">
        <v>232.534</v>
      </c>
      <c r="AA468">
        <v>1.28067185613164</v>
      </c>
      <c r="AB468">
        <v>232.534</v>
      </c>
      <c r="AC468">
        <v>1.30012441101131</v>
      </c>
      <c r="AD468">
        <v>232.534</v>
      </c>
      <c r="AE468">
        <v>1.23874259536479</v>
      </c>
      <c r="AF468">
        <v>232.534</v>
      </c>
      <c r="AG468">
        <v>1.28508114677611</v>
      </c>
    </row>
    <row r="469" spans="24:33">
      <c r="X469">
        <v>233.033</v>
      </c>
      <c r="Y469">
        <v>1.24721538743354</v>
      </c>
      <c r="Z469">
        <v>233.033</v>
      </c>
      <c r="AA469">
        <v>1.28358491906225</v>
      </c>
      <c r="AB469">
        <v>233.033</v>
      </c>
      <c r="AC469">
        <v>1.30817940226512</v>
      </c>
      <c r="AD469">
        <v>233.033</v>
      </c>
      <c r="AE469">
        <v>1.24021686195549</v>
      </c>
      <c r="AF469">
        <v>233.033</v>
      </c>
      <c r="AG469">
        <v>1.28444798801481</v>
      </c>
    </row>
    <row r="470" spans="24:33">
      <c r="X470">
        <v>233.532</v>
      </c>
      <c r="Y470">
        <v>1.24354584398113</v>
      </c>
      <c r="Z470">
        <v>233.532</v>
      </c>
      <c r="AA470">
        <v>1.28123342656922</v>
      </c>
      <c r="AB470">
        <v>233.532</v>
      </c>
      <c r="AC470">
        <v>1.31425317072864</v>
      </c>
      <c r="AD470">
        <v>233.532</v>
      </c>
      <c r="AE470">
        <v>1.2433558396106</v>
      </c>
      <c r="AF470">
        <v>233.532</v>
      </c>
      <c r="AG470">
        <v>1.2828941779203</v>
      </c>
    </row>
    <row r="471" spans="24:33">
      <c r="X471">
        <v>234.031</v>
      </c>
      <c r="Y471">
        <v>1.24429104181734</v>
      </c>
      <c r="Z471">
        <v>234.031</v>
      </c>
      <c r="AA471">
        <v>1.27389854586566</v>
      </c>
      <c r="AB471">
        <v>234.031</v>
      </c>
      <c r="AC471">
        <v>1.30963433546742</v>
      </c>
      <c r="AD471">
        <v>234.031</v>
      </c>
      <c r="AE471">
        <v>1.24494227080637</v>
      </c>
      <c r="AF471">
        <v>234.031</v>
      </c>
      <c r="AG471">
        <v>1.28348592263596</v>
      </c>
    </row>
    <row r="472" spans="24:33">
      <c r="X472">
        <v>234.53</v>
      </c>
      <c r="Y472">
        <v>1.24583519229745</v>
      </c>
      <c r="Z472">
        <v>234.53</v>
      </c>
      <c r="AA472">
        <v>1.27383728907951</v>
      </c>
      <c r="AB472">
        <v>234.53</v>
      </c>
      <c r="AC472">
        <v>1.30255245936073</v>
      </c>
      <c r="AD472">
        <v>234.53</v>
      </c>
      <c r="AE472">
        <v>1.23800812773085</v>
      </c>
      <c r="AF472">
        <v>234.53</v>
      </c>
      <c r="AG472">
        <v>1.2966506442024</v>
      </c>
    </row>
    <row r="473" spans="24:33">
      <c r="X473">
        <v>235.029</v>
      </c>
      <c r="Y473">
        <v>1.24826492022872</v>
      </c>
      <c r="Z473">
        <v>235.029</v>
      </c>
      <c r="AA473">
        <v>1.28115389314128</v>
      </c>
      <c r="AB473">
        <v>235.029</v>
      </c>
      <c r="AC473">
        <v>1.2999664242329</v>
      </c>
      <c r="AD473">
        <v>235.029</v>
      </c>
      <c r="AE473">
        <v>1.24418274415375</v>
      </c>
      <c r="AF473">
        <v>235.029</v>
      </c>
      <c r="AG473">
        <v>1.2926832973421</v>
      </c>
    </row>
    <row r="474" spans="24:33">
      <c r="X474">
        <v>235.528</v>
      </c>
      <c r="Y474">
        <v>1.2488785445727</v>
      </c>
      <c r="Z474">
        <v>235.528</v>
      </c>
      <c r="AA474">
        <v>1.2759993046544</v>
      </c>
      <c r="AB474">
        <v>235.528</v>
      </c>
      <c r="AC474">
        <v>1.29065312200015</v>
      </c>
      <c r="AD474">
        <v>235.528</v>
      </c>
      <c r="AE474">
        <v>1.2403086611591</v>
      </c>
      <c r="AF474">
        <v>235.528</v>
      </c>
      <c r="AG474">
        <v>1.28415915079018</v>
      </c>
    </row>
    <row r="475" spans="24:33">
      <c r="X475">
        <v>236.027</v>
      </c>
      <c r="Y475">
        <v>1.24270865073981</v>
      </c>
      <c r="Z475">
        <v>236.027</v>
      </c>
      <c r="AA475">
        <v>1.27141078229188</v>
      </c>
      <c r="AB475">
        <v>236.027</v>
      </c>
      <c r="AC475">
        <v>1.30228273737157</v>
      </c>
      <c r="AD475">
        <v>236.027</v>
      </c>
      <c r="AE475">
        <v>1.23473740612335</v>
      </c>
      <c r="AF475">
        <v>236.027</v>
      </c>
      <c r="AG475">
        <v>1.29405692244027</v>
      </c>
    </row>
    <row r="476" spans="24:33">
      <c r="X476">
        <v>236.526</v>
      </c>
      <c r="Y476">
        <v>1.24215207921355</v>
      </c>
      <c r="Z476">
        <v>236.526</v>
      </c>
      <c r="AA476">
        <v>1.27396871032152</v>
      </c>
      <c r="AB476">
        <v>236.526</v>
      </c>
      <c r="AC476">
        <v>1.29030156497114</v>
      </c>
      <c r="AD476">
        <v>236.526</v>
      </c>
      <c r="AE476">
        <v>1.23938487859093</v>
      </c>
      <c r="AF476">
        <v>236.526</v>
      </c>
      <c r="AG476">
        <v>1.28425880285871</v>
      </c>
    </row>
    <row r="477" spans="24:33">
      <c r="X477">
        <v>237.025</v>
      </c>
      <c r="Y477">
        <v>1.24353711637231</v>
      </c>
      <c r="Z477">
        <v>237.025</v>
      </c>
      <c r="AA477">
        <v>1.28207062800885</v>
      </c>
      <c r="AB477">
        <v>237.025</v>
      </c>
      <c r="AC477">
        <v>1.30165564786547</v>
      </c>
      <c r="AD477">
        <v>237.025</v>
      </c>
      <c r="AE477">
        <v>1.23344169940021</v>
      </c>
      <c r="AF477">
        <v>237.025</v>
      </c>
      <c r="AG477">
        <v>1.291111601698</v>
      </c>
    </row>
    <row r="478" spans="24:33">
      <c r="X478">
        <v>237.524</v>
      </c>
      <c r="Y478">
        <v>1.24066940522144</v>
      </c>
      <c r="Z478">
        <v>237.524</v>
      </c>
      <c r="AA478">
        <v>1.27954265444599</v>
      </c>
      <c r="AB478">
        <v>237.524</v>
      </c>
      <c r="AC478">
        <v>1.30583112661687</v>
      </c>
      <c r="AD478">
        <v>237.524</v>
      </c>
      <c r="AE478">
        <v>1.23917674009492</v>
      </c>
      <c r="AF478">
        <v>237.524</v>
      </c>
      <c r="AG478">
        <v>1.29088855915526</v>
      </c>
    </row>
    <row r="479" spans="24:33">
      <c r="X479">
        <v>238.023</v>
      </c>
      <c r="Y479">
        <v>1.24782219739538</v>
      </c>
      <c r="Z479">
        <v>238.023</v>
      </c>
      <c r="AA479">
        <v>1.27757203388625</v>
      </c>
      <c r="AB479">
        <v>238.023</v>
      </c>
      <c r="AC479">
        <v>1.29995301118934</v>
      </c>
      <c r="AD479">
        <v>238.023</v>
      </c>
      <c r="AE479">
        <v>1.22776696313053</v>
      </c>
      <c r="AF479">
        <v>238.023</v>
      </c>
      <c r="AG479">
        <v>1.29101390201001</v>
      </c>
    </row>
    <row r="480" spans="24:33">
      <c r="X480">
        <v>238.522</v>
      </c>
      <c r="Y480">
        <v>1.23361078018479</v>
      </c>
      <c r="Z480">
        <v>238.522</v>
      </c>
      <c r="AA480">
        <v>1.28498555771761</v>
      </c>
      <c r="AB480">
        <v>238.522</v>
      </c>
      <c r="AC480">
        <v>1.2915234235924</v>
      </c>
      <c r="AD480">
        <v>238.522</v>
      </c>
      <c r="AE480">
        <v>1.23740452778101</v>
      </c>
      <c r="AF480">
        <v>238.522</v>
      </c>
      <c r="AG480">
        <v>1.29532872973715</v>
      </c>
    </row>
    <row r="481" spans="24:33">
      <c r="X481">
        <v>239.021</v>
      </c>
      <c r="Y481">
        <v>1.23576233309971</v>
      </c>
      <c r="Z481">
        <v>239.021</v>
      </c>
      <c r="AA481">
        <v>1.27714213837677</v>
      </c>
      <c r="AB481">
        <v>239.021</v>
      </c>
      <c r="AC481">
        <v>1.29804840285104</v>
      </c>
      <c r="AD481">
        <v>239.021</v>
      </c>
      <c r="AE481">
        <v>1.23236931431264</v>
      </c>
      <c r="AF481">
        <v>239.021</v>
      </c>
      <c r="AG481">
        <v>1.3029288727644</v>
      </c>
    </row>
    <row r="482" spans="24:33">
      <c r="X482">
        <v>239.52</v>
      </c>
      <c r="Y482">
        <v>1.23977418515564</v>
      </c>
      <c r="Z482">
        <v>239.52</v>
      </c>
      <c r="AA482">
        <v>1.27801309102938</v>
      </c>
      <c r="AB482">
        <v>239.52</v>
      </c>
      <c r="AC482">
        <v>1.30147100056991</v>
      </c>
      <c r="AD482">
        <v>239.52</v>
      </c>
      <c r="AE482">
        <v>1.24060882814832</v>
      </c>
      <c r="AF482">
        <v>239.52</v>
      </c>
      <c r="AG482">
        <v>1.28781064036473</v>
      </c>
    </row>
    <row r="483" spans="24:33">
      <c r="X483">
        <v>240.019</v>
      </c>
      <c r="Y483">
        <v>1.24003036215785</v>
      </c>
      <c r="Z483">
        <v>240.019</v>
      </c>
      <c r="AA483">
        <v>1.28106395667417</v>
      </c>
      <c r="AB483">
        <v>240.019</v>
      </c>
      <c r="AC483">
        <v>1.30194034230304</v>
      </c>
      <c r="AD483">
        <v>240.019</v>
      </c>
      <c r="AE483">
        <v>1.23825516171038</v>
      </c>
      <c r="AF483">
        <v>240.019</v>
      </c>
      <c r="AG483">
        <v>1.29341600064927</v>
      </c>
    </row>
    <row r="484" spans="24:33">
      <c r="X484">
        <v>240.518</v>
      </c>
      <c r="Y484">
        <v>1.24327617754001</v>
      </c>
      <c r="Z484">
        <v>240.518</v>
      </c>
      <c r="AA484">
        <v>1.2832117789995</v>
      </c>
      <c r="AB484">
        <v>240.518</v>
      </c>
      <c r="AC484">
        <v>1.289833309036</v>
      </c>
      <c r="AD484">
        <v>240.518</v>
      </c>
      <c r="AE484">
        <v>1.23995086737436</v>
      </c>
      <c r="AF484">
        <v>240.518</v>
      </c>
      <c r="AG484">
        <v>1.28963975684016</v>
      </c>
    </row>
    <row r="485" spans="24:33">
      <c r="X485">
        <v>241.017</v>
      </c>
      <c r="Y485">
        <v>1.24274980320715</v>
      </c>
      <c r="Z485">
        <v>241.017</v>
      </c>
      <c r="AA485">
        <v>1.27672664238852</v>
      </c>
      <c r="AB485">
        <v>241.017</v>
      </c>
      <c r="AC485">
        <v>1.29391450063647</v>
      </c>
      <c r="AD485">
        <v>241.017</v>
      </c>
      <c r="AE485">
        <v>1.2355516795609</v>
      </c>
      <c r="AF485">
        <v>241.017</v>
      </c>
      <c r="AG485">
        <v>1.28875303215283</v>
      </c>
    </row>
    <row r="486" spans="24:33">
      <c r="X486">
        <v>241.516</v>
      </c>
      <c r="Y486">
        <v>1.24243009350049</v>
      </c>
      <c r="Z486">
        <v>241.516</v>
      </c>
      <c r="AA486">
        <v>1.27710458190094</v>
      </c>
      <c r="AB486">
        <v>241.516</v>
      </c>
      <c r="AC486">
        <v>1.29372730508891</v>
      </c>
      <c r="AD486">
        <v>241.516</v>
      </c>
      <c r="AE486">
        <v>1.2392543128856</v>
      </c>
      <c r="AF486">
        <v>241.516</v>
      </c>
      <c r="AG486">
        <v>1.28752227492429</v>
      </c>
    </row>
    <row r="487" spans="24:33">
      <c r="X487">
        <v>242.015</v>
      </c>
      <c r="Y487">
        <v>1.24880163327282</v>
      </c>
      <c r="Z487">
        <v>242.015</v>
      </c>
      <c r="AA487">
        <v>1.27716575614597</v>
      </c>
      <c r="AB487">
        <v>242.015</v>
      </c>
      <c r="AC487">
        <v>1.30067233795332</v>
      </c>
      <c r="AD487">
        <v>242.015</v>
      </c>
      <c r="AE487">
        <v>1.23750464528362</v>
      </c>
      <c r="AF487">
        <v>242.015</v>
      </c>
      <c r="AG487">
        <v>1.29231898569869</v>
      </c>
    </row>
    <row r="488" spans="24:33">
      <c r="X488">
        <v>242.514</v>
      </c>
      <c r="Y488">
        <v>1.24861133733935</v>
      </c>
      <c r="Z488">
        <v>242.514</v>
      </c>
      <c r="AA488">
        <v>1.2803267983207</v>
      </c>
      <c r="AB488">
        <v>242.514</v>
      </c>
      <c r="AC488">
        <v>1.30015615950413</v>
      </c>
      <c r="AD488">
        <v>242.514</v>
      </c>
      <c r="AE488">
        <v>1.24260710023562</v>
      </c>
      <c r="AF488">
        <v>242.514</v>
      </c>
      <c r="AG488">
        <v>1.28714501378021</v>
      </c>
    </row>
    <row r="489" spans="24:33">
      <c r="X489">
        <v>243.013</v>
      </c>
      <c r="Y489">
        <v>1.24169038107952</v>
      </c>
      <c r="Z489">
        <v>243.013</v>
      </c>
      <c r="AA489">
        <v>1.28910519419231</v>
      </c>
      <c r="AB489">
        <v>243.013</v>
      </c>
      <c r="AC489">
        <v>1.29610178086554</v>
      </c>
      <c r="AD489">
        <v>243.013</v>
      </c>
      <c r="AE489">
        <v>1.24075781012174</v>
      </c>
      <c r="AF489">
        <v>243.013</v>
      </c>
      <c r="AG489">
        <v>1.29109772345581</v>
      </c>
    </row>
    <row r="490" spans="24:33">
      <c r="X490">
        <v>243.512</v>
      </c>
      <c r="Y490">
        <v>1.2335791963986</v>
      </c>
      <c r="Z490">
        <v>243.512</v>
      </c>
      <c r="AA490">
        <v>1.28074074835075</v>
      </c>
      <c r="AB490">
        <v>243.512</v>
      </c>
      <c r="AC490">
        <v>1.29974679820041</v>
      </c>
      <c r="AD490">
        <v>243.512</v>
      </c>
      <c r="AE490">
        <v>1.23878600228344</v>
      </c>
      <c r="AF490">
        <v>243.512</v>
      </c>
      <c r="AG490">
        <v>1.29389651081013</v>
      </c>
    </row>
    <row r="491" spans="24:33">
      <c r="X491">
        <v>244.011</v>
      </c>
      <c r="Y491">
        <v>1.23990345828132</v>
      </c>
      <c r="Z491">
        <v>244.011</v>
      </c>
      <c r="AA491">
        <v>1.2733534118541</v>
      </c>
      <c r="AB491">
        <v>244.011</v>
      </c>
      <c r="AC491">
        <v>1.29864040154769</v>
      </c>
      <c r="AD491">
        <v>244.011</v>
      </c>
      <c r="AE491">
        <v>1.24268016717095</v>
      </c>
      <c r="AF491">
        <v>244.011</v>
      </c>
      <c r="AG491">
        <v>1.29151752879559</v>
      </c>
    </row>
    <row r="492" spans="24:33">
      <c r="X492">
        <v>244.51</v>
      </c>
      <c r="Y492">
        <v>1.25234740478613</v>
      </c>
      <c r="Z492">
        <v>244.51</v>
      </c>
      <c r="AA492">
        <v>1.27908668425586</v>
      </c>
      <c r="AB492">
        <v>244.51</v>
      </c>
      <c r="AC492">
        <v>1.30398725225368</v>
      </c>
      <c r="AD492">
        <v>244.51</v>
      </c>
      <c r="AE492">
        <v>1.24022707113242</v>
      </c>
      <c r="AF492">
        <v>244.51</v>
      </c>
      <c r="AG492">
        <v>1.29531464821455</v>
      </c>
    </row>
    <row r="493" spans="24:33">
      <c r="X493">
        <v>245.009</v>
      </c>
      <c r="Y493">
        <v>1.23840278577958</v>
      </c>
      <c r="Z493">
        <v>245.009</v>
      </c>
      <c r="AA493">
        <v>1.28521374461823</v>
      </c>
      <c r="AB493">
        <v>245.009</v>
      </c>
      <c r="AC493">
        <v>1.29857679093625</v>
      </c>
      <c r="AD493">
        <v>245.009</v>
      </c>
      <c r="AE493">
        <v>1.2405317187337</v>
      </c>
      <c r="AF493">
        <v>245.009</v>
      </c>
      <c r="AG493">
        <v>1.28988949644641</v>
      </c>
    </row>
    <row r="494" spans="24:33">
      <c r="X494">
        <v>245.508</v>
      </c>
      <c r="Y494">
        <v>1.24311584457628</v>
      </c>
      <c r="Z494">
        <v>245.508</v>
      </c>
      <c r="AA494">
        <v>1.27980079501413</v>
      </c>
      <c r="AB494">
        <v>245.508</v>
      </c>
      <c r="AC494">
        <v>1.29811382066111</v>
      </c>
      <c r="AD494">
        <v>245.508</v>
      </c>
      <c r="AE494">
        <v>1.24652311954229</v>
      </c>
      <c r="AF494">
        <v>245.508</v>
      </c>
      <c r="AG494">
        <v>1.28975412794451</v>
      </c>
    </row>
    <row r="495" spans="24:33">
      <c r="X495">
        <v>246.007</v>
      </c>
      <c r="Y495">
        <v>1.24613266970647</v>
      </c>
      <c r="Z495">
        <v>246.007</v>
      </c>
      <c r="AA495">
        <v>1.28049739244907</v>
      </c>
      <c r="AB495">
        <v>246.007</v>
      </c>
      <c r="AC495">
        <v>1.30372662556575</v>
      </c>
      <c r="AD495">
        <v>246.007</v>
      </c>
      <c r="AE495">
        <v>1.24879581933434</v>
      </c>
      <c r="AF495">
        <v>246.007</v>
      </c>
      <c r="AG495">
        <v>1.29305390197624</v>
      </c>
    </row>
    <row r="496" spans="24:33">
      <c r="X496">
        <v>246.506</v>
      </c>
      <c r="Y496">
        <v>1.24307648691424</v>
      </c>
      <c r="Z496">
        <v>246.506</v>
      </c>
      <c r="AA496">
        <v>1.28093290036982</v>
      </c>
      <c r="AB496">
        <v>246.506</v>
      </c>
      <c r="AC496">
        <v>1.29830994114909</v>
      </c>
      <c r="AD496">
        <v>246.506</v>
      </c>
      <c r="AE496">
        <v>1.25060937232016</v>
      </c>
      <c r="AF496">
        <v>246.506</v>
      </c>
      <c r="AG496">
        <v>1.30133505436167</v>
      </c>
    </row>
    <row r="497" spans="24:33">
      <c r="X497">
        <v>247.005</v>
      </c>
      <c r="Y497">
        <v>1.24677715357471</v>
      </c>
      <c r="Z497">
        <v>247.005</v>
      </c>
      <c r="AA497">
        <v>1.29635124340109</v>
      </c>
      <c r="AB497">
        <v>247.005</v>
      </c>
      <c r="AC497">
        <v>1.29887276438888</v>
      </c>
      <c r="AD497">
        <v>247.005</v>
      </c>
      <c r="AE497">
        <v>1.25078997902832</v>
      </c>
      <c r="AF497">
        <v>247.005</v>
      </c>
      <c r="AG497">
        <v>1.30053443851398</v>
      </c>
    </row>
    <row r="498" spans="24:33">
      <c r="X498">
        <v>247.504</v>
      </c>
      <c r="Y498">
        <v>1.24047860349266</v>
      </c>
      <c r="Z498">
        <v>247.504</v>
      </c>
      <c r="AA498">
        <v>1.29111698018409</v>
      </c>
      <c r="AB498">
        <v>247.504</v>
      </c>
      <c r="AC498">
        <v>1.29900516386336</v>
      </c>
      <c r="AD498">
        <v>247.504</v>
      </c>
      <c r="AE498">
        <v>1.24392888461793</v>
      </c>
      <c r="AF498">
        <v>247.504</v>
      </c>
      <c r="AG498">
        <v>1.29118499364454</v>
      </c>
    </row>
    <row r="499" spans="24:33">
      <c r="X499">
        <v>248.003</v>
      </c>
      <c r="Y499">
        <v>1.23460104046383</v>
      </c>
      <c r="Z499">
        <v>248.003</v>
      </c>
      <c r="AA499">
        <v>1.29318249250318</v>
      </c>
      <c r="AB499">
        <v>248.003</v>
      </c>
      <c r="AC499">
        <v>1.28865073886553</v>
      </c>
      <c r="AD499">
        <v>248.003</v>
      </c>
      <c r="AE499">
        <v>1.25344678156463</v>
      </c>
      <c r="AF499">
        <v>248.003</v>
      </c>
      <c r="AG499">
        <v>1.28800528372519</v>
      </c>
    </row>
    <row r="500" spans="24:33">
      <c r="X500">
        <v>248.502</v>
      </c>
      <c r="Y500">
        <v>1.23833505387638</v>
      </c>
      <c r="Z500">
        <v>248.502</v>
      </c>
      <c r="AA500">
        <v>1.28420049116904</v>
      </c>
      <c r="AB500">
        <v>248.502</v>
      </c>
      <c r="AC500">
        <v>1.29757707628608</v>
      </c>
      <c r="AD500">
        <v>248.502</v>
      </c>
      <c r="AE500">
        <v>1.24681152992779</v>
      </c>
      <c r="AF500">
        <v>248.502</v>
      </c>
      <c r="AG500">
        <v>1.28901850493677</v>
      </c>
    </row>
    <row r="501" spans="24:33">
      <c r="X501">
        <v>249.001</v>
      </c>
      <c r="Y501">
        <v>1.2305002965664</v>
      </c>
      <c r="Z501">
        <v>249.001</v>
      </c>
      <c r="AA501">
        <v>1.28288026548852</v>
      </c>
      <c r="AB501">
        <v>249.001</v>
      </c>
      <c r="AC501">
        <v>1.30811720575675</v>
      </c>
      <c r="AD501">
        <v>249.001</v>
      </c>
      <c r="AE501">
        <v>1.24073349819946</v>
      </c>
      <c r="AF501">
        <v>249.001</v>
      </c>
      <c r="AG501">
        <v>1.28918195787778</v>
      </c>
    </row>
    <row r="502" spans="24:33">
      <c r="X502">
        <v>249.5</v>
      </c>
      <c r="Y502">
        <v>1.22878364791367</v>
      </c>
      <c r="Z502">
        <v>249.5</v>
      </c>
      <c r="AA502">
        <v>1.27923920662688</v>
      </c>
      <c r="AB502">
        <v>249.5</v>
      </c>
      <c r="AC502">
        <v>1.29254237765686</v>
      </c>
      <c r="AD502">
        <v>249.5</v>
      </c>
      <c r="AE502">
        <v>1.24404575431478</v>
      </c>
      <c r="AF502">
        <v>249.5</v>
      </c>
      <c r="AG502">
        <v>1.28998188254277</v>
      </c>
    </row>
    <row r="503" spans="24:33">
      <c r="X503">
        <v>249.999</v>
      </c>
      <c r="Y503">
        <v>1.22892228572633</v>
      </c>
      <c r="Z503">
        <v>249.999</v>
      </c>
      <c r="AA503">
        <v>1.28943206740188</v>
      </c>
      <c r="AB503">
        <v>249.999</v>
      </c>
      <c r="AC503">
        <v>1.29243377640204</v>
      </c>
      <c r="AD503">
        <v>249.999</v>
      </c>
      <c r="AE503">
        <v>1.2489757678633</v>
      </c>
      <c r="AF503">
        <v>249.999</v>
      </c>
      <c r="AG503">
        <v>1.29083779524917</v>
      </c>
    </row>
    <row r="504" spans="24:33">
      <c r="X504">
        <v>250.498</v>
      </c>
      <c r="Y504">
        <v>1.23933079261245</v>
      </c>
      <c r="Z504">
        <v>250.498</v>
      </c>
      <c r="AA504">
        <v>1.29003201486704</v>
      </c>
      <c r="AB504">
        <v>250.498</v>
      </c>
      <c r="AC504">
        <v>1.29983658645865</v>
      </c>
      <c r="AD504">
        <v>250.498</v>
      </c>
      <c r="AE504">
        <v>1.24008928546536</v>
      </c>
      <c r="AF504">
        <v>250.498</v>
      </c>
      <c r="AG504">
        <v>1.28973903270997</v>
      </c>
    </row>
    <row r="505" spans="24:33">
      <c r="X505">
        <v>250.997</v>
      </c>
      <c r="Y505">
        <v>1.24368792331259</v>
      </c>
      <c r="Z505">
        <v>250.997</v>
      </c>
      <c r="AA505">
        <v>1.29489962019675</v>
      </c>
      <c r="AB505">
        <v>250.997</v>
      </c>
      <c r="AC505">
        <v>1.29794406115989</v>
      </c>
      <c r="AD505">
        <v>250.997</v>
      </c>
      <c r="AE505">
        <v>1.24140699343525</v>
      </c>
      <c r="AF505">
        <v>250.997</v>
      </c>
      <c r="AG505">
        <v>1.29992387314951</v>
      </c>
    </row>
    <row r="506" spans="24:33">
      <c r="X506">
        <v>251.496</v>
      </c>
      <c r="Y506">
        <v>1.23970521821077</v>
      </c>
      <c r="Z506">
        <v>251.496</v>
      </c>
      <c r="AA506">
        <v>1.29633130777904</v>
      </c>
      <c r="AB506">
        <v>251.496</v>
      </c>
      <c r="AC506">
        <v>1.30630333501321</v>
      </c>
      <c r="AD506">
        <v>251.496</v>
      </c>
      <c r="AE506">
        <v>1.24344049926702</v>
      </c>
      <c r="AF506">
        <v>251.496</v>
      </c>
      <c r="AG506">
        <v>1.29167604979745</v>
      </c>
    </row>
    <row r="507" spans="24:33">
      <c r="X507">
        <v>251.995</v>
      </c>
      <c r="Y507">
        <v>1.23638659421654</v>
      </c>
      <c r="Z507">
        <v>251.995</v>
      </c>
      <c r="AA507">
        <v>1.29132205359496</v>
      </c>
      <c r="AB507">
        <v>251.995</v>
      </c>
      <c r="AC507">
        <v>1.30586627131841</v>
      </c>
      <c r="AD507">
        <v>251.995</v>
      </c>
      <c r="AE507">
        <v>1.23986976573051</v>
      </c>
      <c r="AF507">
        <v>251.995</v>
      </c>
      <c r="AG507">
        <v>1.29182412967457</v>
      </c>
    </row>
    <row r="508" spans="24:33">
      <c r="X508">
        <v>252.494</v>
      </c>
      <c r="Y508">
        <v>1.23158356476204</v>
      </c>
      <c r="Z508">
        <v>252.494</v>
      </c>
      <c r="AA508">
        <v>1.29676050027561</v>
      </c>
      <c r="AB508">
        <v>252.494</v>
      </c>
      <c r="AC508">
        <v>1.2901201981721</v>
      </c>
      <c r="AD508">
        <v>252.494</v>
      </c>
      <c r="AE508">
        <v>1.24640332297312</v>
      </c>
      <c r="AF508">
        <v>252.494</v>
      </c>
      <c r="AG508">
        <v>1.29256415178464</v>
      </c>
    </row>
    <row r="509" spans="24:33">
      <c r="X509">
        <v>252.993</v>
      </c>
      <c r="Y509">
        <v>1.24082800660734</v>
      </c>
      <c r="Z509">
        <v>252.993</v>
      </c>
      <c r="AA509">
        <v>1.29672196626377</v>
      </c>
      <c r="AB509">
        <v>252.993</v>
      </c>
      <c r="AC509">
        <v>1.29488757049523</v>
      </c>
      <c r="AD509">
        <v>252.993</v>
      </c>
      <c r="AE509">
        <v>1.24865821174695</v>
      </c>
      <c r="AF509">
        <v>252.993</v>
      </c>
      <c r="AG509">
        <v>1.29545258982947</v>
      </c>
    </row>
    <row r="510" spans="24:33">
      <c r="X510">
        <v>253.492</v>
      </c>
      <c r="Y510">
        <v>1.22882423495762</v>
      </c>
      <c r="Z510">
        <v>253.492</v>
      </c>
      <c r="AA510">
        <v>1.29019884956889</v>
      </c>
      <c r="AB510">
        <v>253.492</v>
      </c>
      <c r="AC510">
        <v>1.29366271710303</v>
      </c>
      <c r="AD510">
        <v>253.492</v>
      </c>
      <c r="AE510">
        <v>1.24946725531237</v>
      </c>
      <c r="AF510">
        <v>253.492</v>
      </c>
      <c r="AG510">
        <v>1.29789911448052</v>
      </c>
    </row>
    <row r="511" spans="24:33">
      <c r="X511">
        <v>253.991</v>
      </c>
      <c r="Y511">
        <v>1.23430791338215</v>
      </c>
      <c r="Z511">
        <v>253.991</v>
      </c>
      <c r="AA511">
        <v>1.29564506635811</v>
      </c>
      <c r="AB511">
        <v>253.991</v>
      </c>
      <c r="AC511">
        <v>1.28577748569478</v>
      </c>
      <c r="AD511">
        <v>253.991</v>
      </c>
      <c r="AE511">
        <v>1.24351935684767</v>
      </c>
      <c r="AF511">
        <v>253.991</v>
      </c>
      <c r="AG511">
        <v>1.28812053623456</v>
      </c>
    </row>
    <row r="512" spans="24:33">
      <c r="X512">
        <v>254.49</v>
      </c>
      <c r="Y512">
        <v>1.23306335174513</v>
      </c>
      <c r="Z512">
        <v>254.49</v>
      </c>
      <c r="AA512">
        <v>1.30348365645981</v>
      </c>
      <c r="AB512">
        <v>254.49</v>
      </c>
      <c r="AC512">
        <v>1.29481585123101</v>
      </c>
      <c r="AD512">
        <v>254.49</v>
      </c>
      <c r="AE512">
        <v>1.25082942439793</v>
      </c>
      <c r="AF512">
        <v>254.49</v>
      </c>
      <c r="AG512">
        <v>1.29420319652609</v>
      </c>
    </row>
    <row r="513" spans="24:33">
      <c r="X513">
        <v>254.989</v>
      </c>
      <c r="Y513">
        <v>1.23541675676547</v>
      </c>
      <c r="Z513">
        <v>254.989</v>
      </c>
      <c r="AA513">
        <v>1.29556711669055</v>
      </c>
      <c r="AB513">
        <v>254.989</v>
      </c>
      <c r="AC513">
        <v>1.29088140732937</v>
      </c>
      <c r="AD513">
        <v>254.989</v>
      </c>
      <c r="AE513">
        <v>1.24289629224099</v>
      </c>
      <c r="AF513">
        <v>254.989</v>
      </c>
      <c r="AG513">
        <v>1.29921335741314</v>
      </c>
    </row>
    <row r="514" spans="24:33">
      <c r="X514">
        <v>255.488</v>
      </c>
      <c r="Y514">
        <v>1.24321878526138</v>
      </c>
      <c r="Z514">
        <v>255.488</v>
      </c>
      <c r="AA514">
        <v>1.28330356981986</v>
      </c>
      <c r="AB514">
        <v>255.488</v>
      </c>
      <c r="AC514">
        <v>1.29705351453193</v>
      </c>
      <c r="AD514">
        <v>255.488</v>
      </c>
      <c r="AE514">
        <v>1.25061665864405</v>
      </c>
      <c r="AF514">
        <v>255.488</v>
      </c>
      <c r="AG514">
        <v>1.30054518467367</v>
      </c>
    </row>
    <row r="515" spans="24:33">
      <c r="X515">
        <v>255.987</v>
      </c>
      <c r="Y515">
        <v>1.23309437734409</v>
      </c>
      <c r="Z515">
        <v>255.987</v>
      </c>
      <c r="AA515">
        <v>1.28879937387474</v>
      </c>
      <c r="AB515">
        <v>255.987</v>
      </c>
      <c r="AC515">
        <v>1.29306559678024</v>
      </c>
      <c r="AD515">
        <v>255.987</v>
      </c>
      <c r="AE515">
        <v>1.24082421805538</v>
      </c>
      <c r="AF515">
        <v>255.987</v>
      </c>
      <c r="AG515">
        <v>1.28658258715911</v>
      </c>
    </row>
    <row r="516" spans="24:33">
      <c r="X516">
        <v>256.486</v>
      </c>
      <c r="Y516">
        <v>1.22773147370217</v>
      </c>
      <c r="Z516">
        <v>256.486</v>
      </c>
      <c r="AA516">
        <v>1.29121175351691</v>
      </c>
      <c r="AB516">
        <v>256.486</v>
      </c>
      <c r="AC516">
        <v>1.28612218022728</v>
      </c>
      <c r="AD516">
        <v>256.486</v>
      </c>
      <c r="AE516">
        <v>1.24842111396094</v>
      </c>
      <c r="AF516">
        <v>256.486</v>
      </c>
      <c r="AG516">
        <v>1.28888268451229</v>
      </c>
    </row>
    <row r="517" spans="24:33">
      <c r="X517">
        <v>256.985</v>
      </c>
      <c r="Y517">
        <v>1.24768689639736</v>
      </c>
      <c r="Z517">
        <v>256.985</v>
      </c>
      <c r="AA517">
        <v>1.29496784081016</v>
      </c>
      <c r="AB517">
        <v>256.985</v>
      </c>
      <c r="AC517">
        <v>1.29721676358792</v>
      </c>
      <c r="AD517">
        <v>256.985</v>
      </c>
      <c r="AE517">
        <v>1.24639493404146</v>
      </c>
      <c r="AF517">
        <v>256.985</v>
      </c>
      <c r="AG517">
        <v>1.28003938303918</v>
      </c>
    </row>
    <row r="518" spans="24:33">
      <c r="X518">
        <v>257.484</v>
      </c>
      <c r="Y518">
        <v>1.25307865760974</v>
      </c>
      <c r="Z518">
        <v>257.484</v>
      </c>
      <c r="AA518">
        <v>1.29291749675049</v>
      </c>
      <c r="AB518">
        <v>257.484</v>
      </c>
      <c r="AC518">
        <v>1.29050907443654</v>
      </c>
      <c r="AD518">
        <v>257.484</v>
      </c>
      <c r="AE518">
        <v>1.2496651296837</v>
      </c>
      <c r="AF518">
        <v>257.484</v>
      </c>
      <c r="AG518">
        <v>1.28637474127505</v>
      </c>
    </row>
    <row r="519" spans="24:33">
      <c r="X519">
        <v>257.983</v>
      </c>
      <c r="Y519">
        <v>1.24885999794663</v>
      </c>
      <c r="Z519">
        <v>257.983</v>
      </c>
      <c r="AA519">
        <v>1.28627570120962</v>
      </c>
      <c r="AB519">
        <v>257.983</v>
      </c>
      <c r="AC519">
        <v>1.29110762906575</v>
      </c>
      <c r="AD519">
        <v>257.983</v>
      </c>
      <c r="AE519">
        <v>1.26027849619353</v>
      </c>
      <c r="AF519">
        <v>257.983</v>
      </c>
      <c r="AG519">
        <v>1.27742755235178</v>
      </c>
    </row>
    <row r="520" spans="24:33">
      <c r="X520">
        <v>258.482</v>
      </c>
      <c r="Y520">
        <v>1.24022245095346</v>
      </c>
      <c r="Z520">
        <v>258.482</v>
      </c>
      <c r="AA520">
        <v>1.28841122977858</v>
      </c>
      <c r="AB520">
        <v>258.482</v>
      </c>
      <c r="AC520">
        <v>1.27874788461833</v>
      </c>
      <c r="AD520">
        <v>258.482</v>
      </c>
      <c r="AE520">
        <v>1.25762921777255</v>
      </c>
      <c r="AF520">
        <v>258.482</v>
      </c>
      <c r="AG520">
        <v>1.27509494764896</v>
      </c>
    </row>
    <row r="521" spans="24:33">
      <c r="X521">
        <v>258.981</v>
      </c>
      <c r="Y521">
        <v>1.2406749479778</v>
      </c>
      <c r="Z521">
        <v>258.981</v>
      </c>
      <c r="AA521">
        <v>1.28949332412975</v>
      </c>
      <c r="AB521">
        <v>258.981</v>
      </c>
      <c r="AC521">
        <v>1.28800731809846</v>
      </c>
      <c r="AD521">
        <v>258.981</v>
      </c>
      <c r="AE521">
        <v>1.24545642612363</v>
      </c>
      <c r="AF521">
        <v>258.981</v>
      </c>
      <c r="AG521">
        <v>1.27935687918486</v>
      </c>
    </row>
    <row r="522" spans="24:33">
      <c r="X522">
        <v>259.48</v>
      </c>
      <c r="Y522">
        <v>1.24479851019793</v>
      </c>
      <c r="Z522">
        <v>259.48</v>
      </c>
      <c r="AA522">
        <v>1.29184887854753</v>
      </c>
      <c r="AB522">
        <v>259.48</v>
      </c>
      <c r="AC522">
        <v>1.28348151506596</v>
      </c>
      <c r="AD522">
        <v>259.48</v>
      </c>
      <c r="AE522">
        <v>1.24727899443075</v>
      </c>
      <c r="AF522">
        <v>259.48</v>
      </c>
      <c r="AG522">
        <v>1.27966139835485</v>
      </c>
    </row>
    <row r="523" spans="24:33">
      <c r="X523">
        <v>259.979</v>
      </c>
      <c r="Y523">
        <v>1.24704984491187</v>
      </c>
      <c r="Z523">
        <v>259.979</v>
      </c>
      <c r="AA523">
        <v>1.2940969276337</v>
      </c>
      <c r="AB523">
        <v>259.979</v>
      </c>
      <c r="AC523">
        <v>1.28410314537608</v>
      </c>
      <c r="AD523">
        <v>259.979</v>
      </c>
      <c r="AE523">
        <v>1.25550962424882</v>
      </c>
      <c r="AF523">
        <v>259.979</v>
      </c>
      <c r="AG523">
        <v>1.2836157862088</v>
      </c>
    </row>
    <row r="524" spans="24:33">
      <c r="X524">
        <v>260.478</v>
      </c>
      <c r="Y524">
        <v>1.2382942807877</v>
      </c>
      <c r="Z524">
        <v>260.478</v>
      </c>
      <c r="AA524">
        <v>1.30042724301736</v>
      </c>
      <c r="AB524">
        <v>260.478</v>
      </c>
      <c r="AC524">
        <v>1.29579991029389</v>
      </c>
      <c r="AD524">
        <v>260.478</v>
      </c>
      <c r="AE524">
        <v>1.25242483389287</v>
      </c>
      <c r="AF524">
        <v>260.478</v>
      </c>
      <c r="AG524">
        <v>1.28750758059546</v>
      </c>
    </row>
    <row r="525" spans="24:33">
      <c r="X525">
        <v>260.977</v>
      </c>
      <c r="Y525">
        <v>1.24479578801279</v>
      </c>
      <c r="Z525">
        <v>260.977</v>
      </c>
      <c r="AA525">
        <v>1.29881619049065</v>
      </c>
      <c r="AB525">
        <v>260.977</v>
      </c>
      <c r="AC525">
        <v>1.29063233921296</v>
      </c>
      <c r="AD525">
        <v>260.977</v>
      </c>
      <c r="AE525">
        <v>1.24592859705433</v>
      </c>
      <c r="AF525">
        <v>260.977</v>
      </c>
      <c r="AG525">
        <v>1.29261049987226</v>
      </c>
    </row>
    <row r="526" spans="24:33">
      <c r="X526">
        <v>261.476</v>
      </c>
      <c r="Y526">
        <v>1.24782670242355</v>
      </c>
      <c r="Z526">
        <v>261.476</v>
      </c>
      <c r="AA526">
        <v>1.29425288427136</v>
      </c>
      <c r="AB526">
        <v>261.476</v>
      </c>
      <c r="AC526">
        <v>1.2903185487902</v>
      </c>
      <c r="AD526">
        <v>261.476</v>
      </c>
      <c r="AE526">
        <v>1.24904807930067</v>
      </c>
      <c r="AF526">
        <v>261.476</v>
      </c>
      <c r="AG526">
        <v>1.28970477976121</v>
      </c>
    </row>
    <row r="527" spans="24:33">
      <c r="X527">
        <v>261.975</v>
      </c>
      <c r="Y527">
        <v>1.25016334540524</v>
      </c>
      <c r="Z527">
        <v>261.975</v>
      </c>
      <c r="AA527">
        <v>1.29200358343798</v>
      </c>
      <c r="AB527">
        <v>261.975</v>
      </c>
      <c r="AC527">
        <v>1.29106868335661</v>
      </c>
      <c r="AD527">
        <v>261.975</v>
      </c>
      <c r="AE527">
        <v>1.24771594269912</v>
      </c>
      <c r="AF527">
        <v>261.975</v>
      </c>
      <c r="AG527">
        <v>1.28456168530906</v>
      </c>
    </row>
    <row r="528" spans="24:33">
      <c r="X528">
        <v>262.474</v>
      </c>
      <c r="Y528">
        <v>1.25208944713457</v>
      </c>
      <c r="Z528">
        <v>262.474</v>
      </c>
      <c r="AA528">
        <v>1.29075096862397</v>
      </c>
      <c r="AB528">
        <v>262.474</v>
      </c>
      <c r="AC528">
        <v>1.29916678768011</v>
      </c>
      <c r="AD528">
        <v>262.474</v>
      </c>
      <c r="AE528">
        <v>1.25002194370191</v>
      </c>
      <c r="AF528">
        <v>262.474</v>
      </c>
      <c r="AG528">
        <v>1.29161744379085</v>
      </c>
    </row>
    <row r="529" spans="24:33">
      <c r="X529">
        <v>262.973</v>
      </c>
      <c r="Y529">
        <v>1.25226526287873</v>
      </c>
      <c r="Z529">
        <v>262.973</v>
      </c>
      <c r="AA529">
        <v>1.29277649030201</v>
      </c>
      <c r="AB529">
        <v>262.973</v>
      </c>
      <c r="AC529">
        <v>1.29960295522433</v>
      </c>
      <c r="AD529">
        <v>262.973</v>
      </c>
      <c r="AE529">
        <v>1.24199169898653</v>
      </c>
      <c r="AF529">
        <v>262.973</v>
      </c>
      <c r="AG529">
        <v>1.28049790497956</v>
      </c>
    </row>
    <row r="530" spans="24:33">
      <c r="X530">
        <v>263.472</v>
      </c>
      <c r="Y530">
        <v>1.25166059473323</v>
      </c>
      <c r="Z530">
        <v>263.472</v>
      </c>
      <c r="AA530">
        <v>1.28812084687363</v>
      </c>
      <c r="AB530">
        <v>263.472</v>
      </c>
      <c r="AC530">
        <v>1.30041085690394</v>
      </c>
      <c r="AD530">
        <v>263.472</v>
      </c>
      <c r="AE530">
        <v>1.24177721040903</v>
      </c>
      <c r="AF530">
        <v>263.472</v>
      </c>
      <c r="AG530">
        <v>1.28979106790797</v>
      </c>
    </row>
    <row r="531" spans="24:33">
      <c r="X531">
        <v>263.971</v>
      </c>
      <c r="Y531">
        <v>1.24611175175014</v>
      </c>
      <c r="Z531">
        <v>263.971</v>
      </c>
      <c r="AA531">
        <v>1.29139912739509</v>
      </c>
      <c r="AB531">
        <v>263.971</v>
      </c>
      <c r="AC531">
        <v>1.29430276863231</v>
      </c>
      <c r="AD531">
        <v>263.971</v>
      </c>
      <c r="AE531">
        <v>1.2459926727779</v>
      </c>
      <c r="AF531">
        <v>263.971</v>
      </c>
      <c r="AG531">
        <v>1.28302806475085</v>
      </c>
    </row>
    <row r="532" spans="24:33">
      <c r="X532">
        <v>264.47</v>
      </c>
      <c r="Y532">
        <v>1.25118257543779</v>
      </c>
      <c r="Z532">
        <v>264.47</v>
      </c>
      <c r="AA532">
        <v>1.2974443058798</v>
      </c>
      <c r="AB532">
        <v>264.47</v>
      </c>
      <c r="AC532">
        <v>1.29596071857787</v>
      </c>
      <c r="AD532">
        <v>264.47</v>
      </c>
      <c r="AE532">
        <v>1.2552772685526</v>
      </c>
      <c r="AF532">
        <v>264.47</v>
      </c>
      <c r="AG532">
        <v>1.27950816774053</v>
      </c>
    </row>
    <row r="533" spans="24:33">
      <c r="X533">
        <v>264.969</v>
      </c>
      <c r="Y533">
        <v>1.24860209655749</v>
      </c>
      <c r="Z533">
        <v>264.969</v>
      </c>
      <c r="AA533">
        <v>1.29780952988826</v>
      </c>
      <c r="AB533">
        <v>264.969</v>
      </c>
      <c r="AC533">
        <v>1.29718899561942</v>
      </c>
      <c r="AD533">
        <v>264.969</v>
      </c>
      <c r="AE533">
        <v>1.25711496235879</v>
      </c>
      <c r="AF533">
        <v>264.969</v>
      </c>
      <c r="AG533">
        <v>1.29228500018766</v>
      </c>
    </row>
    <row r="534" spans="24:33">
      <c r="X534">
        <v>265.468</v>
      </c>
      <c r="Y534">
        <v>1.24621177201295</v>
      </c>
      <c r="Z534">
        <v>265.468</v>
      </c>
      <c r="AA534">
        <v>1.2900166772645</v>
      </c>
      <c r="AB534">
        <v>265.468</v>
      </c>
      <c r="AC534">
        <v>1.29223673091042</v>
      </c>
      <c r="AD534">
        <v>265.468</v>
      </c>
      <c r="AE534">
        <v>1.25150610870098</v>
      </c>
      <c r="AF534">
        <v>265.468</v>
      </c>
      <c r="AG534">
        <v>1.28770317559797</v>
      </c>
    </row>
    <row r="535" spans="24:33">
      <c r="X535">
        <v>265.967</v>
      </c>
      <c r="Y535">
        <v>1.24845282620765</v>
      </c>
      <c r="Z535">
        <v>265.967</v>
      </c>
      <c r="AA535">
        <v>1.28681563190664</v>
      </c>
      <c r="AB535">
        <v>265.967</v>
      </c>
      <c r="AC535">
        <v>1.29719674388111</v>
      </c>
      <c r="AD535">
        <v>265.967</v>
      </c>
      <c r="AE535">
        <v>1.246984600272</v>
      </c>
      <c r="AF535">
        <v>265.967</v>
      </c>
      <c r="AG535">
        <v>1.29031245906062</v>
      </c>
    </row>
    <row r="536" spans="24:33">
      <c r="X536">
        <v>266.466</v>
      </c>
      <c r="Y536">
        <v>1.24677316023903</v>
      </c>
      <c r="Z536">
        <v>266.466</v>
      </c>
      <c r="AA536">
        <v>1.28493997502511</v>
      </c>
      <c r="AB536">
        <v>266.466</v>
      </c>
      <c r="AC536">
        <v>1.29484945522264</v>
      </c>
      <c r="AD536">
        <v>266.466</v>
      </c>
      <c r="AE536">
        <v>1.25012366227424</v>
      </c>
      <c r="AF536">
        <v>266.466</v>
      </c>
      <c r="AG536">
        <v>1.28939201912458</v>
      </c>
    </row>
    <row r="537" spans="24:33">
      <c r="X537">
        <v>266.965</v>
      </c>
      <c r="Y537">
        <v>1.25245754934632</v>
      </c>
      <c r="Z537">
        <v>266.965</v>
      </c>
      <c r="AA537">
        <v>1.28934223324926</v>
      </c>
      <c r="AB537">
        <v>266.965</v>
      </c>
      <c r="AC537">
        <v>1.29052547446615</v>
      </c>
      <c r="AD537">
        <v>266.965</v>
      </c>
      <c r="AE537">
        <v>1.24392354701214</v>
      </c>
      <c r="AF537">
        <v>266.965</v>
      </c>
      <c r="AG537">
        <v>1.28771772717782</v>
      </c>
    </row>
    <row r="538" spans="24:33">
      <c r="X538">
        <v>267.464</v>
      </c>
      <c r="Y538">
        <v>1.25479364335222</v>
      </c>
      <c r="Z538">
        <v>267.464</v>
      </c>
      <c r="AA538">
        <v>1.28719560694891</v>
      </c>
      <c r="AB538">
        <v>267.464</v>
      </c>
      <c r="AC538">
        <v>1.29493861845914</v>
      </c>
      <c r="AD538">
        <v>267.464</v>
      </c>
      <c r="AE538">
        <v>1.25091415989813</v>
      </c>
      <c r="AF538">
        <v>267.464</v>
      </c>
      <c r="AG538">
        <v>1.27917906518229</v>
      </c>
    </row>
    <row r="539" spans="24:33">
      <c r="X539">
        <v>267.963</v>
      </c>
      <c r="Y539">
        <v>1.24385202067426</v>
      </c>
      <c r="Z539">
        <v>267.963</v>
      </c>
      <c r="AA539">
        <v>1.2929317786368</v>
      </c>
      <c r="AB539">
        <v>267.963</v>
      </c>
      <c r="AC539">
        <v>1.30045823792704</v>
      </c>
      <c r="AD539">
        <v>267.963</v>
      </c>
      <c r="AE539">
        <v>1.25558274563996</v>
      </c>
      <c r="AF539">
        <v>267.963</v>
      </c>
      <c r="AG539">
        <v>1.2838063859843</v>
      </c>
    </row>
    <row r="540" spans="24:33">
      <c r="X540">
        <v>268.462</v>
      </c>
      <c r="Y540">
        <v>1.25417845643005</v>
      </c>
      <c r="Z540">
        <v>268.462</v>
      </c>
      <c r="AA540">
        <v>1.29963282464391</v>
      </c>
      <c r="AB540">
        <v>268.462</v>
      </c>
      <c r="AC540">
        <v>1.29449467829293</v>
      </c>
      <c r="AD540">
        <v>268.462</v>
      </c>
      <c r="AE540">
        <v>1.25691567854284</v>
      </c>
      <c r="AF540">
        <v>268.462</v>
      </c>
      <c r="AG540">
        <v>1.29097791700937</v>
      </c>
    </row>
    <row r="541" spans="24:33">
      <c r="X541">
        <v>268.961</v>
      </c>
      <c r="Y541">
        <v>1.24214407375312</v>
      </c>
      <c r="Z541">
        <v>268.961</v>
      </c>
      <c r="AA541">
        <v>1.29456037511142</v>
      </c>
      <c r="AB541">
        <v>268.961</v>
      </c>
      <c r="AC541">
        <v>1.2897384772659</v>
      </c>
      <c r="AD541">
        <v>268.961</v>
      </c>
      <c r="AE541">
        <v>1.24187641475202</v>
      </c>
      <c r="AF541">
        <v>268.961</v>
      </c>
      <c r="AG541">
        <v>1.30602304112161</v>
      </c>
    </row>
    <row r="542" spans="24:33">
      <c r="X542">
        <v>269.46</v>
      </c>
      <c r="Y542">
        <v>1.24745552613455</v>
      </c>
      <c r="Z542">
        <v>269.46</v>
      </c>
      <c r="AA542">
        <v>1.29708315780461</v>
      </c>
      <c r="AB542">
        <v>269.46</v>
      </c>
      <c r="AC542">
        <v>1.30589292677829</v>
      </c>
      <c r="AD542">
        <v>269.46</v>
      </c>
      <c r="AE542">
        <v>1.24659596134549</v>
      </c>
      <c r="AF542">
        <v>269.46</v>
      </c>
      <c r="AG542">
        <v>1.30019208935931</v>
      </c>
    </row>
    <row r="543" spans="24:33">
      <c r="X543">
        <v>269.959</v>
      </c>
      <c r="Y543">
        <v>1.24841758697519</v>
      </c>
      <c r="Z543">
        <v>269.959</v>
      </c>
      <c r="AA543">
        <v>1.29953326281465</v>
      </c>
      <c r="AB543">
        <v>269.959</v>
      </c>
      <c r="AC543">
        <v>1.30794693369238</v>
      </c>
      <c r="AD543">
        <v>269.959</v>
      </c>
      <c r="AE543">
        <v>1.25503027323048</v>
      </c>
      <c r="AF543">
        <v>269.959</v>
      </c>
      <c r="AG543">
        <v>1.30065425115869</v>
      </c>
    </row>
    <row r="544" spans="24:33">
      <c r="X544">
        <v>270.458</v>
      </c>
      <c r="Y544">
        <v>1.25274127775431</v>
      </c>
      <c r="Z544">
        <v>270.458</v>
      </c>
      <c r="AA544">
        <v>1.29224386968231</v>
      </c>
      <c r="AB544">
        <v>270.458</v>
      </c>
      <c r="AC544">
        <v>1.30737829043034</v>
      </c>
      <c r="AD544">
        <v>270.458</v>
      </c>
      <c r="AE544">
        <v>1.24763908023591</v>
      </c>
      <c r="AF544">
        <v>270.458</v>
      </c>
      <c r="AG544">
        <v>1.29877301598225</v>
      </c>
    </row>
    <row r="545" spans="24:33">
      <c r="X545">
        <v>270.957</v>
      </c>
      <c r="Y545">
        <v>1.24717278363836</v>
      </c>
      <c r="Z545">
        <v>270.957</v>
      </c>
      <c r="AA545">
        <v>1.29322773462918</v>
      </c>
      <c r="AB545">
        <v>270.957</v>
      </c>
      <c r="AC545">
        <v>1.30611948814951</v>
      </c>
      <c r="AD545">
        <v>270.957</v>
      </c>
      <c r="AE545">
        <v>1.25313433335484</v>
      </c>
      <c r="AF545">
        <v>270.957</v>
      </c>
      <c r="AG545">
        <v>1.29888940734434</v>
      </c>
    </row>
    <row r="546" spans="24:33">
      <c r="X546">
        <v>271.456</v>
      </c>
      <c r="Y546">
        <v>1.24308496484437</v>
      </c>
      <c r="Z546">
        <v>271.456</v>
      </c>
      <c r="AA546">
        <v>1.29421204436753</v>
      </c>
      <c r="AB546">
        <v>271.456</v>
      </c>
      <c r="AC546">
        <v>1.30880177582024</v>
      </c>
      <c r="AD546">
        <v>271.456</v>
      </c>
      <c r="AE546">
        <v>1.25824738565885</v>
      </c>
      <c r="AF546">
        <v>271.456</v>
      </c>
      <c r="AG546">
        <v>1.29953298038759</v>
      </c>
    </row>
    <row r="547" spans="24:33">
      <c r="X547">
        <v>271.955</v>
      </c>
      <c r="Y547">
        <v>1.23814326048017</v>
      </c>
      <c r="Z547">
        <v>271.955</v>
      </c>
      <c r="AA547">
        <v>1.2959194231959</v>
      </c>
      <c r="AB547">
        <v>271.955</v>
      </c>
      <c r="AC547">
        <v>1.30432986811959</v>
      </c>
      <c r="AD547">
        <v>271.955</v>
      </c>
      <c r="AE547">
        <v>1.25680316828187</v>
      </c>
      <c r="AF547">
        <v>271.955</v>
      </c>
      <c r="AG547">
        <v>1.29697881598256</v>
      </c>
    </row>
    <row r="548" spans="24:33">
      <c r="X548">
        <v>272.454</v>
      </c>
      <c r="Y548">
        <v>1.24016009068687</v>
      </c>
      <c r="Z548">
        <v>272.454</v>
      </c>
      <c r="AA548">
        <v>1.29384848505521</v>
      </c>
      <c r="AB548">
        <v>272.454</v>
      </c>
      <c r="AC548">
        <v>1.30707152192115</v>
      </c>
      <c r="AD548">
        <v>272.454</v>
      </c>
      <c r="AE548">
        <v>1.25974663285227</v>
      </c>
      <c r="AF548">
        <v>272.454</v>
      </c>
      <c r="AG548">
        <v>1.29929354385292</v>
      </c>
    </row>
    <row r="549" spans="24:33">
      <c r="X549">
        <v>272.953</v>
      </c>
      <c r="Y549">
        <v>1.24835743987918</v>
      </c>
      <c r="Z549">
        <v>272.953</v>
      </c>
      <c r="AA549">
        <v>1.29699889690924</v>
      </c>
      <c r="AB549">
        <v>272.953</v>
      </c>
      <c r="AC549">
        <v>1.30505769449595</v>
      </c>
      <c r="AD549">
        <v>272.953</v>
      </c>
      <c r="AE549">
        <v>1.252231167824</v>
      </c>
      <c r="AF549">
        <v>272.953</v>
      </c>
      <c r="AG549">
        <v>1.30256332943915</v>
      </c>
    </row>
    <row r="550" spans="24:33">
      <c r="X550">
        <v>273.452</v>
      </c>
      <c r="Y550">
        <v>1.25935942144011</v>
      </c>
      <c r="Z550">
        <v>273.452</v>
      </c>
      <c r="AA550">
        <v>1.29684241833737</v>
      </c>
      <c r="AB550">
        <v>273.452</v>
      </c>
      <c r="AC550">
        <v>1.31137366708072</v>
      </c>
      <c r="AD550">
        <v>273.452</v>
      </c>
      <c r="AE550">
        <v>1.25540436091411</v>
      </c>
      <c r="AF550">
        <v>273.452</v>
      </c>
      <c r="AG550">
        <v>1.30501268667419</v>
      </c>
    </row>
    <row r="551" spans="24:33">
      <c r="X551">
        <v>273.951</v>
      </c>
      <c r="Y551">
        <v>1.25585547889731</v>
      </c>
      <c r="Z551">
        <v>273.951</v>
      </c>
      <c r="AA551">
        <v>1.29183146382539</v>
      </c>
      <c r="AB551">
        <v>273.951</v>
      </c>
      <c r="AC551">
        <v>1.30918757904628</v>
      </c>
      <c r="AD551">
        <v>273.951</v>
      </c>
      <c r="AE551">
        <v>1.25998717546311</v>
      </c>
      <c r="AF551">
        <v>273.951</v>
      </c>
      <c r="AG551">
        <v>1.31042442433092</v>
      </c>
    </row>
    <row r="552" spans="24:33">
      <c r="X552">
        <v>274.45</v>
      </c>
      <c r="Y552">
        <v>1.24627184315708</v>
      </c>
      <c r="Z552">
        <v>274.45</v>
      </c>
      <c r="AA552">
        <v>1.29302642933591</v>
      </c>
      <c r="AB552">
        <v>274.45</v>
      </c>
      <c r="AC552">
        <v>1.31088673211721</v>
      </c>
      <c r="AD552">
        <v>274.45</v>
      </c>
      <c r="AE552">
        <v>1.2576085608161</v>
      </c>
      <c r="AF552">
        <v>274.45</v>
      </c>
      <c r="AG552">
        <v>1.30315147408247</v>
      </c>
    </row>
    <row r="553" spans="24:33">
      <c r="X553">
        <v>274.949</v>
      </c>
      <c r="Y553">
        <v>1.23798768011078</v>
      </c>
      <c r="Z553">
        <v>274.949</v>
      </c>
      <c r="AA553">
        <v>1.28915721191006</v>
      </c>
      <c r="AB553">
        <v>274.949</v>
      </c>
      <c r="AC553">
        <v>1.30828706977476</v>
      </c>
      <c r="AD553">
        <v>274.949</v>
      </c>
      <c r="AE553">
        <v>1.25946946225968</v>
      </c>
      <c r="AF553">
        <v>274.949</v>
      </c>
      <c r="AG553">
        <v>1.29727950827061</v>
      </c>
    </row>
    <row r="554" spans="24:33">
      <c r="X554">
        <v>275.448</v>
      </c>
      <c r="Y554">
        <v>1.24351619802535</v>
      </c>
      <c r="Z554">
        <v>275.448</v>
      </c>
      <c r="AA554">
        <v>1.29169528778735</v>
      </c>
      <c r="AB554">
        <v>275.448</v>
      </c>
      <c r="AC554">
        <v>1.30634498781198</v>
      </c>
      <c r="AD554">
        <v>275.448</v>
      </c>
      <c r="AE554">
        <v>1.24628287361093</v>
      </c>
      <c r="AF554">
        <v>275.448</v>
      </c>
      <c r="AG554">
        <v>1.29770090398122</v>
      </c>
    </row>
    <row r="555" spans="24:33">
      <c r="X555">
        <v>275.947</v>
      </c>
      <c r="Y555">
        <v>1.2509511628854</v>
      </c>
      <c r="Z555">
        <v>275.947</v>
      </c>
      <c r="AA555">
        <v>1.29192981409258</v>
      </c>
      <c r="AB555">
        <v>275.947</v>
      </c>
      <c r="AC555">
        <v>1.31040628216957</v>
      </c>
      <c r="AD555">
        <v>275.947</v>
      </c>
      <c r="AE555">
        <v>1.25156948689515</v>
      </c>
      <c r="AF555">
        <v>275.947</v>
      </c>
      <c r="AG555">
        <v>1.30485865803744</v>
      </c>
    </row>
    <row r="556" spans="24:33">
      <c r="X556">
        <v>276.446</v>
      </c>
      <c r="Y556">
        <v>1.24156488083073</v>
      </c>
      <c r="Z556">
        <v>276.446</v>
      </c>
      <c r="AA556">
        <v>1.28538395085024</v>
      </c>
      <c r="AB556">
        <v>276.446</v>
      </c>
      <c r="AC556">
        <v>1.30084884655778</v>
      </c>
      <c r="AD556">
        <v>276.446</v>
      </c>
      <c r="AE556">
        <v>1.25585236220061</v>
      </c>
      <c r="AF556">
        <v>276.446</v>
      </c>
      <c r="AG556">
        <v>1.30033532167952</v>
      </c>
    </row>
    <row r="557" spans="24:33">
      <c r="X557">
        <v>276.945</v>
      </c>
      <c r="Y557">
        <v>1.2419216818185</v>
      </c>
      <c r="Z557">
        <v>276.945</v>
      </c>
      <c r="AA557">
        <v>1.29364584889064</v>
      </c>
      <c r="AB557">
        <v>276.945</v>
      </c>
      <c r="AC557">
        <v>1.31058462492921</v>
      </c>
      <c r="AD557">
        <v>276.945</v>
      </c>
      <c r="AE557">
        <v>1.25102730154699</v>
      </c>
      <c r="AF557">
        <v>276.945</v>
      </c>
      <c r="AG557">
        <v>1.29578748786838</v>
      </c>
    </row>
    <row r="558" spans="24:33">
      <c r="X558">
        <v>277.444</v>
      </c>
      <c r="Y558">
        <v>1.23874727519171</v>
      </c>
      <c r="Z558">
        <v>277.444</v>
      </c>
      <c r="AA558">
        <v>1.29950583504222</v>
      </c>
      <c r="AB558">
        <v>277.444</v>
      </c>
      <c r="AC558">
        <v>1.30409567250775</v>
      </c>
      <c r="AD558">
        <v>277.444</v>
      </c>
      <c r="AE558">
        <v>1.26016741319513</v>
      </c>
      <c r="AF558">
        <v>277.444</v>
      </c>
      <c r="AG558">
        <v>1.30347289288876</v>
      </c>
    </row>
    <row r="559" spans="24:33">
      <c r="X559">
        <v>277.943</v>
      </c>
      <c r="Y559">
        <v>1.23998245599054</v>
      </c>
      <c r="Z559">
        <v>277.943</v>
      </c>
      <c r="AA559">
        <v>1.3002403239935</v>
      </c>
      <c r="AB559">
        <v>277.943</v>
      </c>
      <c r="AC559">
        <v>1.30498705305692</v>
      </c>
      <c r="AD559">
        <v>277.943</v>
      </c>
      <c r="AE559">
        <v>1.25157912635916</v>
      </c>
      <c r="AF559">
        <v>277.943</v>
      </c>
      <c r="AG559">
        <v>1.30482901579366</v>
      </c>
    </row>
    <row r="560" spans="24:33">
      <c r="X560">
        <v>278.442</v>
      </c>
      <c r="Y560">
        <v>1.24741881822034</v>
      </c>
      <c r="Z560">
        <v>278.442</v>
      </c>
      <c r="AA560">
        <v>1.2982754277833</v>
      </c>
      <c r="AB560">
        <v>278.442</v>
      </c>
      <c r="AC560">
        <v>1.31509981149322</v>
      </c>
      <c r="AD560">
        <v>278.442</v>
      </c>
      <c r="AE560">
        <v>1.24183526652092</v>
      </c>
      <c r="AF560">
        <v>278.442</v>
      </c>
      <c r="AG560">
        <v>1.30828689553462</v>
      </c>
    </row>
    <row r="561" spans="24:33">
      <c r="X561">
        <v>278.941</v>
      </c>
      <c r="Y561">
        <v>1.25204374811485</v>
      </c>
      <c r="Z561">
        <v>278.941</v>
      </c>
      <c r="AA561">
        <v>1.28935112739353</v>
      </c>
      <c r="AB561">
        <v>278.941</v>
      </c>
      <c r="AC561">
        <v>1.3112095742131</v>
      </c>
      <c r="AD561">
        <v>278.941</v>
      </c>
      <c r="AE561">
        <v>1.23427725950052</v>
      </c>
      <c r="AF561">
        <v>278.941</v>
      </c>
      <c r="AG561">
        <v>1.30951157562484</v>
      </c>
    </row>
    <row r="562" spans="24:33">
      <c r="X562">
        <v>279.44</v>
      </c>
      <c r="Y562">
        <v>1.24220403590991</v>
      </c>
      <c r="Z562">
        <v>279.44</v>
      </c>
      <c r="AA562">
        <v>1.29124857794647</v>
      </c>
      <c r="AB562">
        <v>279.44</v>
      </c>
      <c r="AC562">
        <v>1.31111654963714</v>
      </c>
      <c r="AD562">
        <v>279.44</v>
      </c>
      <c r="AE562">
        <v>1.24123491791208</v>
      </c>
      <c r="AF562">
        <v>279.44</v>
      </c>
      <c r="AG562">
        <v>1.30699321294234</v>
      </c>
    </row>
    <row r="563" spans="24:33">
      <c r="X563">
        <v>279.939</v>
      </c>
      <c r="Y563">
        <v>1.24155085350233</v>
      </c>
      <c r="Z563">
        <v>279.939</v>
      </c>
      <c r="AA563">
        <v>1.29577974084575</v>
      </c>
      <c r="AB563">
        <v>279.939</v>
      </c>
      <c r="AC563">
        <v>1.30525667370963</v>
      </c>
      <c r="AD563">
        <v>279.939</v>
      </c>
      <c r="AE563">
        <v>1.25565600117198</v>
      </c>
      <c r="AF563">
        <v>279.939</v>
      </c>
      <c r="AG563">
        <v>1.29432948935682</v>
      </c>
    </row>
    <row r="564" spans="24:33">
      <c r="X564">
        <v>280.438</v>
      </c>
      <c r="Y564">
        <v>1.2470220903131</v>
      </c>
      <c r="Z564">
        <v>280.438</v>
      </c>
      <c r="AA564">
        <v>1.28847260887743</v>
      </c>
      <c r="AB564">
        <v>280.438</v>
      </c>
      <c r="AC564">
        <v>1.29531260983052</v>
      </c>
      <c r="AD564">
        <v>280.438</v>
      </c>
      <c r="AE564">
        <v>1.25915588686044</v>
      </c>
      <c r="AF564">
        <v>280.438</v>
      </c>
      <c r="AG564">
        <v>1.30306490038013</v>
      </c>
    </row>
    <row r="565" spans="24:33">
      <c r="X565">
        <v>280.937</v>
      </c>
      <c r="Y565">
        <v>1.24530854689361</v>
      </c>
      <c r="Z565">
        <v>280.937</v>
      </c>
      <c r="AA565">
        <v>1.28252171603493</v>
      </c>
      <c r="AB565">
        <v>280.937</v>
      </c>
      <c r="AC565">
        <v>1.30655428062919</v>
      </c>
      <c r="AD565">
        <v>280.937</v>
      </c>
      <c r="AE565">
        <v>1.25838175581168</v>
      </c>
      <c r="AF565">
        <v>280.937</v>
      </c>
      <c r="AG565">
        <v>1.30407572159236</v>
      </c>
    </row>
    <row r="566" spans="24:33">
      <c r="X566">
        <v>281.436</v>
      </c>
      <c r="Y566">
        <v>1.23704159410278</v>
      </c>
      <c r="Z566">
        <v>281.436</v>
      </c>
      <c r="AA566">
        <v>1.2945532362011</v>
      </c>
      <c r="AB566">
        <v>281.436</v>
      </c>
      <c r="AC566">
        <v>1.30762281672621</v>
      </c>
      <c r="AD566">
        <v>281.436</v>
      </c>
      <c r="AE566">
        <v>1.2450594267367</v>
      </c>
      <c r="AF566">
        <v>281.436</v>
      </c>
      <c r="AG566">
        <v>1.3076927874122</v>
      </c>
    </row>
    <row r="567" spans="24:33">
      <c r="X567">
        <v>281.935</v>
      </c>
      <c r="Y567">
        <v>1.23526379673775</v>
      </c>
      <c r="Z567">
        <v>281.935</v>
      </c>
      <c r="AA567">
        <v>1.29612112660172</v>
      </c>
      <c r="AB567">
        <v>281.935</v>
      </c>
      <c r="AC567">
        <v>1.31915819429948</v>
      </c>
      <c r="AD567">
        <v>281.935</v>
      </c>
      <c r="AE567">
        <v>1.24823420378858</v>
      </c>
      <c r="AF567">
        <v>281.935</v>
      </c>
      <c r="AG567">
        <v>1.29883107731938</v>
      </c>
    </row>
    <row r="568" spans="24:33">
      <c r="X568">
        <v>282.434</v>
      </c>
      <c r="Y568">
        <v>1.24399663456263</v>
      </c>
      <c r="Z568">
        <v>282.434</v>
      </c>
      <c r="AA568">
        <v>1.28883519773229</v>
      </c>
      <c r="AB568">
        <v>282.434</v>
      </c>
      <c r="AC568">
        <v>1.31234385341006</v>
      </c>
      <c r="AD568">
        <v>282.434</v>
      </c>
      <c r="AE568">
        <v>1.25130136072026</v>
      </c>
      <c r="AF568">
        <v>282.434</v>
      </c>
      <c r="AG568">
        <v>1.30451794696444</v>
      </c>
    </row>
    <row r="569" spans="24:33">
      <c r="X569">
        <v>282.933</v>
      </c>
      <c r="Y569">
        <v>1.24627267276657</v>
      </c>
      <c r="Z569">
        <v>282.933</v>
      </c>
      <c r="AA569">
        <v>1.28737742523967</v>
      </c>
      <c r="AB569">
        <v>282.933</v>
      </c>
      <c r="AC569">
        <v>1.30916106430273</v>
      </c>
      <c r="AD569">
        <v>282.933</v>
      </c>
      <c r="AE569">
        <v>1.25018675737414</v>
      </c>
      <c r="AF569">
        <v>282.933</v>
      </c>
      <c r="AG569">
        <v>1.30362778529402</v>
      </c>
    </row>
    <row r="570" spans="24:33">
      <c r="X570">
        <v>283.432</v>
      </c>
      <c r="Y570">
        <v>1.24501388855692</v>
      </c>
      <c r="Z570">
        <v>283.432</v>
      </c>
      <c r="AA570">
        <v>1.2911061755177</v>
      </c>
      <c r="AB570">
        <v>283.432</v>
      </c>
      <c r="AC570">
        <v>1.30516230418853</v>
      </c>
      <c r="AD570">
        <v>283.432</v>
      </c>
      <c r="AE570">
        <v>1.25308090493722</v>
      </c>
      <c r="AF570">
        <v>283.432</v>
      </c>
      <c r="AG570">
        <v>1.30580754308759</v>
      </c>
    </row>
    <row r="571" spans="24:33">
      <c r="X571">
        <v>283.931</v>
      </c>
      <c r="Y571">
        <v>1.23633318782714</v>
      </c>
      <c r="Z571">
        <v>283.931</v>
      </c>
      <c r="AA571">
        <v>1.29175394770748</v>
      </c>
      <c r="AB571">
        <v>283.931</v>
      </c>
      <c r="AC571">
        <v>1.3088725170346</v>
      </c>
      <c r="AD571">
        <v>283.931</v>
      </c>
      <c r="AE571">
        <v>1.24396528214245</v>
      </c>
      <c r="AF571">
        <v>283.931</v>
      </c>
      <c r="AG571">
        <v>1.29915078510281</v>
      </c>
    </row>
    <row r="572" spans="24:33">
      <c r="X572">
        <v>284.43</v>
      </c>
      <c r="Y572">
        <v>1.23621943696126</v>
      </c>
      <c r="Z572">
        <v>284.43</v>
      </c>
      <c r="AA572">
        <v>1.29861291863947</v>
      </c>
      <c r="AB572">
        <v>284.43</v>
      </c>
      <c r="AC572">
        <v>1.29965798174968</v>
      </c>
      <c r="AD572">
        <v>284.43</v>
      </c>
      <c r="AE572">
        <v>1.25641083309295</v>
      </c>
      <c r="AF572">
        <v>284.43</v>
      </c>
      <c r="AG572">
        <v>1.29837871090259</v>
      </c>
    </row>
    <row r="573" spans="24:33">
      <c r="X573">
        <v>284.929</v>
      </c>
      <c r="Y573">
        <v>1.24156161973467</v>
      </c>
      <c r="Z573">
        <v>284.929</v>
      </c>
      <c r="AA573">
        <v>1.29326944493204</v>
      </c>
      <c r="AB573">
        <v>284.929</v>
      </c>
      <c r="AC573">
        <v>1.3005606801382</v>
      </c>
      <c r="AD573">
        <v>284.929</v>
      </c>
      <c r="AE573">
        <v>1.26071900313944</v>
      </c>
      <c r="AF573">
        <v>284.929</v>
      </c>
      <c r="AG573">
        <v>1.2969404818051</v>
      </c>
    </row>
    <row r="574" spans="24:33">
      <c r="X574">
        <v>285.428</v>
      </c>
      <c r="Y574">
        <v>1.24200235607422</v>
      </c>
      <c r="Z574">
        <v>285.428</v>
      </c>
      <c r="AA574">
        <v>1.30299361907554</v>
      </c>
      <c r="AB574">
        <v>285.428</v>
      </c>
      <c r="AC574">
        <v>1.29951616744465</v>
      </c>
      <c r="AD574">
        <v>285.428</v>
      </c>
      <c r="AE574">
        <v>1.24565001860903</v>
      </c>
      <c r="AF574">
        <v>285.428</v>
      </c>
      <c r="AG574">
        <v>1.30045875582585</v>
      </c>
    </row>
    <row r="575" spans="24:33">
      <c r="X575">
        <v>285.927</v>
      </c>
      <c r="Y575">
        <v>1.23617407353709</v>
      </c>
      <c r="Z575">
        <v>285.927</v>
      </c>
      <c r="AA575">
        <v>1.2945070610044</v>
      </c>
      <c r="AB575">
        <v>285.927</v>
      </c>
      <c r="AC575">
        <v>1.29722486811893</v>
      </c>
      <c r="AD575">
        <v>285.927</v>
      </c>
      <c r="AE575">
        <v>1.25209455271382</v>
      </c>
      <c r="AF575">
        <v>285.927</v>
      </c>
      <c r="AG575">
        <v>1.30174846399252</v>
      </c>
    </row>
    <row r="576" spans="24:33">
      <c r="X576">
        <v>286.426</v>
      </c>
      <c r="Y576">
        <v>1.24382863653889</v>
      </c>
      <c r="Z576">
        <v>286.426</v>
      </c>
      <c r="AA576">
        <v>1.28736479271568</v>
      </c>
      <c r="AB576">
        <v>286.426</v>
      </c>
      <c r="AC576">
        <v>1.29939937301737</v>
      </c>
      <c r="AD576">
        <v>286.426</v>
      </c>
      <c r="AE576">
        <v>1.25731107531571</v>
      </c>
      <c r="AF576">
        <v>286.426</v>
      </c>
      <c r="AG576">
        <v>1.29495324466667</v>
      </c>
    </row>
    <row r="577" spans="24:33">
      <c r="X577">
        <v>286.925</v>
      </c>
      <c r="Y577">
        <v>1.24680875880355</v>
      </c>
      <c r="Z577">
        <v>286.925</v>
      </c>
      <c r="AA577">
        <v>1.29492359285723</v>
      </c>
      <c r="AB577">
        <v>286.925</v>
      </c>
      <c r="AC577">
        <v>1.30220615410741</v>
      </c>
      <c r="AD577">
        <v>286.925</v>
      </c>
      <c r="AE577">
        <v>1.25227032634643</v>
      </c>
      <c r="AF577">
        <v>286.925</v>
      </c>
      <c r="AG577">
        <v>1.29816198916099</v>
      </c>
    </row>
    <row r="578" spans="24:33">
      <c r="X578">
        <v>287.424</v>
      </c>
      <c r="Y578">
        <v>1.24409813862457</v>
      </c>
      <c r="Z578">
        <v>287.424</v>
      </c>
      <c r="AA578">
        <v>1.30011235653641</v>
      </c>
      <c r="AB578">
        <v>287.424</v>
      </c>
      <c r="AC578">
        <v>1.30124007362977</v>
      </c>
      <c r="AD578">
        <v>287.424</v>
      </c>
      <c r="AE578">
        <v>1.24665878140677</v>
      </c>
      <c r="AF578">
        <v>287.424</v>
      </c>
      <c r="AG578">
        <v>1.30019434699935</v>
      </c>
    </row>
    <row r="579" spans="24:33">
      <c r="X579">
        <v>287.923</v>
      </c>
      <c r="Y579">
        <v>1.24339583901427</v>
      </c>
      <c r="Z579">
        <v>287.923</v>
      </c>
      <c r="AA579">
        <v>1.29251784140471</v>
      </c>
      <c r="AB579">
        <v>287.923</v>
      </c>
      <c r="AC579">
        <v>1.31347861586061</v>
      </c>
      <c r="AD579">
        <v>287.923</v>
      </c>
      <c r="AE579">
        <v>1.25760321168318</v>
      </c>
      <c r="AF579">
        <v>287.923</v>
      </c>
      <c r="AG579">
        <v>1.30936988713127</v>
      </c>
    </row>
    <row r="580" spans="24:33">
      <c r="X580">
        <v>288.422</v>
      </c>
      <c r="Y580">
        <v>1.25451825075759</v>
      </c>
      <c r="Z580">
        <v>288.422</v>
      </c>
      <c r="AA580">
        <v>1.28990628556333</v>
      </c>
      <c r="AB580">
        <v>288.422</v>
      </c>
      <c r="AC580">
        <v>1.3146420411761</v>
      </c>
      <c r="AD580">
        <v>288.422</v>
      </c>
      <c r="AE580">
        <v>1.25280508321131</v>
      </c>
      <c r="AF580">
        <v>288.422</v>
      </c>
      <c r="AG580">
        <v>1.29961354134561</v>
      </c>
    </row>
    <row r="581" spans="24:33">
      <c r="X581">
        <v>288.921</v>
      </c>
      <c r="Y581">
        <v>1.25493589273693</v>
      </c>
      <c r="Z581">
        <v>288.921</v>
      </c>
      <c r="AA581">
        <v>1.2887229119333</v>
      </c>
      <c r="AB581">
        <v>288.921</v>
      </c>
      <c r="AC581">
        <v>1.30562681640333</v>
      </c>
      <c r="AD581">
        <v>288.921</v>
      </c>
      <c r="AE581">
        <v>1.24851922950846</v>
      </c>
      <c r="AF581">
        <v>288.921</v>
      </c>
      <c r="AG581">
        <v>1.29593149058263</v>
      </c>
    </row>
    <row r="582" spans="24:33">
      <c r="X582">
        <v>289.42</v>
      </c>
      <c r="Y582">
        <v>1.24807872852854</v>
      </c>
      <c r="Z582">
        <v>289.42</v>
      </c>
      <c r="AA582">
        <v>1.29799093560539</v>
      </c>
      <c r="AB582">
        <v>289.42</v>
      </c>
      <c r="AC582">
        <v>1.30565610889041</v>
      </c>
      <c r="AD582">
        <v>289.42</v>
      </c>
      <c r="AE582">
        <v>1.25506034846718</v>
      </c>
      <c r="AF582">
        <v>289.42</v>
      </c>
      <c r="AG582">
        <v>1.30154823906552</v>
      </c>
    </row>
    <row r="583" spans="24:33">
      <c r="X583">
        <v>289.919</v>
      </c>
      <c r="Y583">
        <v>1.2455291384016</v>
      </c>
      <c r="Z583">
        <v>289.919</v>
      </c>
      <c r="AA583">
        <v>1.28758109434163</v>
      </c>
      <c r="AB583">
        <v>289.919</v>
      </c>
      <c r="AC583">
        <v>1.31327575843208</v>
      </c>
      <c r="AD583">
        <v>289.919</v>
      </c>
      <c r="AE583">
        <v>1.25030493369858</v>
      </c>
      <c r="AF583">
        <v>289.919</v>
      </c>
      <c r="AG583">
        <v>1.29045159940999</v>
      </c>
    </row>
    <row r="584" spans="24:33">
      <c r="X584">
        <v>290.418</v>
      </c>
      <c r="Y584">
        <v>1.25211860014848</v>
      </c>
      <c r="Z584">
        <v>290.418</v>
      </c>
      <c r="AA584">
        <v>1.29170190348503</v>
      </c>
      <c r="AB584">
        <v>290.418</v>
      </c>
      <c r="AC584">
        <v>1.31575391118384</v>
      </c>
      <c r="AD584">
        <v>290.418</v>
      </c>
      <c r="AE584">
        <v>1.25112845957665</v>
      </c>
      <c r="AF584">
        <v>290.418</v>
      </c>
      <c r="AG584">
        <v>1.29489669137977</v>
      </c>
    </row>
    <row r="585" spans="24:33">
      <c r="X585">
        <v>290.917</v>
      </c>
      <c r="Y585">
        <v>1.25079901840276</v>
      </c>
      <c r="Z585">
        <v>290.917</v>
      </c>
      <c r="AA585">
        <v>1.28959657701411</v>
      </c>
      <c r="AB585">
        <v>290.917</v>
      </c>
      <c r="AC585">
        <v>1.30705990078342</v>
      </c>
      <c r="AD585">
        <v>290.917</v>
      </c>
      <c r="AE585">
        <v>1.26125714762993</v>
      </c>
      <c r="AF585">
        <v>290.917</v>
      </c>
      <c r="AG585">
        <v>1.29309255914372</v>
      </c>
    </row>
    <row r="586" spans="24:33">
      <c r="X586">
        <v>291.416</v>
      </c>
      <c r="Y586">
        <v>1.24788696981985</v>
      </c>
      <c r="Z586">
        <v>291.416</v>
      </c>
      <c r="AA586">
        <v>1.29317527543504</v>
      </c>
      <c r="AB586">
        <v>291.416</v>
      </c>
      <c r="AC586">
        <v>1.30817300088547</v>
      </c>
      <c r="AD586">
        <v>291.416</v>
      </c>
      <c r="AE586">
        <v>1.26101441341082</v>
      </c>
      <c r="AF586">
        <v>291.416</v>
      </c>
      <c r="AG586">
        <v>1.28970445542856</v>
      </c>
    </row>
    <row r="587" spans="24:33">
      <c r="X587">
        <v>291.915</v>
      </c>
      <c r="Y587">
        <v>1.25474400545844</v>
      </c>
      <c r="Z587">
        <v>291.915</v>
      </c>
      <c r="AA587">
        <v>1.2865341351399</v>
      </c>
      <c r="AB587">
        <v>291.915</v>
      </c>
      <c r="AC587">
        <v>1.31205806717468</v>
      </c>
      <c r="AD587">
        <v>291.915</v>
      </c>
      <c r="AE587">
        <v>1.25566098903409</v>
      </c>
      <c r="AF587">
        <v>291.915</v>
      </c>
      <c r="AG587">
        <v>1.28392125891596</v>
      </c>
    </row>
    <row r="588" spans="24:33">
      <c r="X588">
        <v>292.414</v>
      </c>
      <c r="Y588">
        <v>1.24965160688582</v>
      </c>
      <c r="Z588">
        <v>292.414</v>
      </c>
      <c r="AA588">
        <v>1.2886772592151</v>
      </c>
      <c r="AB588">
        <v>292.414</v>
      </c>
      <c r="AC588">
        <v>1.30493900283365</v>
      </c>
      <c r="AD588">
        <v>292.414</v>
      </c>
      <c r="AE588">
        <v>1.25315724584803</v>
      </c>
      <c r="AF588">
        <v>292.414</v>
      </c>
      <c r="AG588">
        <v>1.28805103098578</v>
      </c>
    </row>
    <row r="589" spans="24:33">
      <c r="X589">
        <v>292.913</v>
      </c>
      <c r="Y589">
        <v>1.24689716003115</v>
      </c>
      <c r="Z589">
        <v>292.913</v>
      </c>
      <c r="AA589">
        <v>1.28759243366356</v>
      </c>
      <c r="AB589">
        <v>292.913</v>
      </c>
      <c r="AC589">
        <v>1.31287308976889</v>
      </c>
      <c r="AD589">
        <v>292.913</v>
      </c>
      <c r="AE589">
        <v>1.24934646290022</v>
      </c>
      <c r="AF589">
        <v>292.913</v>
      </c>
      <c r="AG589">
        <v>1.29321467232929</v>
      </c>
    </row>
    <row r="590" spans="24:33">
      <c r="X590">
        <v>293.412</v>
      </c>
      <c r="Y590">
        <v>1.25351906852727</v>
      </c>
      <c r="Z590">
        <v>293.412</v>
      </c>
      <c r="AA590">
        <v>1.29246745212746</v>
      </c>
      <c r="AB590">
        <v>293.412</v>
      </c>
      <c r="AC590">
        <v>1.32125880666729</v>
      </c>
      <c r="AD590">
        <v>293.412</v>
      </c>
      <c r="AE590">
        <v>1.24508155411925</v>
      </c>
      <c r="AF590">
        <v>293.412</v>
      </c>
      <c r="AG590">
        <v>1.29836803429223</v>
      </c>
    </row>
    <row r="591" spans="24:33">
      <c r="X591">
        <v>293.911</v>
      </c>
      <c r="Y591">
        <v>1.24028219238303</v>
      </c>
      <c r="Z591">
        <v>293.911</v>
      </c>
      <c r="AA591">
        <v>1.3026319762707</v>
      </c>
      <c r="AB591">
        <v>293.911</v>
      </c>
      <c r="AC591">
        <v>1.30956587364403</v>
      </c>
      <c r="AD591">
        <v>293.911</v>
      </c>
      <c r="AE591">
        <v>1.24166310090904</v>
      </c>
      <c r="AF591">
        <v>293.911</v>
      </c>
      <c r="AG591">
        <v>1.29210320976243</v>
      </c>
    </row>
    <row r="592" spans="24:33">
      <c r="X592">
        <v>294.41</v>
      </c>
      <c r="Y592">
        <v>1.24738046383115</v>
      </c>
      <c r="Z592">
        <v>294.41</v>
      </c>
      <c r="AA592">
        <v>1.2977162320956</v>
      </c>
      <c r="AB592">
        <v>294.41</v>
      </c>
      <c r="AC592">
        <v>1.31877126547183</v>
      </c>
      <c r="AD592">
        <v>294.41</v>
      </c>
      <c r="AE592">
        <v>1.24770251662308</v>
      </c>
      <c r="AF592">
        <v>294.41</v>
      </c>
      <c r="AG592">
        <v>1.29285892631172</v>
      </c>
    </row>
    <row r="593" spans="24:33">
      <c r="X593">
        <v>294.909</v>
      </c>
      <c r="Y593">
        <v>1.24899064259624</v>
      </c>
      <c r="Z593">
        <v>294.909</v>
      </c>
      <c r="AA593">
        <v>1.29522710395219</v>
      </c>
      <c r="AB593">
        <v>294.909</v>
      </c>
      <c r="AC593">
        <v>1.31873324047815</v>
      </c>
      <c r="AD593">
        <v>294.909</v>
      </c>
      <c r="AE593">
        <v>1.25916146248116</v>
      </c>
      <c r="AF593">
        <v>294.909</v>
      </c>
      <c r="AG593">
        <v>1.28886853914979</v>
      </c>
    </row>
    <row r="594" spans="24:33">
      <c r="X594">
        <v>295.408</v>
      </c>
      <c r="Y594">
        <v>1.24907470156868</v>
      </c>
      <c r="Z594">
        <v>295.408</v>
      </c>
      <c r="AA594">
        <v>1.29383039152007</v>
      </c>
      <c r="AB594">
        <v>295.408</v>
      </c>
      <c r="AC594">
        <v>1.31759813230763</v>
      </c>
      <c r="AD594">
        <v>295.408</v>
      </c>
      <c r="AE594">
        <v>1.26065515824554</v>
      </c>
      <c r="AF594">
        <v>295.408</v>
      </c>
      <c r="AG594">
        <v>1.28958644062418</v>
      </c>
    </row>
    <row r="595" spans="24:33">
      <c r="X595">
        <v>295.907</v>
      </c>
      <c r="Y595">
        <v>1.25149819719496</v>
      </c>
      <c r="Z595">
        <v>295.907</v>
      </c>
      <c r="AA595">
        <v>1.29239837504942</v>
      </c>
      <c r="AB595">
        <v>295.907</v>
      </c>
      <c r="AC595">
        <v>1.31373465461646</v>
      </c>
      <c r="AD595">
        <v>295.907</v>
      </c>
      <c r="AE595">
        <v>1.25409970019877</v>
      </c>
      <c r="AF595">
        <v>295.907</v>
      </c>
      <c r="AG595">
        <v>1.29503035423168</v>
      </c>
    </row>
    <row r="596" spans="24:33">
      <c r="X596">
        <v>296.406</v>
      </c>
      <c r="Y596">
        <v>1.24254993134469</v>
      </c>
      <c r="Z596">
        <v>296.406</v>
      </c>
      <c r="AA596">
        <v>1.29525350664591</v>
      </c>
      <c r="AB596">
        <v>296.406</v>
      </c>
      <c r="AC596">
        <v>1.31720861108699</v>
      </c>
      <c r="AD596">
        <v>296.406</v>
      </c>
      <c r="AE596">
        <v>1.25207153156311</v>
      </c>
      <c r="AF596">
        <v>296.406</v>
      </c>
      <c r="AG596">
        <v>1.28356799370095</v>
      </c>
    </row>
    <row r="597" spans="24:33">
      <c r="X597">
        <v>296.905</v>
      </c>
      <c r="Y597">
        <v>1.26234007434289</v>
      </c>
      <c r="Z597">
        <v>296.905</v>
      </c>
      <c r="AA597">
        <v>1.29653535789411</v>
      </c>
      <c r="AB597">
        <v>296.905</v>
      </c>
      <c r="AC597">
        <v>1.3113124173348</v>
      </c>
      <c r="AD597">
        <v>296.905</v>
      </c>
      <c r="AE597">
        <v>1.24640389660106</v>
      </c>
      <c r="AF597">
        <v>296.905</v>
      </c>
      <c r="AG597">
        <v>1.28262459991734</v>
      </c>
    </row>
    <row r="598" spans="24:33">
      <c r="X598">
        <v>297.404</v>
      </c>
      <c r="Y598">
        <v>1.24369627049982</v>
      </c>
      <c r="Z598">
        <v>297.404</v>
      </c>
      <c r="AA598">
        <v>1.29010912364178</v>
      </c>
      <c r="AB598">
        <v>297.404</v>
      </c>
      <c r="AC598">
        <v>1.31605368943415</v>
      </c>
      <c r="AD598">
        <v>297.404</v>
      </c>
      <c r="AE598">
        <v>1.25259758275744</v>
      </c>
      <c r="AF598">
        <v>297.404</v>
      </c>
      <c r="AG598">
        <v>1.29160067273165</v>
      </c>
    </row>
    <row r="599" spans="24:33">
      <c r="X599">
        <v>297.903</v>
      </c>
      <c r="Y599">
        <v>1.2453119382591</v>
      </c>
      <c r="Z599">
        <v>297.903</v>
      </c>
      <c r="AA599">
        <v>1.3026004225016</v>
      </c>
      <c r="AB599">
        <v>297.903</v>
      </c>
      <c r="AC599">
        <v>1.3140880881101</v>
      </c>
      <c r="AD599">
        <v>297.903</v>
      </c>
      <c r="AE599">
        <v>1.24773027773154</v>
      </c>
      <c r="AF599">
        <v>297.903</v>
      </c>
      <c r="AG599">
        <v>1.28373333678644</v>
      </c>
    </row>
    <row r="600" spans="24:33">
      <c r="X600">
        <v>298.402</v>
      </c>
      <c r="Y600">
        <v>1.24803608588303</v>
      </c>
      <c r="Z600">
        <v>298.402</v>
      </c>
      <c r="AA600">
        <v>1.29892874152116</v>
      </c>
      <c r="AB600">
        <v>298.402</v>
      </c>
      <c r="AC600">
        <v>1.31914466363411</v>
      </c>
      <c r="AD600">
        <v>298.402</v>
      </c>
      <c r="AE600">
        <v>1.24549590461048</v>
      </c>
      <c r="AF600">
        <v>298.402</v>
      </c>
      <c r="AG600">
        <v>1.29498825502203</v>
      </c>
    </row>
    <row r="601" spans="24:33">
      <c r="X601">
        <v>298.901</v>
      </c>
      <c r="Y601">
        <v>1.24317029756542</v>
      </c>
      <c r="Z601">
        <v>298.901</v>
      </c>
      <c r="AA601">
        <v>1.29096115935527</v>
      </c>
      <c r="AB601">
        <v>298.901</v>
      </c>
      <c r="AC601">
        <v>1.31580286209065</v>
      </c>
      <c r="AD601">
        <v>298.901</v>
      </c>
      <c r="AE601">
        <v>1.24815714791016</v>
      </c>
      <c r="AF601">
        <v>298.901</v>
      </c>
      <c r="AG601">
        <v>1.29560306599564</v>
      </c>
    </row>
    <row r="602" spans="24:33">
      <c r="X602">
        <v>299.4</v>
      </c>
      <c r="Y602">
        <v>1.24961866210434</v>
      </c>
      <c r="Z602">
        <v>299.4</v>
      </c>
      <c r="AA602">
        <v>1.2919299283977</v>
      </c>
      <c r="AB602">
        <v>299.4</v>
      </c>
      <c r="AC602">
        <v>1.30861507686728</v>
      </c>
      <c r="AD602">
        <v>299.4</v>
      </c>
      <c r="AE602">
        <v>1.25835212147974</v>
      </c>
      <c r="AF602">
        <v>299.4</v>
      </c>
      <c r="AG602">
        <v>1.29179533122459</v>
      </c>
    </row>
    <row r="603" spans="24:33">
      <c r="X603">
        <v>299.899</v>
      </c>
      <c r="Y603">
        <v>1.24999812493382</v>
      </c>
      <c r="Z603">
        <v>299.899</v>
      </c>
      <c r="AA603">
        <v>1.3021148874725</v>
      </c>
      <c r="AB603">
        <v>299.899</v>
      </c>
      <c r="AC603">
        <v>1.31486004160396</v>
      </c>
      <c r="AD603">
        <v>299.899</v>
      </c>
      <c r="AE603">
        <v>1.25012122942245</v>
      </c>
      <c r="AF603">
        <v>299.899</v>
      </c>
      <c r="AG603">
        <v>1.28971783609712</v>
      </c>
    </row>
    <row r="604" spans="24:33">
      <c r="X604">
        <v>300.398</v>
      </c>
      <c r="Y604">
        <v>1.24451800457307</v>
      </c>
      <c r="Z604">
        <v>300.398</v>
      </c>
      <c r="AA604">
        <v>1.29631866386909</v>
      </c>
      <c r="AB604">
        <v>300.398</v>
      </c>
      <c r="AC604">
        <v>1.31690472363249</v>
      </c>
      <c r="AD604">
        <v>300.398</v>
      </c>
      <c r="AE604">
        <v>1.25396186587854</v>
      </c>
      <c r="AF604">
        <v>300.398</v>
      </c>
      <c r="AG604">
        <v>1.29728044773093</v>
      </c>
    </row>
    <row r="605" spans="24:33">
      <c r="X605">
        <v>300.897</v>
      </c>
      <c r="Y605">
        <v>1.26616652704387</v>
      </c>
      <c r="Z605">
        <v>300.897</v>
      </c>
      <c r="AA605">
        <v>1.28791633508271</v>
      </c>
      <c r="AB605">
        <v>300.897</v>
      </c>
      <c r="AC605">
        <v>1.31450944973513</v>
      </c>
      <c r="AD605">
        <v>300.897</v>
      </c>
      <c r="AE605">
        <v>1.26431530276785</v>
      </c>
      <c r="AF605">
        <v>300.897</v>
      </c>
      <c r="AG605">
        <v>1.29983542629356</v>
      </c>
    </row>
    <row r="606" spans="24:33">
      <c r="X606">
        <v>301.396</v>
      </c>
      <c r="Y606">
        <v>1.25286678247559</v>
      </c>
      <c r="Z606">
        <v>301.396</v>
      </c>
      <c r="AA606">
        <v>1.29077144102815</v>
      </c>
      <c r="AB606">
        <v>301.396</v>
      </c>
      <c r="AC606">
        <v>1.32380479712423</v>
      </c>
      <c r="AD606">
        <v>301.396</v>
      </c>
      <c r="AE606">
        <v>1.25995875743313</v>
      </c>
      <c r="AF606">
        <v>301.396</v>
      </c>
      <c r="AG606">
        <v>1.28822003081859</v>
      </c>
    </row>
    <row r="607" spans="24:33">
      <c r="X607">
        <v>301.895</v>
      </c>
      <c r="Y607">
        <v>1.24965931864452</v>
      </c>
      <c r="Z607">
        <v>301.895</v>
      </c>
      <c r="AA607">
        <v>1.29013216508584</v>
      </c>
      <c r="AB607">
        <v>301.895</v>
      </c>
      <c r="AC607">
        <v>1.31163459068193</v>
      </c>
      <c r="AD607">
        <v>301.895</v>
      </c>
      <c r="AE607">
        <v>1.25677420189708</v>
      </c>
      <c r="AF607">
        <v>301.895</v>
      </c>
      <c r="AG607">
        <v>1.29045084442235</v>
      </c>
    </row>
    <row r="608" spans="24:33">
      <c r="X608">
        <v>302.394</v>
      </c>
      <c r="Y608">
        <v>1.25509037174853</v>
      </c>
      <c r="Z608">
        <v>302.394</v>
      </c>
      <c r="AA608">
        <v>1.31025038969537</v>
      </c>
      <c r="AB608">
        <v>302.394</v>
      </c>
      <c r="AC608">
        <v>1.31755950573531</v>
      </c>
      <c r="AD608">
        <v>302.394</v>
      </c>
      <c r="AE608">
        <v>1.26042142400059</v>
      </c>
      <c r="AF608">
        <v>302.394</v>
      </c>
      <c r="AG608">
        <v>1.29330390086868</v>
      </c>
    </row>
    <row r="609" spans="24:33">
      <c r="X609">
        <v>302.893</v>
      </c>
      <c r="Y609">
        <v>1.24754798180874</v>
      </c>
      <c r="Z609">
        <v>302.893</v>
      </c>
      <c r="AA609">
        <v>1.29404068275832</v>
      </c>
      <c r="AB609">
        <v>302.893</v>
      </c>
      <c r="AC609">
        <v>1.32212117041161</v>
      </c>
      <c r="AD609">
        <v>302.893</v>
      </c>
      <c r="AE609">
        <v>1.25118816843464</v>
      </c>
      <c r="AF609">
        <v>302.893</v>
      </c>
      <c r="AG609">
        <v>1.29583277241378</v>
      </c>
    </row>
    <row r="610" spans="24:33">
      <c r="X610">
        <v>303.392</v>
      </c>
      <c r="Y610">
        <v>1.25966152505146</v>
      </c>
      <c r="Z610">
        <v>303.392</v>
      </c>
      <c r="AA610">
        <v>1.29329212487097</v>
      </c>
      <c r="AB610">
        <v>303.392</v>
      </c>
      <c r="AC610">
        <v>1.31347151768751</v>
      </c>
      <c r="AD610">
        <v>303.392</v>
      </c>
      <c r="AE610">
        <v>1.2584374512306</v>
      </c>
      <c r="AF610">
        <v>303.392</v>
      </c>
      <c r="AG610">
        <v>1.30048657441388</v>
      </c>
    </row>
    <row r="611" spans="24:33">
      <c r="X611">
        <v>303.891</v>
      </c>
      <c r="Y611">
        <v>1.24528683448782</v>
      </c>
      <c r="Z611">
        <v>303.891</v>
      </c>
      <c r="AA611">
        <v>1.29449901106832</v>
      </c>
      <c r="AB611">
        <v>303.891</v>
      </c>
      <c r="AC611">
        <v>1.31358088503387</v>
      </c>
      <c r="AD611">
        <v>303.891</v>
      </c>
      <c r="AE611">
        <v>1.25179324131633</v>
      </c>
      <c r="AF611">
        <v>303.891</v>
      </c>
      <c r="AG611">
        <v>1.29375684972205</v>
      </c>
    </row>
    <row r="612" spans="24:33">
      <c r="X612">
        <v>304.39</v>
      </c>
      <c r="Y612">
        <v>1.24988879577895</v>
      </c>
      <c r="Z612">
        <v>304.39</v>
      </c>
      <c r="AA612">
        <v>1.29236825110458</v>
      </c>
      <c r="AB612">
        <v>304.39</v>
      </c>
      <c r="AC612">
        <v>1.31584774466872</v>
      </c>
      <c r="AD612">
        <v>304.39</v>
      </c>
      <c r="AE612">
        <v>1.25280508243679</v>
      </c>
      <c r="AF612">
        <v>304.39</v>
      </c>
      <c r="AG612">
        <v>1.29106141048411</v>
      </c>
    </row>
    <row r="613" spans="24:33">
      <c r="X613">
        <v>304.889</v>
      </c>
      <c r="Y613">
        <v>1.24989886039203</v>
      </c>
      <c r="Z613">
        <v>304.889</v>
      </c>
      <c r="AA613">
        <v>1.29183319455763</v>
      </c>
      <c r="AB613">
        <v>304.889</v>
      </c>
      <c r="AC613">
        <v>1.31084187458679</v>
      </c>
      <c r="AD613">
        <v>304.889</v>
      </c>
      <c r="AE613">
        <v>1.25431775402219</v>
      </c>
      <c r="AF613">
        <v>304.889</v>
      </c>
      <c r="AG613">
        <v>1.29784723294445</v>
      </c>
    </row>
    <row r="614" spans="24:33">
      <c r="X614">
        <v>305.388</v>
      </c>
      <c r="Y614">
        <v>1.25305776471675</v>
      </c>
      <c r="Z614">
        <v>305.388</v>
      </c>
      <c r="AA614">
        <v>1.28149416272809</v>
      </c>
      <c r="AB614">
        <v>305.388</v>
      </c>
      <c r="AC614">
        <v>1.30483238316964</v>
      </c>
      <c r="AD614">
        <v>305.388</v>
      </c>
      <c r="AE614">
        <v>1.2497502652815</v>
      </c>
      <c r="AF614">
        <v>305.388</v>
      </c>
      <c r="AG614">
        <v>1.29601473652708</v>
      </c>
    </row>
    <row r="615" spans="24:33">
      <c r="X615">
        <v>305.887</v>
      </c>
      <c r="Y615">
        <v>1.24532929153937</v>
      </c>
      <c r="Z615">
        <v>305.887</v>
      </c>
      <c r="AA615">
        <v>1.29015924342392</v>
      </c>
      <c r="AB615">
        <v>305.887</v>
      </c>
      <c r="AC615">
        <v>1.31951306279021</v>
      </c>
      <c r="AD615">
        <v>305.887</v>
      </c>
      <c r="AE615">
        <v>1.25190809041999</v>
      </c>
      <c r="AF615">
        <v>305.887</v>
      </c>
      <c r="AG615">
        <v>1.29365572845177</v>
      </c>
    </row>
    <row r="616" spans="24:33">
      <c r="X616">
        <v>306.386</v>
      </c>
      <c r="Y616">
        <v>1.2447609730614</v>
      </c>
      <c r="Z616">
        <v>306.386</v>
      </c>
      <c r="AA616">
        <v>1.29086784032292</v>
      </c>
      <c r="AB616">
        <v>306.386</v>
      </c>
      <c r="AC616">
        <v>1.31166245423287</v>
      </c>
      <c r="AD616">
        <v>306.386</v>
      </c>
      <c r="AE616">
        <v>1.25379881203197</v>
      </c>
      <c r="AF616">
        <v>306.386</v>
      </c>
      <c r="AG616">
        <v>1.29517478111234</v>
      </c>
    </row>
    <row r="617" spans="24:33">
      <c r="X617">
        <v>306.885</v>
      </c>
      <c r="Y617">
        <v>1.24591539998066</v>
      </c>
      <c r="Z617">
        <v>306.885</v>
      </c>
      <c r="AA617">
        <v>1.28889366990558</v>
      </c>
      <c r="AB617">
        <v>306.885</v>
      </c>
      <c r="AC617">
        <v>1.31192701889498</v>
      </c>
      <c r="AD617">
        <v>306.885</v>
      </c>
      <c r="AE617">
        <v>1.2430943922288</v>
      </c>
      <c r="AF617">
        <v>306.885</v>
      </c>
      <c r="AG617">
        <v>1.30522296581409</v>
      </c>
    </row>
    <row r="618" spans="24:33">
      <c r="X618">
        <v>307.384</v>
      </c>
      <c r="Y618">
        <v>1.25228364675313</v>
      </c>
      <c r="Z618">
        <v>307.384</v>
      </c>
      <c r="AA618">
        <v>1.29101240968914</v>
      </c>
      <c r="AB618">
        <v>307.384</v>
      </c>
      <c r="AC618">
        <v>1.31166868780059</v>
      </c>
      <c r="AD618">
        <v>307.384</v>
      </c>
      <c r="AE618">
        <v>1.24904075235967</v>
      </c>
      <c r="AF618">
        <v>307.384</v>
      </c>
      <c r="AG618">
        <v>1.29986617170172</v>
      </c>
    </row>
    <row r="619" spans="24:33">
      <c r="X619">
        <v>307.883</v>
      </c>
      <c r="Y619">
        <v>1.24990795066957</v>
      </c>
      <c r="Z619">
        <v>307.883</v>
      </c>
      <c r="AA619">
        <v>1.28951002368251</v>
      </c>
      <c r="AB619">
        <v>307.883</v>
      </c>
      <c r="AC619">
        <v>1.31700554032835</v>
      </c>
      <c r="AD619">
        <v>307.883</v>
      </c>
      <c r="AE619">
        <v>1.24171296820713</v>
      </c>
      <c r="AF619">
        <v>307.883</v>
      </c>
      <c r="AG619">
        <v>1.29467410210587</v>
      </c>
    </row>
    <row r="620" spans="24:33">
      <c r="X620">
        <v>308.382</v>
      </c>
      <c r="Y620">
        <v>1.24517034740035</v>
      </c>
      <c r="Z620">
        <v>308.382</v>
      </c>
      <c r="AA620">
        <v>1.29247024078156</v>
      </c>
      <c r="AB620">
        <v>308.382</v>
      </c>
      <c r="AC620">
        <v>1.31459713627977</v>
      </c>
      <c r="AD620">
        <v>308.382</v>
      </c>
      <c r="AE620">
        <v>1.24863657814231</v>
      </c>
      <c r="AF620">
        <v>308.382</v>
      </c>
      <c r="AG620">
        <v>1.3017146535343</v>
      </c>
    </row>
    <row r="621" spans="24:33">
      <c r="X621">
        <v>308.881</v>
      </c>
      <c r="Y621">
        <v>1.25640481811311</v>
      </c>
      <c r="Z621">
        <v>308.881</v>
      </c>
      <c r="AA621">
        <v>1.30318526158561</v>
      </c>
      <c r="AB621">
        <v>308.881</v>
      </c>
      <c r="AC621">
        <v>1.31982547476965</v>
      </c>
      <c r="AD621">
        <v>308.881</v>
      </c>
      <c r="AE621">
        <v>1.2549079211944</v>
      </c>
      <c r="AF621">
        <v>308.881</v>
      </c>
      <c r="AG621">
        <v>1.30584171390364</v>
      </c>
    </row>
    <row r="622" spans="24:33">
      <c r="X622">
        <v>309.38</v>
      </c>
      <c r="Y622">
        <v>1.25942734005262</v>
      </c>
      <c r="Z622">
        <v>309.38</v>
      </c>
      <c r="AA622">
        <v>1.2999765766938</v>
      </c>
      <c r="AB622">
        <v>309.38</v>
      </c>
      <c r="AC622">
        <v>1.31757810464145</v>
      </c>
      <c r="AD622">
        <v>309.38</v>
      </c>
      <c r="AE622">
        <v>1.25462627411813</v>
      </c>
      <c r="AF622">
        <v>309.38</v>
      </c>
      <c r="AG622">
        <v>1.30501179950207</v>
      </c>
    </row>
    <row r="623" spans="24:33">
      <c r="X623">
        <v>309.879</v>
      </c>
      <c r="Y623">
        <v>1.24728156021018</v>
      </c>
      <c r="Z623">
        <v>309.879</v>
      </c>
      <c r="AA623">
        <v>1.28549603552631</v>
      </c>
      <c r="AB623">
        <v>309.879</v>
      </c>
      <c r="AC623">
        <v>1.31992648517037</v>
      </c>
      <c r="AD623">
        <v>309.879</v>
      </c>
      <c r="AE623">
        <v>1.25323632096032</v>
      </c>
      <c r="AF623">
        <v>309.879</v>
      </c>
      <c r="AG623">
        <v>1.29642988567587</v>
      </c>
    </row>
    <row r="624" spans="24:33">
      <c r="X624">
        <v>310.378</v>
      </c>
      <c r="Y624">
        <v>1.24833127780025</v>
      </c>
      <c r="Z624">
        <v>310.378</v>
      </c>
      <c r="AA624">
        <v>1.29498382179434</v>
      </c>
      <c r="AB624">
        <v>310.378</v>
      </c>
      <c r="AC624">
        <v>1.31870597282192</v>
      </c>
      <c r="AD624">
        <v>310.378</v>
      </c>
      <c r="AE624">
        <v>1.25315381160884</v>
      </c>
      <c r="AF624">
        <v>310.378</v>
      </c>
      <c r="AG624">
        <v>1.30704539077322</v>
      </c>
    </row>
    <row r="625" spans="24:33">
      <c r="X625">
        <v>310.877</v>
      </c>
      <c r="Y625">
        <v>1.25597635949222</v>
      </c>
      <c r="Z625">
        <v>310.877</v>
      </c>
      <c r="AA625">
        <v>1.2945582262876</v>
      </c>
      <c r="AB625">
        <v>310.877</v>
      </c>
      <c r="AC625">
        <v>1.32273412140058</v>
      </c>
      <c r="AD625">
        <v>310.877</v>
      </c>
      <c r="AE625">
        <v>1.25585673328983</v>
      </c>
      <c r="AF625">
        <v>310.877</v>
      </c>
      <c r="AG625">
        <v>1.30081880275132</v>
      </c>
    </row>
    <row r="626" spans="24:33">
      <c r="X626">
        <v>311.376</v>
      </c>
      <c r="Y626">
        <v>1.25409908410327</v>
      </c>
      <c r="Z626">
        <v>311.376</v>
      </c>
      <c r="AA626">
        <v>1.29839490253737</v>
      </c>
      <c r="AB626">
        <v>311.376</v>
      </c>
      <c r="AC626">
        <v>1.32194519836444</v>
      </c>
      <c r="AD626">
        <v>311.376</v>
      </c>
      <c r="AE626">
        <v>1.2517507554439</v>
      </c>
      <c r="AF626">
        <v>311.376</v>
      </c>
      <c r="AG626">
        <v>1.30242659017839</v>
      </c>
    </row>
    <row r="627" spans="24:33">
      <c r="X627">
        <v>311.875</v>
      </c>
      <c r="Y627">
        <v>1.24666721084703</v>
      </c>
      <c r="Z627">
        <v>311.875</v>
      </c>
      <c r="AA627">
        <v>1.30000247539369</v>
      </c>
      <c r="AB627">
        <v>311.875</v>
      </c>
      <c r="AC627">
        <v>1.3122644052844</v>
      </c>
      <c r="AD627">
        <v>311.875</v>
      </c>
      <c r="AE627">
        <v>1.24339916638259</v>
      </c>
      <c r="AF627">
        <v>311.875</v>
      </c>
      <c r="AG627">
        <v>1.30072087411786</v>
      </c>
    </row>
    <row r="628" spans="24:33">
      <c r="X628">
        <v>312.374</v>
      </c>
      <c r="Y628">
        <v>1.25348066644191</v>
      </c>
      <c r="Z628">
        <v>312.374</v>
      </c>
      <c r="AA628">
        <v>1.29244672738115</v>
      </c>
      <c r="AB628">
        <v>312.374</v>
      </c>
      <c r="AC628">
        <v>1.31205989136738</v>
      </c>
      <c r="AD628">
        <v>312.374</v>
      </c>
      <c r="AE628">
        <v>1.24833104450744</v>
      </c>
      <c r="AF628">
        <v>312.374</v>
      </c>
      <c r="AG628">
        <v>1.28686460474366</v>
      </c>
    </row>
    <row r="629" spans="24:33">
      <c r="X629">
        <v>312.873</v>
      </c>
      <c r="Y629">
        <v>1.25754100777279</v>
      </c>
      <c r="Z629">
        <v>312.873</v>
      </c>
      <c r="AA629">
        <v>1.28586543014639</v>
      </c>
      <c r="AB629">
        <v>312.873</v>
      </c>
      <c r="AC629">
        <v>1.31462154656995</v>
      </c>
      <c r="AD629">
        <v>312.873</v>
      </c>
      <c r="AE629">
        <v>1.25190979379264</v>
      </c>
      <c r="AF629">
        <v>312.873</v>
      </c>
      <c r="AG629">
        <v>1.30628900804911</v>
      </c>
    </row>
    <row r="630" spans="24:33">
      <c r="X630">
        <v>313.372</v>
      </c>
      <c r="Y630">
        <v>1.24528335744061</v>
      </c>
      <c r="Z630">
        <v>313.372</v>
      </c>
      <c r="AA630">
        <v>1.29289729707327</v>
      </c>
      <c r="AB630">
        <v>313.372</v>
      </c>
      <c r="AC630">
        <v>1.30976482161287</v>
      </c>
      <c r="AD630">
        <v>313.372</v>
      </c>
      <c r="AE630">
        <v>1.24829707309057</v>
      </c>
      <c r="AF630">
        <v>313.372</v>
      </c>
      <c r="AG630">
        <v>1.31027115514273</v>
      </c>
    </row>
    <row r="631" spans="24:33">
      <c r="X631">
        <v>313.871</v>
      </c>
      <c r="Y631">
        <v>1.24739613687532</v>
      </c>
      <c r="Z631">
        <v>313.871</v>
      </c>
      <c r="AA631">
        <v>1.29546428887824</v>
      </c>
      <c r="AB631">
        <v>313.871</v>
      </c>
      <c r="AC631">
        <v>1.31606431486331</v>
      </c>
      <c r="AD631">
        <v>313.871</v>
      </c>
      <c r="AE631">
        <v>1.23809756612034</v>
      </c>
      <c r="AF631">
        <v>313.871</v>
      </c>
      <c r="AG631">
        <v>1.30810823397187</v>
      </c>
    </row>
    <row r="632" spans="24:33">
      <c r="X632">
        <v>314.37</v>
      </c>
      <c r="Y632">
        <v>1.25163283171856</v>
      </c>
      <c r="Z632">
        <v>314.37</v>
      </c>
      <c r="AA632">
        <v>1.29784233635195</v>
      </c>
      <c r="AB632">
        <v>314.37</v>
      </c>
      <c r="AC632">
        <v>1.31658136337529</v>
      </c>
      <c r="AD632">
        <v>314.37</v>
      </c>
      <c r="AE632">
        <v>1.24855688557397</v>
      </c>
      <c r="AF632">
        <v>314.37</v>
      </c>
      <c r="AG632">
        <v>1.30059203204524</v>
      </c>
    </row>
    <row r="633" spans="24:33">
      <c r="X633">
        <v>314.869</v>
      </c>
      <c r="Y633">
        <v>1.25043072161222</v>
      </c>
      <c r="Z633">
        <v>314.869</v>
      </c>
      <c r="AA633">
        <v>1.29330579712105</v>
      </c>
      <c r="AB633">
        <v>314.869</v>
      </c>
      <c r="AC633">
        <v>1.31810297025487</v>
      </c>
      <c r="AD633">
        <v>314.869</v>
      </c>
      <c r="AE633">
        <v>1.24315673774814</v>
      </c>
      <c r="AF633">
        <v>314.869</v>
      </c>
      <c r="AG633">
        <v>1.29581175135481</v>
      </c>
    </row>
    <row r="634" spans="24:33">
      <c r="X634">
        <v>315.368</v>
      </c>
      <c r="Y634">
        <v>1.24610797652909</v>
      </c>
      <c r="Z634">
        <v>315.368</v>
      </c>
      <c r="AA634">
        <v>1.2978728988282</v>
      </c>
      <c r="AB634">
        <v>315.368</v>
      </c>
      <c r="AC634">
        <v>1.3302762520923</v>
      </c>
      <c r="AD634">
        <v>315.368</v>
      </c>
      <c r="AE634">
        <v>1.25513120425333</v>
      </c>
      <c r="AF634">
        <v>315.368</v>
      </c>
      <c r="AG634">
        <v>1.2915884809689</v>
      </c>
    </row>
    <row r="635" spans="24:33">
      <c r="X635">
        <v>315.867</v>
      </c>
      <c r="Y635">
        <v>1.24402356744624</v>
      </c>
      <c r="Z635">
        <v>315.867</v>
      </c>
      <c r="AA635">
        <v>1.30183556207481</v>
      </c>
      <c r="AB635">
        <v>315.867</v>
      </c>
      <c r="AC635">
        <v>1.31943340507846</v>
      </c>
      <c r="AD635">
        <v>315.867</v>
      </c>
      <c r="AE635">
        <v>1.24705735443095</v>
      </c>
      <c r="AF635">
        <v>315.867</v>
      </c>
      <c r="AG635">
        <v>1.30731358615846</v>
      </c>
    </row>
    <row r="636" spans="24:33">
      <c r="X636">
        <v>316.366</v>
      </c>
      <c r="Y636">
        <v>1.24393177882536</v>
      </c>
      <c r="Z636">
        <v>316.366</v>
      </c>
      <c r="AA636">
        <v>1.30068742646957</v>
      </c>
      <c r="AB636">
        <v>316.366</v>
      </c>
      <c r="AC636">
        <v>1.31200760880183</v>
      </c>
      <c r="AD636">
        <v>316.366</v>
      </c>
      <c r="AE636">
        <v>1.24486121562455</v>
      </c>
      <c r="AF636">
        <v>316.366</v>
      </c>
      <c r="AG636">
        <v>1.30699654626465</v>
      </c>
    </row>
    <row r="637" spans="24:33">
      <c r="X637">
        <v>316.865</v>
      </c>
      <c r="Y637">
        <v>1.24773484144265</v>
      </c>
      <c r="Z637">
        <v>316.865</v>
      </c>
      <c r="AA637">
        <v>1.29153163921089</v>
      </c>
      <c r="AB637">
        <v>316.865</v>
      </c>
      <c r="AC637">
        <v>1.3041455957163</v>
      </c>
      <c r="AD637">
        <v>316.865</v>
      </c>
      <c r="AE637">
        <v>1.25480858577317</v>
      </c>
      <c r="AF637">
        <v>316.865</v>
      </c>
      <c r="AG637">
        <v>1.29385401633216</v>
      </c>
    </row>
    <row r="638" spans="24:33">
      <c r="X638">
        <v>317.364</v>
      </c>
      <c r="Y638">
        <v>1.24910535711906</v>
      </c>
      <c r="Z638">
        <v>317.364</v>
      </c>
      <c r="AA638">
        <v>1.29759423726553</v>
      </c>
      <c r="AB638">
        <v>317.364</v>
      </c>
      <c r="AC638">
        <v>1.31071484085922</v>
      </c>
      <c r="AD638">
        <v>317.364</v>
      </c>
      <c r="AE638">
        <v>1.26014186389778</v>
      </c>
      <c r="AF638">
        <v>317.364</v>
      </c>
      <c r="AG638">
        <v>1.29859099242663</v>
      </c>
    </row>
    <row r="639" spans="24:33">
      <c r="X639">
        <v>317.863</v>
      </c>
      <c r="Y639">
        <v>1.24934517606807</v>
      </c>
      <c r="Z639">
        <v>317.863</v>
      </c>
      <c r="AA639">
        <v>1.29075100169619</v>
      </c>
      <c r="AB639">
        <v>317.863</v>
      </c>
      <c r="AC639">
        <v>1.31153683416447</v>
      </c>
      <c r="AD639">
        <v>317.863</v>
      </c>
      <c r="AE639">
        <v>1.25239974900711</v>
      </c>
      <c r="AF639">
        <v>317.863</v>
      </c>
      <c r="AG639">
        <v>1.30381992790442</v>
      </c>
    </row>
    <row r="640" spans="24:33">
      <c r="X640">
        <v>318.362</v>
      </c>
      <c r="Y640">
        <v>1.26046335035561</v>
      </c>
      <c r="Z640">
        <v>318.362</v>
      </c>
      <c r="AA640">
        <v>1.29222946559557</v>
      </c>
      <c r="AB640">
        <v>318.362</v>
      </c>
      <c r="AC640">
        <v>1.31000907937541</v>
      </c>
      <c r="AD640">
        <v>318.362</v>
      </c>
      <c r="AE640">
        <v>1.2538625109464</v>
      </c>
      <c r="AF640">
        <v>318.362</v>
      </c>
      <c r="AG640">
        <v>1.30074985842778</v>
      </c>
    </row>
    <row r="641" spans="24:33">
      <c r="X641">
        <v>318.861</v>
      </c>
      <c r="Y641">
        <v>1.24128741654512</v>
      </c>
      <c r="Z641">
        <v>318.861</v>
      </c>
      <c r="AA641">
        <v>1.29717797681887</v>
      </c>
      <c r="AB641">
        <v>318.861</v>
      </c>
      <c r="AC641">
        <v>1.31451763522936</v>
      </c>
      <c r="AD641">
        <v>318.861</v>
      </c>
      <c r="AE641">
        <v>1.25585133033084</v>
      </c>
      <c r="AF641">
        <v>318.861</v>
      </c>
      <c r="AG641">
        <v>1.29752636814825</v>
      </c>
    </row>
    <row r="642" spans="24:33">
      <c r="X642">
        <v>319.36</v>
      </c>
      <c r="Y642">
        <v>1.25365477727171</v>
      </c>
      <c r="Z642">
        <v>319.36</v>
      </c>
      <c r="AA642">
        <v>1.30001987866313</v>
      </c>
      <c r="AB642">
        <v>319.36</v>
      </c>
      <c r="AC642">
        <v>1.31142878544933</v>
      </c>
      <c r="AD642">
        <v>319.36</v>
      </c>
      <c r="AE642">
        <v>1.25691441507241</v>
      </c>
      <c r="AF642">
        <v>319.36</v>
      </c>
      <c r="AG642">
        <v>1.29928372850267</v>
      </c>
    </row>
    <row r="643" spans="24:33">
      <c r="X643">
        <v>319.859</v>
      </c>
      <c r="Y643">
        <v>1.25135658040792</v>
      </c>
      <c r="Z643">
        <v>319.859</v>
      </c>
      <c r="AA643">
        <v>1.29998049921588</v>
      </c>
      <c r="AB643">
        <v>319.859</v>
      </c>
      <c r="AC643">
        <v>1.31793045347624</v>
      </c>
      <c r="AD643">
        <v>319.859</v>
      </c>
      <c r="AE643">
        <v>1.26063040856716</v>
      </c>
      <c r="AF643">
        <v>319.859</v>
      </c>
      <c r="AG643">
        <v>1.29953391457688</v>
      </c>
    </row>
    <row r="644" spans="24:33">
      <c r="X644">
        <v>320.358</v>
      </c>
      <c r="Y644">
        <v>1.23958245357052</v>
      </c>
      <c r="Z644">
        <v>320.358</v>
      </c>
      <c r="AA644">
        <v>1.29656433739261</v>
      </c>
      <c r="AB644">
        <v>320.358</v>
      </c>
      <c r="AC644">
        <v>1.3171189404359</v>
      </c>
      <c r="AD644">
        <v>320.358</v>
      </c>
      <c r="AE644">
        <v>1.26655309357976</v>
      </c>
      <c r="AF644">
        <v>320.358</v>
      </c>
      <c r="AG644">
        <v>1.30775902448683</v>
      </c>
    </row>
    <row r="645" spans="24:33">
      <c r="X645">
        <v>320.857</v>
      </c>
      <c r="Y645">
        <v>1.24972892219872</v>
      </c>
      <c r="Z645">
        <v>320.857</v>
      </c>
      <c r="AA645">
        <v>1.31052511046602</v>
      </c>
      <c r="AB645">
        <v>320.857</v>
      </c>
      <c r="AC645">
        <v>1.31109352685237</v>
      </c>
      <c r="AD645">
        <v>320.857</v>
      </c>
      <c r="AE645">
        <v>1.26459394497967</v>
      </c>
      <c r="AF645">
        <v>320.857</v>
      </c>
      <c r="AG645">
        <v>1.31712630120377</v>
      </c>
    </row>
    <row r="646" spans="24:33">
      <c r="X646">
        <v>321.356</v>
      </c>
      <c r="Y646">
        <v>1.24377933465231</v>
      </c>
      <c r="Z646">
        <v>321.356</v>
      </c>
      <c r="AA646">
        <v>1.29962350669579</v>
      </c>
      <c r="AB646">
        <v>321.356</v>
      </c>
      <c r="AC646">
        <v>1.31977399678622</v>
      </c>
      <c r="AD646">
        <v>321.356</v>
      </c>
      <c r="AE646">
        <v>1.27006333253483</v>
      </c>
      <c r="AF646">
        <v>321.356</v>
      </c>
      <c r="AG646">
        <v>1.31622426296004</v>
      </c>
    </row>
    <row r="647" spans="24:33">
      <c r="X647">
        <v>321.855</v>
      </c>
      <c r="Y647">
        <v>1.24448240633429</v>
      </c>
      <c r="Z647">
        <v>321.855</v>
      </c>
      <c r="AA647">
        <v>1.29289697659517</v>
      </c>
      <c r="AB647">
        <v>321.855</v>
      </c>
      <c r="AC647">
        <v>1.31807122651138</v>
      </c>
      <c r="AD647">
        <v>321.855</v>
      </c>
      <c r="AE647">
        <v>1.27053291680078</v>
      </c>
      <c r="AF647">
        <v>321.855</v>
      </c>
      <c r="AG647">
        <v>1.30356860878801</v>
      </c>
    </row>
    <row r="648" spans="24:33">
      <c r="X648">
        <v>322.354</v>
      </c>
      <c r="Y648">
        <v>1.2438851730371</v>
      </c>
      <c r="Z648">
        <v>322.354</v>
      </c>
      <c r="AA648">
        <v>1.29980957563823</v>
      </c>
      <c r="AB648">
        <v>322.354</v>
      </c>
      <c r="AC648">
        <v>1.31619187107208</v>
      </c>
      <c r="AD648">
        <v>322.354</v>
      </c>
      <c r="AE648">
        <v>1.25902213263063</v>
      </c>
      <c r="AF648">
        <v>322.354</v>
      </c>
      <c r="AG648">
        <v>1.30551460595316</v>
      </c>
    </row>
    <row r="649" spans="24:33">
      <c r="X649">
        <v>322.853</v>
      </c>
      <c r="Y649">
        <v>1.24100887425349</v>
      </c>
      <c r="Z649">
        <v>322.853</v>
      </c>
      <c r="AA649">
        <v>1.29515545034383</v>
      </c>
      <c r="AB649">
        <v>322.853</v>
      </c>
      <c r="AC649">
        <v>1.31814056130167</v>
      </c>
      <c r="AD649">
        <v>322.853</v>
      </c>
      <c r="AE649">
        <v>1.26276471942228</v>
      </c>
      <c r="AF649">
        <v>322.853</v>
      </c>
      <c r="AG649">
        <v>1.30514036859843</v>
      </c>
    </row>
    <row r="650" spans="24:33">
      <c r="X650">
        <v>323.352</v>
      </c>
      <c r="Y650">
        <v>1.24194978064942</v>
      </c>
      <c r="Z650">
        <v>323.352</v>
      </c>
      <c r="AA650">
        <v>1.31036911879113</v>
      </c>
      <c r="AB650">
        <v>323.352</v>
      </c>
      <c r="AC650">
        <v>1.30984653801989</v>
      </c>
      <c r="AD650">
        <v>323.352</v>
      </c>
      <c r="AE650">
        <v>1.25102576824974</v>
      </c>
      <c r="AF650">
        <v>323.352</v>
      </c>
      <c r="AG650">
        <v>1.30544316682866</v>
      </c>
    </row>
    <row r="651" spans="24:33">
      <c r="X651">
        <v>323.851</v>
      </c>
      <c r="Y651">
        <v>1.24611036388127</v>
      </c>
      <c r="Z651">
        <v>323.851</v>
      </c>
      <c r="AA651">
        <v>1.30102134458523</v>
      </c>
      <c r="AB651">
        <v>323.851</v>
      </c>
      <c r="AC651">
        <v>1.31646216552708</v>
      </c>
      <c r="AD651">
        <v>323.851</v>
      </c>
      <c r="AE651">
        <v>1.25603219895573</v>
      </c>
      <c r="AF651">
        <v>323.851</v>
      </c>
      <c r="AG651">
        <v>1.30231296245375</v>
      </c>
    </row>
    <row r="652" spans="24:33">
      <c r="X652">
        <v>324.35</v>
      </c>
      <c r="Y652">
        <v>1.24515036624587</v>
      </c>
      <c r="Z652">
        <v>324.35</v>
      </c>
      <c r="AA652">
        <v>1.2875243345521</v>
      </c>
      <c r="AB652">
        <v>324.35</v>
      </c>
      <c r="AC652">
        <v>1.31702047087953</v>
      </c>
      <c r="AD652">
        <v>324.35</v>
      </c>
      <c r="AE652">
        <v>1.25179029546253</v>
      </c>
      <c r="AF652">
        <v>324.35</v>
      </c>
      <c r="AG652">
        <v>1.30551659403681</v>
      </c>
    </row>
    <row r="653" spans="24:33">
      <c r="X653">
        <v>324.849</v>
      </c>
      <c r="Y653">
        <v>1.24220743432567</v>
      </c>
      <c r="Z653">
        <v>324.849</v>
      </c>
      <c r="AA653">
        <v>1.3028155219984</v>
      </c>
      <c r="AB653">
        <v>324.849</v>
      </c>
      <c r="AC653">
        <v>1.31899981951257</v>
      </c>
      <c r="AD653">
        <v>324.849</v>
      </c>
      <c r="AE653">
        <v>1.24809859828267</v>
      </c>
      <c r="AF653">
        <v>324.849</v>
      </c>
      <c r="AG653">
        <v>1.3104459219644</v>
      </c>
    </row>
    <row r="654" spans="24:33">
      <c r="X654">
        <v>325.348</v>
      </c>
      <c r="Y654">
        <v>1.24489317670708</v>
      </c>
      <c r="Z654">
        <v>325.348</v>
      </c>
      <c r="AA654">
        <v>1.30328157319155</v>
      </c>
      <c r="AB654">
        <v>325.348</v>
      </c>
      <c r="AC654">
        <v>1.31391220731948</v>
      </c>
      <c r="AD654">
        <v>325.348</v>
      </c>
      <c r="AE654">
        <v>1.25644275515838</v>
      </c>
      <c r="AF654">
        <v>325.348</v>
      </c>
      <c r="AG654">
        <v>1.31529440836631</v>
      </c>
    </row>
    <row r="655" spans="24:33">
      <c r="X655">
        <v>325.847</v>
      </c>
      <c r="Y655">
        <v>1.25115722739107</v>
      </c>
      <c r="Z655">
        <v>325.847</v>
      </c>
      <c r="AA655">
        <v>1.29611756769984</v>
      </c>
      <c r="AB655">
        <v>325.847</v>
      </c>
      <c r="AC655">
        <v>1.3164971462082</v>
      </c>
      <c r="AD655">
        <v>325.847</v>
      </c>
      <c r="AE655">
        <v>1.25109216710318</v>
      </c>
      <c r="AF655">
        <v>325.847</v>
      </c>
      <c r="AG655">
        <v>1.3162425702384</v>
      </c>
    </row>
    <row r="656" spans="24:33">
      <c r="X656">
        <v>326.346</v>
      </c>
      <c r="Y656">
        <v>1.24952182688017</v>
      </c>
      <c r="Z656">
        <v>326.346</v>
      </c>
      <c r="AA656">
        <v>1.29842292155805</v>
      </c>
      <c r="AB656">
        <v>326.346</v>
      </c>
      <c r="AC656">
        <v>1.32125855592207</v>
      </c>
      <c r="AD656">
        <v>326.346</v>
      </c>
      <c r="AE656">
        <v>1.24978955133138</v>
      </c>
      <c r="AF656">
        <v>326.346</v>
      </c>
      <c r="AG656">
        <v>1.30650426045263</v>
      </c>
    </row>
    <row r="657" spans="24:33">
      <c r="X657">
        <v>326.845</v>
      </c>
      <c r="Y657">
        <v>1.24839384869493</v>
      </c>
      <c r="Z657">
        <v>326.845</v>
      </c>
      <c r="AA657">
        <v>1.30109821945033</v>
      </c>
      <c r="AB657">
        <v>326.845</v>
      </c>
      <c r="AC657">
        <v>1.31048731052239</v>
      </c>
      <c r="AD657">
        <v>326.845</v>
      </c>
      <c r="AE657">
        <v>1.25096756393097</v>
      </c>
      <c r="AF657">
        <v>326.845</v>
      </c>
      <c r="AG657">
        <v>1.30940907588043</v>
      </c>
    </row>
    <row r="658" spans="24:33">
      <c r="X658">
        <v>327.344</v>
      </c>
      <c r="Y658">
        <v>1.24931525054347</v>
      </c>
      <c r="Z658">
        <v>327.344</v>
      </c>
      <c r="AA658">
        <v>1.29917250979928</v>
      </c>
      <c r="AB658">
        <v>327.344</v>
      </c>
      <c r="AC658">
        <v>1.31182325873765</v>
      </c>
      <c r="AD658">
        <v>327.344</v>
      </c>
      <c r="AE658">
        <v>1.25924422157582</v>
      </c>
      <c r="AF658">
        <v>327.344</v>
      </c>
      <c r="AG658">
        <v>1.32007204819231</v>
      </c>
    </row>
    <row r="659" spans="24:33">
      <c r="X659">
        <v>327.843</v>
      </c>
      <c r="Y659">
        <v>1.25351680731638</v>
      </c>
      <c r="Z659">
        <v>327.843</v>
      </c>
      <c r="AA659">
        <v>1.30051729611074</v>
      </c>
      <c r="AB659">
        <v>327.843</v>
      </c>
      <c r="AC659">
        <v>1.30319927266873</v>
      </c>
      <c r="AD659">
        <v>327.843</v>
      </c>
      <c r="AE659">
        <v>1.24800435021145</v>
      </c>
      <c r="AF659">
        <v>327.843</v>
      </c>
      <c r="AG659">
        <v>1.31439078208051</v>
      </c>
    </row>
    <row r="660" spans="24:33">
      <c r="X660">
        <v>328.342</v>
      </c>
      <c r="Y660">
        <v>1.25441238720235</v>
      </c>
      <c r="Z660">
        <v>328.342</v>
      </c>
      <c r="AA660">
        <v>1.30057080696701</v>
      </c>
      <c r="AB660">
        <v>328.342</v>
      </c>
      <c r="AC660">
        <v>1.30110933075129</v>
      </c>
      <c r="AD660">
        <v>328.342</v>
      </c>
      <c r="AE660">
        <v>1.24781250065393</v>
      </c>
      <c r="AF660">
        <v>328.342</v>
      </c>
      <c r="AG660">
        <v>1.32094695215039</v>
      </c>
    </row>
    <row r="661" spans="24:33">
      <c r="X661">
        <v>328.841</v>
      </c>
      <c r="Y661">
        <v>1.24815044082411</v>
      </c>
      <c r="Z661">
        <v>328.841</v>
      </c>
      <c r="AA661">
        <v>1.29860689233536</v>
      </c>
      <c r="AB661">
        <v>328.841</v>
      </c>
      <c r="AC661">
        <v>1.30885870166742</v>
      </c>
      <c r="AD661">
        <v>328.841</v>
      </c>
      <c r="AE661">
        <v>1.25431047270938</v>
      </c>
      <c r="AF661">
        <v>328.841</v>
      </c>
      <c r="AG661">
        <v>1.32317056861877</v>
      </c>
    </row>
    <row r="662" spans="24:33">
      <c r="X662">
        <v>329.34</v>
      </c>
      <c r="Y662">
        <v>1.24493991452226</v>
      </c>
      <c r="Z662">
        <v>329.34</v>
      </c>
      <c r="AA662">
        <v>1.29281513222329</v>
      </c>
      <c r="AB662">
        <v>329.34</v>
      </c>
      <c r="AC662">
        <v>1.31422097505302</v>
      </c>
      <c r="AD662">
        <v>329.34</v>
      </c>
      <c r="AE662">
        <v>1.26315021430277</v>
      </c>
      <c r="AF662">
        <v>329.34</v>
      </c>
      <c r="AG662">
        <v>1.30876679902621</v>
      </c>
    </row>
    <row r="663" spans="24:33">
      <c r="X663">
        <v>329.839</v>
      </c>
      <c r="Y663">
        <v>1.24639997105596</v>
      </c>
      <c r="Z663">
        <v>329.839</v>
      </c>
      <c r="AA663">
        <v>1.29219345103445</v>
      </c>
      <c r="AB663">
        <v>329.839</v>
      </c>
      <c r="AC663">
        <v>1.31038158933417</v>
      </c>
      <c r="AD663">
        <v>329.839</v>
      </c>
      <c r="AE663">
        <v>1.2631836210883</v>
      </c>
      <c r="AF663">
        <v>329.839</v>
      </c>
      <c r="AG663">
        <v>1.31487671168654</v>
      </c>
    </row>
    <row r="664" spans="24:33">
      <c r="X664">
        <v>330.338</v>
      </c>
      <c r="Y664">
        <v>1.25114482990558</v>
      </c>
      <c r="Z664">
        <v>330.338</v>
      </c>
      <c r="AA664">
        <v>1.29243334087478</v>
      </c>
      <c r="AB664">
        <v>330.338</v>
      </c>
      <c r="AC664">
        <v>1.31464803799808</v>
      </c>
      <c r="AD664">
        <v>330.338</v>
      </c>
      <c r="AE664">
        <v>1.26286894889472</v>
      </c>
      <c r="AF664">
        <v>330.338</v>
      </c>
      <c r="AG664">
        <v>1.31813513335284</v>
      </c>
    </row>
    <row r="665" spans="24:33">
      <c r="X665">
        <v>330.837</v>
      </c>
      <c r="Y665">
        <v>1.24896164152227</v>
      </c>
      <c r="Z665">
        <v>330.837</v>
      </c>
      <c r="AA665">
        <v>1.29485511241677</v>
      </c>
      <c r="AB665">
        <v>330.837</v>
      </c>
      <c r="AC665">
        <v>1.31834583210187</v>
      </c>
      <c r="AD665">
        <v>330.837</v>
      </c>
      <c r="AE665">
        <v>1.2638160727638</v>
      </c>
      <c r="AF665">
        <v>330.837</v>
      </c>
      <c r="AG665">
        <v>1.31190460785874</v>
      </c>
    </row>
    <row r="666" spans="24:33">
      <c r="X666">
        <v>331.336</v>
      </c>
      <c r="Y666">
        <v>1.2464380712884</v>
      </c>
      <c r="Z666">
        <v>331.336</v>
      </c>
      <c r="AA666">
        <v>1.30114596292195</v>
      </c>
      <c r="AB666">
        <v>331.336</v>
      </c>
      <c r="AC666">
        <v>1.31537042313064</v>
      </c>
      <c r="AD666">
        <v>331.336</v>
      </c>
      <c r="AE666">
        <v>1.25304860853007</v>
      </c>
      <c r="AF666">
        <v>331.336</v>
      </c>
      <c r="AG666">
        <v>1.31187285750152</v>
      </c>
    </row>
    <row r="667" spans="24:33">
      <c r="X667">
        <v>331.835</v>
      </c>
      <c r="Y667">
        <v>1.25012242084943</v>
      </c>
      <c r="Z667">
        <v>331.835</v>
      </c>
      <c r="AA667">
        <v>1.30201679249428</v>
      </c>
      <c r="AB667">
        <v>331.835</v>
      </c>
      <c r="AC667">
        <v>1.31520378395344</v>
      </c>
      <c r="AD667">
        <v>331.835</v>
      </c>
      <c r="AE667">
        <v>1.24702643249306</v>
      </c>
      <c r="AF667">
        <v>331.835</v>
      </c>
      <c r="AG667">
        <v>1.30938398084687</v>
      </c>
    </row>
    <row r="668" spans="24:33">
      <c r="X668">
        <v>332.334</v>
      </c>
      <c r="Y668">
        <v>1.24700981109488</v>
      </c>
      <c r="Z668">
        <v>332.334</v>
      </c>
      <c r="AA668">
        <v>1.29343975150802</v>
      </c>
      <c r="AB668">
        <v>332.334</v>
      </c>
      <c r="AC668">
        <v>1.31652393039196</v>
      </c>
      <c r="AD668">
        <v>332.334</v>
      </c>
      <c r="AE668">
        <v>1.26077376434072</v>
      </c>
      <c r="AF668">
        <v>332.334</v>
      </c>
      <c r="AG668">
        <v>1.31694934799079</v>
      </c>
    </row>
    <row r="669" spans="24:33">
      <c r="X669">
        <v>332.833</v>
      </c>
      <c r="Y669">
        <v>1.24418608843013</v>
      </c>
      <c r="Z669">
        <v>332.833</v>
      </c>
      <c r="AA669">
        <v>1.29584591807268</v>
      </c>
      <c r="AB669">
        <v>332.833</v>
      </c>
      <c r="AC669">
        <v>1.31383575769273</v>
      </c>
      <c r="AD669">
        <v>332.833</v>
      </c>
      <c r="AE669">
        <v>1.25805391851664</v>
      </c>
      <c r="AF669">
        <v>332.833</v>
      </c>
      <c r="AG669">
        <v>1.31626732487215</v>
      </c>
    </row>
    <row r="670" spans="24:33">
      <c r="X670">
        <v>333.332</v>
      </c>
      <c r="Y670">
        <v>1.24108654202369</v>
      </c>
      <c r="Z670">
        <v>333.332</v>
      </c>
      <c r="AA670">
        <v>1.29170096530516</v>
      </c>
      <c r="AB670">
        <v>333.332</v>
      </c>
      <c r="AC670">
        <v>1.30750902828361</v>
      </c>
      <c r="AD670">
        <v>333.332</v>
      </c>
      <c r="AE670">
        <v>1.25122759763249</v>
      </c>
      <c r="AF670">
        <v>333.332</v>
      </c>
      <c r="AG670">
        <v>1.30957503896778</v>
      </c>
    </row>
    <row r="671" spans="24:33">
      <c r="X671">
        <v>333.831</v>
      </c>
      <c r="Y671">
        <v>1.25095407253574</v>
      </c>
      <c r="Z671">
        <v>333.831</v>
      </c>
      <c r="AA671">
        <v>1.30188909559255</v>
      </c>
      <c r="AB671">
        <v>333.831</v>
      </c>
      <c r="AC671">
        <v>1.31318533403703</v>
      </c>
      <c r="AD671">
        <v>333.831</v>
      </c>
      <c r="AE671">
        <v>1.25698110218821</v>
      </c>
      <c r="AF671">
        <v>333.831</v>
      </c>
      <c r="AG671">
        <v>1.31671392686912</v>
      </c>
    </row>
    <row r="672" spans="24:33">
      <c r="X672">
        <v>334.33</v>
      </c>
      <c r="Y672">
        <v>1.24413203953935</v>
      </c>
      <c r="Z672">
        <v>334.33</v>
      </c>
      <c r="AA672">
        <v>1.29757334021814</v>
      </c>
      <c r="AB672">
        <v>334.33</v>
      </c>
      <c r="AC672">
        <v>1.31270483738345</v>
      </c>
      <c r="AD672">
        <v>334.33</v>
      </c>
      <c r="AE672">
        <v>1.25894091178506</v>
      </c>
      <c r="AF672">
        <v>334.33</v>
      </c>
      <c r="AG672">
        <v>1.3126737487177</v>
      </c>
    </row>
    <row r="673" spans="24:33">
      <c r="X673">
        <v>334.829</v>
      </c>
      <c r="Y673">
        <v>1.25080086571572</v>
      </c>
      <c r="Z673">
        <v>334.829</v>
      </c>
      <c r="AA673">
        <v>1.29538633387525</v>
      </c>
      <c r="AB673">
        <v>334.829</v>
      </c>
      <c r="AC673">
        <v>1.30902057706095</v>
      </c>
      <c r="AD673">
        <v>334.829</v>
      </c>
      <c r="AE673">
        <v>1.26339997975695</v>
      </c>
      <c r="AF673">
        <v>334.829</v>
      </c>
      <c r="AG673">
        <v>1.30339205101983</v>
      </c>
    </row>
    <row r="674" spans="24:33">
      <c r="X674">
        <v>335.328</v>
      </c>
      <c r="Y674">
        <v>1.25073576130391</v>
      </c>
      <c r="Z674">
        <v>335.328</v>
      </c>
      <c r="AA674">
        <v>1.29802682162352</v>
      </c>
      <c r="AB674">
        <v>335.328</v>
      </c>
      <c r="AC674">
        <v>1.31328082066438</v>
      </c>
      <c r="AD674">
        <v>335.328</v>
      </c>
      <c r="AE674">
        <v>1.26146609853658</v>
      </c>
      <c r="AF674">
        <v>335.328</v>
      </c>
      <c r="AG674">
        <v>1.30622644953468</v>
      </c>
    </row>
    <row r="675" spans="24:33">
      <c r="X675">
        <v>335.827</v>
      </c>
      <c r="Y675">
        <v>1.24205318750744</v>
      </c>
      <c r="Z675">
        <v>335.827</v>
      </c>
      <c r="AA675">
        <v>1.28102831506173</v>
      </c>
      <c r="AB675">
        <v>335.827</v>
      </c>
      <c r="AC675">
        <v>1.31893994960263</v>
      </c>
      <c r="AD675">
        <v>335.827</v>
      </c>
      <c r="AE675">
        <v>1.25864829065954</v>
      </c>
      <c r="AF675">
        <v>335.827</v>
      </c>
      <c r="AG675">
        <v>1.32011562343156</v>
      </c>
    </row>
    <row r="676" spans="24:33">
      <c r="X676">
        <v>336.326</v>
      </c>
      <c r="Y676">
        <v>1.24180640149682</v>
      </c>
      <c r="Z676">
        <v>336.326</v>
      </c>
      <c r="AA676">
        <v>1.29445402221195</v>
      </c>
      <c r="AB676">
        <v>336.326</v>
      </c>
      <c r="AC676">
        <v>1.31518092153922</v>
      </c>
      <c r="AD676">
        <v>336.326</v>
      </c>
      <c r="AE676">
        <v>1.25637529946385</v>
      </c>
      <c r="AF676">
        <v>336.326</v>
      </c>
      <c r="AG676">
        <v>1.31798656884696</v>
      </c>
    </row>
    <row r="677" spans="24:33">
      <c r="X677">
        <v>336.825</v>
      </c>
      <c r="Y677">
        <v>1.25895342720057</v>
      </c>
      <c r="Z677">
        <v>336.825</v>
      </c>
      <c r="AA677">
        <v>1.29080893701969</v>
      </c>
      <c r="AB677">
        <v>336.825</v>
      </c>
      <c r="AC677">
        <v>1.31273690858438</v>
      </c>
      <c r="AD677">
        <v>336.825</v>
      </c>
      <c r="AE677">
        <v>1.24863695778773</v>
      </c>
      <c r="AF677">
        <v>336.825</v>
      </c>
      <c r="AG677">
        <v>1.30805991420989</v>
      </c>
    </row>
    <row r="678" spans="24:33">
      <c r="X678">
        <v>337.324</v>
      </c>
      <c r="Y678">
        <v>1.25229077232371</v>
      </c>
      <c r="Z678">
        <v>337.324</v>
      </c>
      <c r="AA678">
        <v>1.29273941219005</v>
      </c>
      <c r="AB678">
        <v>337.324</v>
      </c>
      <c r="AC678">
        <v>1.30933497809965</v>
      </c>
      <c r="AD678">
        <v>337.324</v>
      </c>
      <c r="AE678">
        <v>1.25142827307339</v>
      </c>
      <c r="AF678">
        <v>337.324</v>
      </c>
      <c r="AG678">
        <v>1.31335150153715</v>
      </c>
    </row>
    <row r="679" spans="24:33">
      <c r="X679">
        <v>337.823</v>
      </c>
      <c r="Y679">
        <v>1.2480875895003</v>
      </c>
      <c r="Z679">
        <v>337.823</v>
      </c>
      <c r="AA679">
        <v>1.30071729917307</v>
      </c>
      <c r="AB679">
        <v>337.823</v>
      </c>
      <c r="AC679">
        <v>1.31679172746774</v>
      </c>
      <c r="AD679">
        <v>337.823</v>
      </c>
      <c r="AE679">
        <v>1.25855359375554</v>
      </c>
      <c r="AF679">
        <v>337.823</v>
      </c>
      <c r="AG679">
        <v>1.31482235715268</v>
      </c>
    </row>
    <row r="680" spans="24:33">
      <c r="X680">
        <v>338.322</v>
      </c>
      <c r="Y680">
        <v>1.24419298537607</v>
      </c>
      <c r="Z680">
        <v>338.322</v>
      </c>
      <c r="AA680">
        <v>1.2991711207462</v>
      </c>
      <c r="AB680">
        <v>338.322</v>
      </c>
      <c r="AC680">
        <v>1.3186966627473</v>
      </c>
      <c r="AD680">
        <v>338.322</v>
      </c>
      <c r="AE680">
        <v>1.25595823357457</v>
      </c>
      <c r="AF680">
        <v>338.322</v>
      </c>
      <c r="AG680">
        <v>1.30588189658897</v>
      </c>
    </row>
    <row r="681" spans="24:33">
      <c r="X681">
        <v>338.821</v>
      </c>
      <c r="Y681">
        <v>1.25704668053651</v>
      </c>
      <c r="Z681">
        <v>338.821</v>
      </c>
      <c r="AA681">
        <v>1.30284931020297</v>
      </c>
      <c r="AB681">
        <v>338.821</v>
      </c>
      <c r="AC681">
        <v>1.31231222548253</v>
      </c>
      <c r="AD681">
        <v>338.821</v>
      </c>
      <c r="AE681">
        <v>1.25701675757488</v>
      </c>
      <c r="AF681">
        <v>338.821</v>
      </c>
      <c r="AG681">
        <v>1.31196213731265</v>
      </c>
    </row>
    <row r="682" spans="24:33">
      <c r="X682">
        <v>339.32</v>
      </c>
      <c r="Y682">
        <v>1.25874373410619</v>
      </c>
      <c r="Z682">
        <v>339.32</v>
      </c>
      <c r="AA682">
        <v>1.29545971017569</v>
      </c>
      <c r="AB682">
        <v>339.32</v>
      </c>
      <c r="AC682">
        <v>1.32295318884994</v>
      </c>
      <c r="AD682">
        <v>339.32</v>
      </c>
      <c r="AE682">
        <v>1.25718205282668</v>
      </c>
      <c r="AF682">
        <v>339.32</v>
      </c>
      <c r="AG682">
        <v>1.31568375354879</v>
      </c>
    </row>
    <row r="683" spans="24:33">
      <c r="X683">
        <v>339.819</v>
      </c>
      <c r="Y683">
        <v>1.24879465115793</v>
      </c>
      <c r="Z683">
        <v>339.819</v>
      </c>
      <c r="AA683">
        <v>1.2958850635569</v>
      </c>
      <c r="AB683">
        <v>339.819</v>
      </c>
      <c r="AC683">
        <v>1.31111978964727</v>
      </c>
      <c r="AD683">
        <v>339.819</v>
      </c>
      <c r="AE683">
        <v>1.26368005620281</v>
      </c>
      <c r="AF683">
        <v>339.819</v>
      </c>
      <c r="AG683">
        <v>1.32098302293005</v>
      </c>
    </row>
    <row r="684" spans="24:33">
      <c r="X684">
        <v>340.318</v>
      </c>
      <c r="Y684">
        <v>1.25081120935906</v>
      </c>
      <c r="Z684">
        <v>340.318</v>
      </c>
      <c r="AA684">
        <v>1.29954884827096</v>
      </c>
      <c r="AB684">
        <v>340.318</v>
      </c>
      <c r="AC684">
        <v>1.32403210076085</v>
      </c>
      <c r="AD684">
        <v>340.318</v>
      </c>
      <c r="AE684">
        <v>1.26104761597526</v>
      </c>
      <c r="AF684">
        <v>340.318</v>
      </c>
      <c r="AG684">
        <v>1.32069322331724</v>
      </c>
    </row>
    <row r="685" spans="24:33">
      <c r="X685">
        <v>340.817</v>
      </c>
      <c r="Y685">
        <v>1.25511713504954</v>
      </c>
      <c r="Z685">
        <v>340.817</v>
      </c>
      <c r="AA685">
        <v>1.29240970736932</v>
      </c>
      <c r="AB685">
        <v>340.817</v>
      </c>
      <c r="AC685">
        <v>1.32064151050163</v>
      </c>
      <c r="AD685">
        <v>340.817</v>
      </c>
      <c r="AE685">
        <v>1.25691501187129</v>
      </c>
      <c r="AF685">
        <v>340.817</v>
      </c>
      <c r="AG685">
        <v>1.32403658334126</v>
      </c>
    </row>
    <row r="686" spans="24:33">
      <c r="X686">
        <v>341.316</v>
      </c>
      <c r="Y686">
        <v>1.24752726723895</v>
      </c>
      <c r="Z686">
        <v>341.316</v>
      </c>
      <c r="AA686">
        <v>1.29848920944034</v>
      </c>
      <c r="AB686">
        <v>341.316</v>
      </c>
      <c r="AC686">
        <v>1.31627642091321</v>
      </c>
      <c r="AD686">
        <v>341.316</v>
      </c>
      <c r="AE686">
        <v>1.26387547802991</v>
      </c>
      <c r="AF686">
        <v>341.316</v>
      </c>
      <c r="AG686">
        <v>1.33157562757002</v>
      </c>
    </row>
    <row r="687" spans="24:33">
      <c r="X687">
        <v>341.815</v>
      </c>
      <c r="Y687">
        <v>1.24554018905564</v>
      </c>
      <c r="Z687">
        <v>341.815</v>
      </c>
      <c r="AA687">
        <v>1.29745647904786</v>
      </c>
      <c r="AB687">
        <v>341.815</v>
      </c>
      <c r="AC687">
        <v>1.32656928975008</v>
      </c>
      <c r="AD687">
        <v>341.815</v>
      </c>
      <c r="AE687">
        <v>1.27177964662818</v>
      </c>
      <c r="AF687">
        <v>341.815</v>
      </c>
      <c r="AG687">
        <v>1.32325681282067</v>
      </c>
    </row>
    <row r="688" spans="24:33">
      <c r="X688">
        <v>342.314</v>
      </c>
      <c r="Y688">
        <v>1.24879678234436</v>
      </c>
      <c r="Z688">
        <v>342.314</v>
      </c>
      <c r="AA688">
        <v>1.29697514131414</v>
      </c>
      <c r="AB688">
        <v>342.314</v>
      </c>
      <c r="AC688">
        <v>1.31591120959812</v>
      </c>
      <c r="AD688">
        <v>342.314</v>
      </c>
      <c r="AE688">
        <v>1.26030283803037</v>
      </c>
      <c r="AF688">
        <v>342.314</v>
      </c>
      <c r="AG688">
        <v>1.31671692699606</v>
      </c>
    </row>
    <row r="689" spans="24:33">
      <c r="X689">
        <v>342.813</v>
      </c>
      <c r="Y689">
        <v>1.25886042118097</v>
      </c>
      <c r="Z689">
        <v>342.813</v>
      </c>
      <c r="AA689">
        <v>1.29573864713385</v>
      </c>
      <c r="AB689">
        <v>342.813</v>
      </c>
      <c r="AC689">
        <v>1.30577741345535</v>
      </c>
      <c r="AD689">
        <v>342.813</v>
      </c>
      <c r="AE689">
        <v>1.26539537336446</v>
      </c>
      <c r="AF689">
        <v>342.813</v>
      </c>
      <c r="AG689">
        <v>1.32667700097596</v>
      </c>
    </row>
    <row r="690" spans="24:33">
      <c r="X690">
        <v>343.312</v>
      </c>
      <c r="Y690">
        <v>1.26682312661031</v>
      </c>
      <c r="Z690">
        <v>343.312</v>
      </c>
      <c r="AA690">
        <v>1.29228491096325</v>
      </c>
      <c r="AB690">
        <v>343.312</v>
      </c>
      <c r="AC690">
        <v>1.3162727916838</v>
      </c>
      <c r="AD690">
        <v>343.312</v>
      </c>
      <c r="AE690">
        <v>1.26327074643585</v>
      </c>
      <c r="AF690">
        <v>343.312</v>
      </c>
      <c r="AG690">
        <v>1.32371721719946</v>
      </c>
    </row>
    <row r="691" spans="24:33">
      <c r="X691">
        <v>343.811</v>
      </c>
      <c r="Y691">
        <v>1.25512023811217</v>
      </c>
      <c r="Z691">
        <v>343.811</v>
      </c>
      <c r="AA691">
        <v>1.29124947729404</v>
      </c>
      <c r="AB691">
        <v>343.811</v>
      </c>
      <c r="AC691">
        <v>1.32286223157449</v>
      </c>
      <c r="AD691">
        <v>343.811</v>
      </c>
      <c r="AE691">
        <v>1.25590704781122</v>
      </c>
      <c r="AF691">
        <v>343.811</v>
      </c>
      <c r="AG691">
        <v>1.3150640052981</v>
      </c>
    </row>
    <row r="692" spans="24:33">
      <c r="X692">
        <v>344.31</v>
      </c>
      <c r="Y692">
        <v>1.25849314066196</v>
      </c>
      <c r="Z692">
        <v>344.31</v>
      </c>
      <c r="AA692">
        <v>1.28611395560239</v>
      </c>
      <c r="AB692">
        <v>344.31</v>
      </c>
      <c r="AC692">
        <v>1.31823582820304</v>
      </c>
      <c r="AD692">
        <v>344.31</v>
      </c>
      <c r="AE692">
        <v>1.25706005875818</v>
      </c>
      <c r="AF692">
        <v>344.31</v>
      </c>
      <c r="AG692">
        <v>1.30873308681819</v>
      </c>
    </row>
    <row r="693" spans="24:33">
      <c r="X693">
        <v>344.809</v>
      </c>
      <c r="Y693">
        <v>1.26406011424798</v>
      </c>
      <c r="Z693">
        <v>344.809</v>
      </c>
      <c r="AA693">
        <v>1.29400293110993</v>
      </c>
      <c r="AB693">
        <v>344.809</v>
      </c>
      <c r="AC693">
        <v>1.31538011836654</v>
      </c>
      <c r="AD693">
        <v>344.809</v>
      </c>
      <c r="AE693">
        <v>1.25682111262039</v>
      </c>
      <c r="AF693">
        <v>344.809</v>
      </c>
      <c r="AG693">
        <v>1.30883896011352</v>
      </c>
    </row>
    <row r="694" spans="24:33">
      <c r="X694">
        <v>345.308</v>
      </c>
      <c r="Y694">
        <v>1.26193024102197</v>
      </c>
      <c r="Z694">
        <v>345.308</v>
      </c>
      <c r="AA694">
        <v>1.29184008380211</v>
      </c>
      <c r="AB694">
        <v>345.308</v>
      </c>
      <c r="AC694">
        <v>1.29986522347454</v>
      </c>
      <c r="AD694">
        <v>345.308</v>
      </c>
      <c r="AE694">
        <v>1.26506476247091</v>
      </c>
      <c r="AF694">
        <v>345.308</v>
      </c>
      <c r="AG694">
        <v>1.30960846926402</v>
      </c>
    </row>
    <row r="695" spans="24:33">
      <c r="X695">
        <v>345.807</v>
      </c>
      <c r="Y695">
        <v>1.26428043766199</v>
      </c>
      <c r="Z695">
        <v>345.807</v>
      </c>
      <c r="AA695">
        <v>1.29936451043727</v>
      </c>
      <c r="AB695">
        <v>345.807</v>
      </c>
      <c r="AC695">
        <v>1.31793234832869</v>
      </c>
      <c r="AD695">
        <v>345.807</v>
      </c>
      <c r="AE695">
        <v>1.26187885312483</v>
      </c>
      <c r="AF695">
        <v>345.807</v>
      </c>
      <c r="AG695">
        <v>1.32448057221131</v>
      </c>
    </row>
    <row r="696" spans="24:33">
      <c r="X696">
        <v>346.306</v>
      </c>
      <c r="Y696">
        <v>1.26192667548097</v>
      </c>
      <c r="Z696">
        <v>346.306</v>
      </c>
      <c r="AA696">
        <v>1.28963808514895</v>
      </c>
      <c r="AB696">
        <v>346.306</v>
      </c>
      <c r="AC696">
        <v>1.31649032982651</v>
      </c>
      <c r="AD696">
        <v>346.306</v>
      </c>
      <c r="AE696">
        <v>1.27263065479632</v>
      </c>
      <c r="AF696">
        <v>346.306</v>
      </c>
      <c r="AG696">
        <v>1.32174551273066</v>
      </c>
    </row>
    <row r="697" spans="24:33">
      <c r="X697">
        <v>346.805</v>
      </c>
      <c r="Y697">
        <v>1.26167390536119</v>
      </c>
      <c r="Z697">
        <v>346.805</v>
      </c>
      <c r="AA697">
        <v>1.27951225828639</v>
      </c>
      <c r="AB697">
        <v>346.805</v>
      </c>
      <c r="AC697">
        <v>1.31588353547916</v>
      </c>
      <c r="AD697">
        <v>346.805</v>
      </c>
      <c r="AE697">
        <v>1.26335314336026</v>
      </c>
      <c r="AF697">
        <v>346.805</v>
      </c>
      <c r="AG697">
        <v>1.3221735721449</v>
      </c>
    </row>
    <row r="698" spans="24:33">
      <c r="X698">
        <v>347.304</v>
      </c>
      <c r="Y698">
        <v>1.2604263946233</v>
      </c>
      <c r="Z698">
        <v>347.304</v>
      </c>
      <c r="AA698">
        <v>1.28090212390793</v>
      </c>
      <c r="AB698">
        <v>347.304</v>
      </c>
      <c r="AC698">
        <v>1.31782597208525</v>
      </c>
      <c r="AD698">
        <v>347.304</v>
      </c>
      <c r="AE698">
        <v>1.26719631298182</v>
      </c>
      <c r="AF698">
        <v>347.304</v>
      </c>
      <c r="AG698">
        <v>1.32550036281064</v>
      </c>
    </row>
    <row r="699" spans="24:33">
      <c r="X699">
        <v>347.803</v>
      </c>
      <c r="Y699">
        <v>1.26412479020333</v>
      </c>
      <c r="Z699">
        <v>347.803</v>
      </c>
      <c r="AA699">
        <v>1.28601737002028</v>
      </c>
      <c r="AB699">
        <v>347.803</v>
      </c>
      <c r="AC699">
        <v>1.31892473778772</v>
      </c>
      <c r="AD699">
        <v>347.803</v>
      </c>
      <c r="AE699">
        <v>1.25667859469702</v>
      </c>
      <c r="AF699">
        <v>347.803</v>
      </c>
      <c r="AG699">
        <v>1.32131341592082</v>
      </c>
    </row>
    <row r="700" spans="24:33">
      <c r="X700">
        <v>348.302</v>
      </c>
      <c r="Y700">
        <v>1.25802441261679</v>
      </c>
      <c r="Z700">
        <v>348.302</v>
      </c>
      <c r="AA700">
        <v>1.28732201825633</v>
      </c>
      <c r="AB700">
        <v>348.302</v>
      </c>
      <c r="AC700">
        <v>1.31699922562406</v>
      </c>
      <c r="AD700">
        <v>348.302</v>
      </c>
      <c r="AE700">
        <v>1.26462108369589</v>
      </c>
      <c r="AF700">
        <v>348.302</v>
      </c>
      <c r="AG700">
        <v>1.32915932133993</v>
      </c>
    </row>
    <row r="701" spans="24:33">
      <c r="X701">
        <v>348.801</v>
      </c>
      <c r="Y701">
        <v>1.2563496788782</v>
      </c>
      <c r="Z701">
        <v>348.801</v>
      </c>
      <c r="AA701">
        <v>1.28910973403574</v>
      </c>
      <c r="AB701">
        <v>348.801</v>
      </c>
      <c r="AC701">
        <v>1.32510586717286</v>
      </c>
      <c r="AD701">
        <v>348.801</v>
      </c>
      <c r="AE701">
        <v>1.26879960576606</v>
      </c>
      <c r="AF701">
        <v>348.801</v>
      </c>
      <c r="AG701">
        <v>1.31983406141533</v>
      </c>
    </row>
    <row r="702" spans="24:33">
      <c r="X702">
        <v>349.3</v>
      </c>
      <c r="Y702">
        <v>1.25298691081343</v>
      </c>
      <c r="Z702">
        <v>349.3</v>
      </c>
      <c r="AA702">
        <v>1.28822454610065</v>
      </c>
      <c r="AB702">
        <v>349.3</v>
      </c>
      <c r="AC702">
        <v>1.31456553906391</v>
      </c>
      <c r="AD702">
        <v>349.3</v>
      </c>
      <c r="AE702">
        <v>1.27143513180624</v>
      </c>
      <c r="AF702">
        <v>349.3</v>
      </c>
      <c r="AG702">
        <v>1.32580176409228</v>
      </c>
    </row>
    <row r="703" spans="24:33">
      <c r="X703">
        <v>349.799</v>
      </c>
      <c r="Y703">
        <v>1.25269496846059</v>
      </c>
      <c r="Z703">
        <v>349.799</v>
      </c>
      <c r="AA703">
        <v>1.2881646672092</v>
      </c>
      <c r="AB703">
        <v>349.799</v>
      </c>
      <c r="AC703">
        <v>1.31476805894836</v>
      </c>
      <c r="AD703">
        <v>349.799</v>
      </c>
      <c r="AE703">
        <v>1.26762720623142</v>
      </c>
      <c r="AF703">
        <v>349.799</v>
      </c>
      <c r="AG703">
        <v>1.3190121429543</v>
      </c>
    </row>
    <row r="704" spans="24:33">
      <c r="X704">
        <v>350.298</v>
      </c>
      <c r="Y704">
        <v>1.24322467024462</v>
      </c>
      <c r="Z704">
        <v>350.298</v>
      </c>
      <c r="AA704">
        <v>1.28641563099965</v>
      </c>
      <c r="AB704">
        <v>350.298</v>
      </c>
      <c r="AC704">
        <v>1.31377392120928</v>
      </c>
      <c r="AD704">
        <v>350.298</v>
      </c>
      <c r="AE704">
        <v>1.2707943746522</v>
      </c>
      <c r="AF704">
        <v>350.298</v>
      </c>
      <c r="AG704">
        <v>1.32288993806803</v>
      </c>
    </row>
    <row r="705" spans="24:33">
      <c r="X705">
        <v>350.797</v>
      </c>
      <c r="Y705">
        <v>1.25097270978854</v>
      </c>
      <c r="Z705">
        <v>350.797</v>
      </c>
      <c r="AA705">
        <v>1.29050849787338</v>
      </c>
      <c r="AB705">
        <v>350.797</v>
      </c>
      <c r="AC705">
        <v>1.31794121251534</v>
      </c>
      <c r="AD705">
        <v>350.797</v>
      </c>
      <c r="AE705">
        <v>1.26340477493636</v>
      </c>
      <c r="AF705">
        <v>350.797</v>
      </c>
      <c r="AG705">
        <v>1.32341636445596</v>
      </c>
    </row>
    <row r="706" spans="24:33">
      <c r="X706">
        <v>351.296</v>
      </c>
      <c r="Y706">
        <v>1.256191295601</v>
      </c>
      <c r="Z706">
        <v>351.296</v>
      </c>
      <c r="AA706">
        <v>1.29369108423898</v>
      </c>
      <c r="AB706">
        <v>351.296</v>
      </c>
      <c r="AC706">
        <v>1.32432743358486</v>
      </c>
      <c r="AD706">
        <v>351.296</v>
      </c>
      <c r="AE706">
        <v>1.2565778825571</v>
      </c>
      <c r="AF706">
        <v>351.296</v>
      </c>
      <c r="AG706">
        <v>1.32564670260781</v>
      </c>
    </row>
    <row r="707" spans="24:33">
      <c r="X707">
        <v>351.795</v>
      </c>
      <c r="Y707">
        <v>1.24870277548036</v>
      </c>
      <c r="Z707">
        <v>351.795</v>
      </c>
      <c r="AA707">
        <v>1.28892005823263</v>
      </c>
      <c r="AB707">
        <v>351.795</v>
      </c>
      <c r="AC707">
        <v>1.3185609225083</v>
      </c>
      <c r="AD707">
        <v>351.795</v>
      </c>
      <c r="AE707">
        <v>1.26462637477925</v>
      </c>
      <c r="AF707">
        <v>351.795</v>
      </c>
      <c r="AG707">
        <v>1.32171853063229</v>
      </c>
    </row>
    <row r="708" spans="24:33">
      <c r="X708">
        <v>352.294</v>
      </c>
      <c r="Y708">
        <v>1.24424785442443</v>
      </c>
      <c r="Z708">
        <v>352.294</v>
      </c>
      <c r="AA708">
        <v>1.28592260570375</v>
      </c>
      <c r="AB708">
        <v>352.294</v>
      </c>
      <c r="AC708">
        <v>1.31428767708775</v>
      </c>
      <c r="AD708">
        <v>352.294</v>
      </c>
      <c r="AE708">
        <v>1.25764303484571</v>
      </c>
      <c r="AF708">
        <v>352.294</v>
      </c>
      <c r="AG708">
        <v>1.31897427536065</v>
      </c>
    </row>
    <row r="709" spans="24:33">
      <c r="X709">
        <v>352.793</v>
      </c>
      <c r="Y709">
        <v>1.25931945077923</v>
      </c>
      <c r="Z709">
        <v>352.793</v>
      </c>
      <c r="AA709">
        <v>1.28836728021731</v>
      </c>
      <c r="AB709">
        <v>352.793</v>
      </c>
      <c r="AC709">
        <v>1.31954986646306</v>
      </c>
      <c r="AD709">
        <v>352.793</v>
      </c>
      <c r="AE709">
        <v>1.26604882877123</v>
      </c>
      <c r="AF709">
        <v>352.793</v>
      </c>
      <c r="AG709">
        <v>1.32723374093525</v>
      </c>
    </row>
    <row r="710" spans="24:33">
      <c r="X710">
        <v>353.292</v>
      </c>
      <c r="Y710">
        <v>1.26233520210983</v>
      </c>
      <c r="Z710">
        <v>353.292</v>
      </c>
      <c r="AA710">
        <v>1.29054444443</v>
      </c>
      <c r="AB710">
        <v>353.292</v>
      </c>
      <c r="AC710">
        <v>1.31431681530022</v>
      </c>
      <c r="AD710">
        <v>353.292</v>
      </c>
      <c r="AE710">
        <v>1.26294204030008</v>
      </c>
      <c r="AF710">
        <v>353.292</v>
      </c>
      <c r="AG710">
        <v>1.31770513691687</v>
      </c>
    </row>
    <row r="711" spans="24:33">
      <c r="X711">
        <v>353.791</v>
      </c>
      <c r="Y711">
        <v>1.26163678756441</v>
      </c>
      <c r="Z711">
        <v>353.791</v>
      </c>
      <c r="AA711">
        <v>1.29713914047599</v>
      </c>
      <c r="AB711">
        <v>353.791</v>
      </c>
      <c r="AC711">
        <v>1.32542986939224</v>
      </c>
      <c r="AD711">
        <v>353.791</v>
      </c>
      <c r="AE711">
        <v>1.25897028429594</v>
      </c>
      <c r="AF711">
        <v>353.791</v>
      </c>
      <c r="AG711">
        <v>1.32126402397045</v>
      </c>
    </row>
    <row r="712" spans="24:33">
      <c r="X712">
        <v>354.29</v>
      </c>
      <c r="Y712">
        <v>1.25567701342722</v>
      </c>
      <c r="Z712">
        <v>354.29</v>
      </c>
      <c r="AA712">
        <v>1.29180690745703</v>
      </c>
      <c r="AB712">
        <v>354.29</v>
      </c>
      <c r="AC712">
        <v>1.32433478948741</v>
      </c>
      <c r="AD712">
        <v>354.29</v>
      </c>
      <c r="AE712">
        <v>1.26066578910959</v>
      </c>
      <c r="AF712">
        <v>354.29</v>
      </c>
      <c r="AG712">
        <v>1.3184245736801</v>
      </c>
    </row>
    <row r="713" spans="24:33">
      <c r="X713">
        <v>354.789</v>
      </c>
      <c r="Y713">
        <v>1.25321443733113</v>
      </c>
      <c r="Z713">
        <v>354.789</v>
      </c>
      <c r="AA713">
        <v>1.28994153834531</v>
      </c>
      <c r="AB713">
        <v>354.789</v>
      </c>
      <c r="AC713">
        <v>1.32109137609977</v>
      </c>
      <c r="AD713">
        <v>354.789</v>
      </c>
      <c r="AE713">
        <v>1.26520806034557</v>
      </c>
      <c r="AF713">
        <v>354.789</v>
      </c>
      <c r="AG713">
        <v>1.31361324565429</v>
      </c>
    </row>
    <row r="714" spans="24:33">
      <c r="X714">
        <v>355.288</v>
      </c>
      <c r="Y714">
        <v>1.25490748914121</v>
      </c>
      <c r="Z714">
        <v>355.288</v>
      </c>
      <c r="AA714">
        <v>1.29150262717767</v>
      </c>
      <c r="AB714">
        <v>355.288</v>
      </c>
      <c r="AC714">
        <v>1.32169776288717</v>
      </c>
      <c r="AD714">
        <v>355.288</v>
      </c>
      <c r="AE714">
        <v>1.27136969928277</v>
      </c>
      <c r="AF714">
        <v>355.288</v>
      </c>
      <c r="AG714">
        <v>1.31553866986095</v>
      </c>
    </row>
    <row r="715" spans="24:33">
      <c r="X715">
        <v>355.787</v>
      </c>
      <c r="Y715">
        <v>1.25863745213845</v>
      </c>
      <c r="Z715">
        <v>355.787</v>
      </c>
      <c r="AA715">
        <v>1.29736784588138</v>
      </c>
      <c r="AB715">
        <v>355.787</v>
      </c>
      <c r="AC715">
        <v>1.31001265689867</v>
      </c>
      <c r="AD715">
        <v>355.787</v>
      </c>
      <c r="AE715">
        <v>1.26978863314124</v>
      </c>
      <c r="AF715">
        <v>355.787</v>
      </c>
      <c r="AG715">
        <v>1.31872045679857</v>
      </c>
    </row>
    <row r="716" spans="24:33">
      <c r="X716">
        <v>356.286</v>
      </c>
      <c r="Y716">
        <v>1.25091754725458</v>
      </c>
      <c r="Z716">
        <v>356.286</v>
      </c>
      <c r="AA716">
        <v>1.30007791236527</v>
      </c>
      <c r="AB716">
        <v>356.286</v>
      </c>
      <c r="AC716">
        <v>1.31608674482027</v>
      </c>
      <c r="AD716">
        <v>356.286</v>
      </c>
      <c r="AE716">
        <v>1.26653310432985</v>
      </c>
      <c r="AF716">
        <v>356.286</v>
      </c>
      <c r="AG716">
        <v>1.31957337064622</v>
      </c>
    </row>
    <row r="717" spans="24:33">
      <c r="X717">
        <v>356.785</v>
      </c>
      <c r="Y717">
        <v>1.24999929883064</v>
      </c>
      <c r="Z717">
        <v>356.785</v>
      </c>
      <c r="AA717">
        <v>1.2946791603347</v>
      </c>
      <c r="AB717">
        <v>356.785</v>
      </c>
      <c r="AC717">
        <v>1.32218301020417</v>
      </c>
      <c r="AD717">
        <v>356.785</v>
      </c>
      <c r="AE717">
        <v>1.26935861929825</v>
      </c>
      <c r="AF717">
        <v>356.785</v>
      </c>
      <c r="AG717">
        <v>1.32187776637655</v>
      </c>
    </row>
    <row r="718" spans="24:33">
      <c r="X718">
        <v>357.284</v>
      </c>
      <c r="Y718">
        <v>1.2553394362195</v>
      </c>
      <c r="Z718">
        <v>357.284</v>
      </c>
      <c r="AA718">
        <v>1.29440825931562</v>
      </c>
      <c r="AB718">
        <v>357.284</v>
      </c>
      <c r="AC718">
        <v>1.31282631316429</v>
      </c>
      <c r="AD718">
        <v>357.284</v>
      </c>
      <c r="AE718">
        <v>1.26922580919499</v>
      </c>
      <c r="AF718">
        <v>357.284</v>
      </c>
      <c r="AG718">
        <v>1.31629636879965</v>
      </c>
    </row>
    <row r="719" spans="24:33">
      <c r="X719">
        <v>357.783</v>
      </c>
      <c r="Y719">
        <v>1.25500055144684</v>
      </c>
      <c r="Z719">
        <v>357.783</v>
      </c>
      <c r="AA719">
        <v>1.28217859516593</v>
      </c>
      <c r="AB719">
        <v>357.783</v>
      </c>
      <c r="AC719">
        <v>1.31866052140474</v>
      </c>
      <c r="AD719">
        <v>357.783</v>
      </c>
      <c r="AE719">
        <v>1.26704306628764</v>
      </c>
      <c r="AF719">
        <v>357.783</v>
      </c>
      <c r="AG719">
        <v>1.31494084103467</v>
      </c>
    </row>
    <row r="720" spans="24:33">
      <c r="X720">
        <v>358.282</v>
      </c>
      <c r="Y720">
        <v>1.24380520104623</v>
      </c>
      <c r="Z720">
        <v>358.282</v>
      </c>
      <c r="AA720">
        <v>1.28812658502571</v>
      </c>
      <c r="AB720">
        <v>358.282</v>
      </c>
      <c r="AC720">
        <v>1.31443817557839</v>
      </c>
      <c r="AD720">
        <v>358.282</v>
      </c>
      <c r="AE720">
        <v>1.26246802079901</v>
      </c>
      <c r="AF720">
        <v>358.282</v>
      </c>
      <c r="AG720">
        <v>1.3120272336115</v>
      </c>
    </row>
    <row r="721" spans="24:33">
      <c r="X721">
        <v>358.781</v>
      </c>
      <c r="Y721">
        <v>1.25050230447766</v>
      </c>
      <c r="Z721">
        <v>358.781</v>
      </c>
      <c r="AA721">
        <v>1.29692038549377</v>
      </c>
      <c r="AB721">
        <v>358.781</v>
      </c>
      <c r="AC721">
        <v>1.30970281742412</v>
      </c>
      <c r="AD721">
        <v>358.781</v>
      </c>
      <c r="AE721">
        <v>1.2716331347198</v>
      </c>
      <c r="AF721">
        <v>358.781</v>
      </c>
      <c r="AG721">
        <v>1.31978507629944</v>
      </c>
    </row>
    <row r="722" spans="24:33">
      <c r="X722">
        <v>359.28</v>
      </c>
      <c r="Y722">
        <v>1.25891145015968</v>
      </c>
      <c r="Z722">
        <v>359.28</v>
      </c>
      <c r="AA722">
        <v>1.2947096289088</v>
      </c>
      <c r="AB722">
        <v>359.28</v>
      </c>
      <c r="AC722">
        <v>1.31453783466274</v>
      </c>
      <c r="AD722">
        <v>359.28</v>
      </c>
      <c r="AE722">
        <v>1.27130011109672</v>
      </c>
      <c r="AF722">
        <v>359.28</v>
      </c>
      <c r="AG722">
        <v>1.31000636679788</v>
      </c>
    </row>
    <row r="723" spans="24:33">
      <c r="X723">
        <v>359.779</v>
      </c>
      <c r="Y723">
        <v>1.25414638187758</v>
      </c>
      <c r="Z723">
        <v>359.779</v>
      </c>
      <c r="AA723">
        <v>1.29497186431217</v>
      </c>
      <c r="AB723">
        <v>359.779</v>
      </c>
      <c r="AC723">
        <v>1.32215103264621</v>
      </c>
      <c r="AD723">
        <v>359.779</v>
      </c>
      <c r="AE723">
        <v>1.27285228274913</v>
      </c>
      <c r="AF723">
        <v>359.779</v>
      </c>
      <c r="AG723">
        <v>1.30164575298796</v>
      </c>
    </row>
    <row r="724" spans="24:33">
      <c r="X724">
        <v>360.278</v>
      </c>
      <c r="Y724">
        <v>1.25763850188195</v>
      </c>
      <c r="Z724">
        <v>360.278</v>
      </c>
      <c r="AA724">
        <v>1.29706895325374</v>
      </c>
      <c r="AB724">
        <v>360.278</v>
      </c>
      <c r="AC724">
        <v>1.3293884046587</v>
      </c>
      <c r="AD724">
        <v>360.278</v>
      </c>
      <c r="AE724">
        <v>1.27811135120906</v>
      </c>
      <c r="AF724">
        <v>360.278</v>
      </c>
      <c r="AG724">
        <v>1.30779076454167</v>
      </c>
    </row>
    <row r="725" spans="24:33">
      <c r="X725">
        <v>360.777</v>
      </c>
      <c r="Y725">
        <v>1.25259755581479</v>
      </c>
      <c r="Z725">
        <v>360.777</v>
      </c>
      <c r="AA725">
        <v>1.30744507273548</v>
      </c>
      <c r="AB725">
        <v>360.777</v>
      </c>
      <c r="AC725">
        <v>1.31616356436002</v>
      </c>
      <c r="AD725">
        <v>360.777</v>
      </c>
      <c r="AE725">
        <v>1.27138961281104</v>
      </c>
      <c r="AF725">
        <v>360.777</v>
      </c>
      <c r="AG725">
        <v>1.31793784028023</v>
      </c>
    </row>
    <row r="726" spans="24:33">
      <c r="X726">
        <v>361.276</v>
      </c>
      <c r="Y726">
        <v>1.25593910360408</v>
      </c>
      <c r="Z726">
        <v>361.276</v>
      </c>
      <c r="AA726">
        <v>1.29105252652819</v>
      </c>
      <c r="AB726">
        <v>361.276</v>
      </c>
      <c r="AC726">
        <v>1.31559995698411</v>
      </c>
      <c r="AD726">
        <v>361.276</v>
      </c>
      <c r="AE726">
        <v>1.26878514531231</v>
      </c>
      <c r="AF726">
        <v>361.276</v>
      </c>
      <c r="AG726">
        <v>1.31852897404252</v>
      </c>
    </row>
    <row r="727" spans="24:33">
      <c r="X727">
        <v>361.775</v>
      </c>
      <c r="Y727">
        <v>1.26564577021111</v>
      </c>
      <c r="Z727">
        <v>361.775</v>
      </c>
      <c r="AA727">
        <v>1.30002810265298</v>
      </c>
      <c r="AB727">
        <v>361.775</v>
      </c>
      <c r="AC727">
        <v>1.32036498287096</v>
      </c>
      <c r="AD727">
        <v>361.775</v>
      </c>
      <c r="AE727">
        <v>1.26356449688622</v>
      </c>
      <c r="AF727">
        <v>361.775</v>
      </c>
      <c r="AG727">
        <v>1.31187716814177</v>
      </c>
    </row>
    <row r="728" spans="24:33">
      <c r="X728">
        <v>362.274</v>
      </c>
      <c r="Y728">
        <v>1.25581917527859</v>
      </c>
      <c r="Z728">
        <v>362.274</v>
      </c>
      <c r="AA728">
        <v>1.29744739413992</v>
      </c>
      <c r="AB728">
        <v>362.274</v>
      </c>
      <c r="AC728">
        <v>1.31788777014778</v>
      </c>
      <c r="AD728">
        <v>362.274</v>
      </c>
      <c r="AE728">
        <v>1.2723967999581</v>
      </c>
      <c r="AF728">
        <v>362.274</v>
      </c>
      <c r="AG728">
        <v>1.31486838506259</v>
      </c>
    </row>
    <row r="729" spans="24:33">
      <c r="X729">
        <v>362.773</v>
      </c>
      <c r="Y729">
        <v>1.25576216583886</v>
      </c>
      <c r="Z729">
        <v>362.773</v>
      </c>
      <c r="AA729">
        <v>1.29396811987164</v>
      </c>
      <c r="AB729">
        <v>362.773</v>
      </c>
      <c r="AC729">
        <v>1.32276089917267</v>
      </c>
      <c r="AD729">
        <v>362.773</v>
      </c>
      <c r="AE729">
        <v>1.26235787934451</v>
      </c>
      <c r="AF729">
        <v>362.773</v>
      </c>
      <c r="AG729">
        <v>1.32046626122027</v>
      </c>
    </row>
    <row r="730" spans="24:33">
      <c r="X730">
        <v>363.272</v>
      </c>
      <c r="Y730">
        <v>1.26116731221012</v>
      </c>
      <c r="Z730">
        <v>363.272</v>
      </c>
      <c r="AA730">
        <v>1.28962024189378</v>
      </c>
      <c r="AB730">
        <v>363.272</v>
      </c>
      <c r="AC730">
        <v>1.3120523730826</v>
      </c>
      <c r="AD730">
        <v>363.272</v>
      </c>
      <c r="AE730">
        <v>1.26321925195618</v>
      </c>
      <c r="AF730">
        <v>363.272</v>
      </c>
      <c r="AG730">
        <v>1.31471987901949</v>
      </c>
    </row>
    <row r="731" spans="24:33">
      <c r="X731">
        <v>363.771</v>
      </c>
      <c r="Y731">
        <v>1.25625452538368</v>
      </c>
      <c r="Z731">
        <v>363.771</v>
      </c>
      <c r="AA731">
        <v>1.29322860056675</v>
      </c>
      <c r="AB731">
        <v>363.771</v>
      </c>
      <c r="AC731">
        <v>1.31979642148143</v>
      </c>
      <c r="AD731">
        <v>363.771</v>
      </c>
      <c r="AE731">
        <v>1.27362475526619</v>
      </c>
      <c r="AF731">
        <v>363.771</v>
      </c>
      <c r="AG731">
        <v>1.31999127031058</v>
      </c>
    </row>
    <row r="732" spans="24:33">
      <c r="X732">
        <v>364.27</v>
      </c>
      <c r="Y732">
        <v>1.25648975690647</v>
      </c>
      <c r="Z732">
        <v>364.27</v>
      </c>
      <c r="AA732">
        <v>1.30073388965412</v>
      </c>
      <c r="AB732">
        <v>364.27</v>
      </c>
      <c r="AC732">
        <v>1.32165718823875</v>
      </c>
      <c r="AD732">
        <v>364.27</v>
      </c>
      <c r="AE732">
        <v>1.27631027983484</v>
      </c>
      <c r="AF732">
        <v>364.27</v>
      </c>
      <c r="AG732">
        <v>1.30385339578299</v>
      </c>
    </row>
    <row r="733" spans="24:33">
      <c r="X733">
        <v>364.769</v>
      </c>
      <c r="Y733">
        <v>1.26060959736515</v>
      </c>
      <c r="Z733">
        <v>364.769</v>
      </c>
      <c r="AA733">
        <v>1.29166746014645</v>
      </c>
      <c r="AB733">
        <v>364.769</v>
      </c>
      <c r="AC733">
        <v>1.31821521345665</v>
      </c>
      <c r="AD733">
        <v>364.769</v>
      </c>
      <c r="AE733">
        <v>1.26307428088631</v>
      </c>
      <c r="AF733">
        <v>364.769</v>
      </c>
      <c r="AG733">
        <v>1.30327935345758</v>
      </c>
    </row>
    <row r="734" spans="24:33">
      <c r="X734">
        <v>365.268</v>
      </c>
      <c r="Y734">
        <v>1.25499844005824</v>
      </c>
      <c r="Z734">
        <v>365.268</v>
      </c>
      <c r="AA734">
        <v>1.29512373643057</v>
      </c>
      <c r="AB734">
        <v>365.268</v>
      </c>
      <c r="AC734">
        <v>1.32088416162666</v>
      </c>
      <c r="AD734">
        <v>365.268</v>
      </c>
      <c r="AE734">
        <v>1.26123922028535</v>
      </c>
      <c r="AF734">
        <v>365.268</v>
      </c>
      <c r="AG734">
        <v>1.31922229564706</v>
      </c>
    </row>
    <row r="735" spans="24:33">
      <c r="X735">
        <v>365.767</v>
      </c>
      <c r="Y735">
        <v>1.25855813363103</v>
      </c>
      <c r="Z735">
        <v>365.767</v>
      </c>
      <c r="AA735">
        <v>1.29592236644723</v>
      </c>
      <c r="AB735">
        <v>365.767</v>
      </c>
      <c r="AC735">
        <v>1.32454238221265</v>
      </c>
      <c r="AD735">
        <v>365.767</v>
      </c>
      <c r="AE735">
        <v>1.26583341077385</v>
      </c>
      <c r="AF735">
        <v>365.767</v>
      </c>
      <c r="AG735">
        <v>1.32388368866087</v>
      </c>
    </row>
    <row r="736" spans="24:33">
      <c r="X736">
        <v>366.266</v>
      </c>
      <c r="Y736">
        <v>1.25765287443832</v>
      </c>
      <c r="Z736">
        <v>366.266</v>
      </c>
      <c r="AA736">
        <v>1.28937896174769</v>
      </c>
      <c r="AB736">
        <v>366.266</v>
      </c>
      <c r="AC736">
        <v>1.3215351396502</v>
      </c>
      <c r="AD736">
        <v>366.266</v>
      </c>
      <c r="AE736">
        <v>1.26940234825333</v>
      </c>
      <c r="AF736">
        <v>366.266</v>
      </c>
      <c r="AG736">
        <v>1.31164714608548</v>
      </c>
    </row>
    <row r="737" spans="24:33">
      <c r="X737">
        <v>366.765</v>
      </c>
      <c r="Y737">
        <v>1.25853774506617</v>
      </c>
      <c r="Z737">
        <v>366.765</v>
      </c>
      <c r="AA737">
        <v>1.29833969379761</v>
      </c>
      <c r="AB737">
        <v>366.765</v>
      </c>
      <c r="AC737">
        <v>1.31647660730797</v>
      </c>
      <c r="AD737">
        <v>366.765</v>
      </c>
      <c r="AE737">
        <v>1.2642178772998</v>
      </c>
      <c r="AF737">
        <v>366.765</v>
      </c>
      <c r="AG737">
        <v>1.3179839778472</v>
      </c>
    </row>
    <row r="738" spans="24:33">
      <c r="X738">
        <v>367.264</v>
      </c>
      <c r="Y738">
        <v>1.26226358931773</v>
      </c>
      <c r="Z738">
        <v>367.264</v>
      </c>
      <c r="AA738">
        <v>1.29485348031182</v>
      </c>
      <c r="AB738">
        <v>367.264</v>
      </c>
      <c r="AC738">
        <v>1.31088428227848</v>
      </c>
      <c r="AD738">
        <v>367.264</v>
      </c>
      <c r="AE738">
        <v>1.27032897434377</v>
      </c>
      <c r="AF738">
        <v>367.264</v>
      </c>
      <c r="AG738">
        <v>1.31604156707813</v>
      </c>
    </row>
    <row r="739" spans="24:33">
      <c r="X739">
        <v>367.763</v>
      </c>
      <c r="Y739">
        <v>1.25990720084729</v>
      </c>
      <c r="Z739">
        <v>367.763</v>
      </c>
      <c r="AA739">
        <v>1.29675864220346</v>
      </c>
      <c r="AB739">
        <v>367.763</v>
      </c>
      <c r="AC739">
        <v>1.31220945162141</v>
      </c>
      <c r="AD739">
        <v>367.763</v>
      </c>
      <c r="AE739">
        <v>1.26377890639741</v>
      </c>
      <c r="AF739">
        <v>367.763</v>
      </c>
      <c r="AG739">
        <v>1.30738545634391</v>
      </c>
    </row>
    <row r="740" spans="24:33">
      <c r="X740">
        <v>368.262</v>
      </c>
      <c r="Y740">
        <v>1.26216101263708</v>
      </c>
      <c r="Z740">
        <v>368.262</v>
      </c>
      <c r="AA740">
        <v>1.30501447900319</v>
      </c>
      <c r="AB740">
        <v>368.262</v>
      </c>
      <c r="AC740">
        <v>1.31823597738001</v>
      </c>
      <c r="AD740">
        <v>368.262</v>
      </c>
      <c r="AE740">
        <v>1.26745904108976</v>
      </c>
      <c r="AF740">
        <v>368.262</v>
      </c>
      <c r="AG740">
        <v>1.31257005233478</v>
      </c>
    </row>
    <row r="741" spans="24:33">
      <c r="X741">
        <v>368.761</v>
      </c>
      <c r="Y741">
        <v>1.26310305837596</v>
      </c>
      <c r="Z741">
        <v>368.761</v>
      </c>
      <c r="AA741">
        <v>1.2938108256757</v>
      </c>
      <c r="AB741">
        <v>368.761</v>
      </c>
      <c r="AC741">
        <v>1.32571027844266</v>
      </c>
      <c r="AD741">
        <v>368.761</v>
      </c>
      <c r="AE741">
        <v>1.26316399583232</v>
      </c>
      <c r="AF741">
        <v>368.761</v>
      </c>
      <c r="AG741">
        <v>1.32140167989528</v>
      </c>
    </row>
    <row r="742" spans="24:33">
      <c r="X742">
        <v>369.26</v>
      </c>
      <c r="Y742">
        <v>1.25413012619582</v>
      </c>
      <c r="Z742">
        <v>369.26</v>
      </c>
      <c r="AA742">
        <v>1.29712827338421</v>
      </c>
      <c r="AB742">
        <v>369.26</v>
      </c>
      <c r="AC742">
        <v>1.31293336704712</v>
      </c>
      <c r="AD742">
        <v>369.26</v>
      </c>
      <c r="AE742">
        <v>1.26358377729344</v>
      </c>
      <c r="AF742">
        <v>369.26</v>
      </c>
      <c r="AG742">
        <v>1.31216240411923</v>
      </c>
    </row>
    <row r="743" spans="24:33">
      <c r="X743">
        <v>369.759</v>
      </c>
      <c r="Y743">
        <v>1.25700300654093</v>
      </c>
      <c r="Z743">
        <v>369.759</v>
      </c>
      <c r="AA743">
        <v>1.30040903971965</v>
      </c>
      <c r="AB743">
        <v>369.759</v>
      </c>
      <c r="AC743">
        <v>1.31039650122647</v>
      </c>
      <c r="AD743">
        <v>369.759</v>
      </c>
      <c r="AE743">
        <v>1.26866359982644</v>
      </c>
      <c r="AF743">
        <v>369.759</v>
      </c>
      <c r="AG743">
        <v>1.32484099907079</v>
      </c>
    </row>
    <row r="744" spans="24:33">
      <c r="X744">
        <v>370.258</v>
      </c>
      <c r="Y744">
        <v>1.26341141820775</v>
      </c>
      <c r="Z744">
        <v>370.258</v>
      </c>
      <c r="AA744">
        <v>1.2982420229145</v>
      </c>
      <c r="AB744">
        <v>370.258</v>
      </c>
      <c r="AC744">
        <v>1.31318044605005</v>
      </c>
      <c r="AD744">
        <v>370.258</v>
      </c>
      <c r="AE744">
        <v>1.27190509896125</v>
      </c>
      <c r="AF744">
        <v>370.258</v>
      </c>
      <c r="AG744">
        <v>1.32492635083185</v>
      </c>
    </row>
    <row r="745" spans="24:33">
      <c r="X745">
        <v>370.757</v>
      </c>
      <c r="Y745">
        <v>1.25842472488071</v>
      </c>
      <c r="Z745">
        <v>370.757</v>
      </c>
      <c r="AA745">
        <v>1.29879129465663</v>
      </c>
      <c r="AB745">
        <v>370.757</v>
      </c>
      <c r="AC745">
        <v>1.31687607048069</v>
      </c>
      <c r="AD745">
        <v>370.757</v>
      </c>
      <c r="AE745">
        <v>1.27636137522079</v>
      </c>
      <c r="AF745">
        <v>370.757</v>
      </c>
      <c r="AG745">
        <v>1.32408731069219</v>
      </c>
    </row>
    <row r="746" spans="24:33">
      <c r="X746">
        <v>371.256</v>
      </c>
      <c r="Y746">
        <v>1.268617267382</v>
      </c>
      <c r="Z746">
        <v>371.256</v>
      </c>
      <c r="AA746">
        <v>1.29853119958313</v>
      </c>
      <c r="AB746">
        <v>371.256</v>
      </c>
      <c r="AC746">
        <v>1.31185448837838</v>
      </c>
      <c r="AD746">
        <v>371.256</v>
      </c>
      <c r="AE746">
        <v>1.27212065746521</v>
      </c>
      <c r="AF746">
        <v>371.256</v>
      </c>
      <c r="AG746">
        <v>1.31447791591309</v>
      </c>
    </row>
    <row r="747" spans="24:33">
      <c r="X747">
        <v>371.755</v>
      </c>
      <c r="Y747">
        <v>1.26761244101742</v>
      </c>
      <c r="Z747">
        <v>371.755</v>
      </c>
      <c r="AA747">
        <v>1.30651857280308</v>
      </c>
      <c r="AB747">
        <v>371.755</v>
      </c>
      <c r="AC747">
        <v>1.31688611524892</v>
      </c>
      <c r="AD747">
        <v>371.755</v>
      </c>
      <c r="AE747">
        <v>1.26718893184452</v>
      </c>
      <c r="AF747">
        <v>371.755</v>
      </c>
      <c r="AG747">
        <v>1.32196438559001</v>
      </c>
    </row>
    <row r="748" spans="24:33">
      <c r="X748">
        <v>372.254</v>
      </c>
      <c r="Y748">
        <v>1.26621935683383</v>
      </c>
      <c r="Z748">
        <v>372.254</v>
      </c>
      <c r="AA748">
        <v>1.3002061274115</v>
      </c>
      <c r="AB748">
        <v>372.254</v>
      </c>
      <c r="AC748">
        <v>1.31660676548406</v>
      </c>
      <c r="AD748">
        <v>372.254</v>
      </c>
      <c r="AE748">
        <v>1.26106143584816</v>
      </c>
      <c r="AF748">
        <v>372.254</v>
      </c>
      <c r="AG748">
        <v>1.31932030052887</v>
      </c>
    </row>
    <row r="749" spans="24:33">
      <c r="X749">
        <v>372.753</v>
      </c>
      <c r="Y749">
        <v>1.26458200230972</v>
      </c>
      <c r="Z749">
        <v>372.753</v>
      </c>
      <c r="AA749">
        <v>1.30031353101283</v>
      </c>
      <c r="AB749">
        <v>372.753</v>
      </c>
      <c r="AC749">
        <v>1.32949549140763</v>
      </c>
      <c r="AD749">
        <v>372.753</v>
      </c>
      <c r="AE749">
        <v>1.2634404608913</v>
      </c>
      <c r="AF749">
        <v>372.753</v>
      </c>
      <c r="AG749">
        <v>1.3190747397535</v>
      </c>
    </row>
    <row r="750" spans="24:33">
      <c r="X750">
        <v>373.252</v>
      </c>
      <c r="Y750">
        <v>1.26168452905327</v>
      </c>
      <c r="Z750">
        <v>373.252</v>
      </c>
      <c r="AA750">
        <v>1.28974748017309</v>
      </c>
      <c r="AB750">
        <v>373.252</v>
      </c>
      <c r="AC750">
        <v>1.32549888587572</v>
      </c>
      <c r="AD750">
        <v>373.252</v>
      </c>
      <c r="AE750">
        <v>1.2607430700125</v>
      </c>
      <c r="AF750">
        <v>373.252</v>
      </c>
      <c r="AG750">
        <v>1.30997142697779</v>
      </c>
    </row>
    <row r="751" spans="24:33">
      <c r="X751">
        <v>373.751</v>
      </c>
      <c r="Y751">
        <v>1.25700396291448</v>
      </c>
      <c r="Z751">
        <v>373.751</v>
      </c>
      <c r="AA751">
        <v>1.29855399792043</v>
      </c>
      <c r="AB751">
        <v>373.751</v>
      </c>
      <c r="AC751">
        <v>1.31677287386833</v>
      </c>
      <c r="AD751">
        <v>373.751</v>
      </c>
      <c r="AE751">
        <v>1.26770869649076</v>
      </c>
      <c r="AF751">
        <v>373.751</v>
      </c>
      <c r="AG751">
        <v>1.31291299076248</v>
      </c>
    </row>
    <row r="752" spans="24:33">
      <c r="X752">
        <v>374.25</v>
      </c>
      <c r="Y752">
        <v>1.26019666204814</v>
      </c>
      <c r="Z752">
        <v>374.25</v>
      </c>
      <c r="AA752">
        <v>1.29244883113811</v>
      </c>
      <c r="AB752">
        <v>374.25</v>
      </c>
      <c r="AC752">
        <v>1.31861319153567</v>
      </c>
      <c r="AD752">
        <v>374.25</v>
      </c>
      <c r="AE752">
        <v>1.26575314488039</v>
      </c>
      <c r="AF752">
        <v>374.25</v>
      </c>
      <c r="AG752">
        <v>1.31611274332745</v>
      </c>
    </row>
    <row r="753" spans="24:33">
      <c r="X753">
        <v>374.749</v>
      </c>
      <c r="Y753">
        <v>1.25718583067581</v>
      </c>
      <c r="Z753">
        <v>374.749</v>
      </c>
      <c r="AA753">
        <v>1.29603149980089</v>
      </c>
      <c r="AB753">
        <v>374.749</v>
      </c>
      <c r="AC753">
        <v>1.32007922228256</v>
      </c>
      <c r="AD753">
        <v>374.749</v>
      </c>
      <c r="AE753">
        <v>1.26660698848304</v>
      </c>
      <c r="AF753">
        <v>374.749</v>
      </c>
      <c r="AG753">
        <v>1.31949669192568</v>
      </c>
    </row>
    <row r="754" spans="24:33">
      <c r="X754">
        <v>375.248</v>
      </c>
      <c r="Y754">
        <v>1.27092202423485</v>
      </c>
      <c r="Z754">
        <v>375.248</v>
      </c>
      <c r="AA754">
        <v>1.29040125385001</v>
      </c>
      <c r="AB754">
        <v>375.248</v>
      </c>
      <c r="AC754">
        <v>1.32042360497878</v>
      </c>
      <c r="AD754">
        <v>375.248</v>
      </c>
      <c r="AE754">
        <v>1.26333439247322</v>
      </c>
      <c r="AF754">
        <v>375.248</v>
      </c>
      <c r="AG754">
        <v>1.32864022695589</v>
      </c>
    </row>
    <row r="755" spans="24:33">
      <c r="X755">
        <v>375.747</v>
      </c>
      <c r="Y755">
        <v>1.25828869871364</v>
      </c>
      <c r="Z755">
        <v>375.747</v>
      </c>
      <c r="AA755">
        <v>1.29795413778648</v>
      </c>
      <c r="AB755">
        <v>375.747</v>
      </c>
      <c r="AC755">
        <v>1.32461126534828</v>
      </c>
      <c r="AD755">
        <v>375.747</v>
      </c>
      <c r="AE755">
        <v>1.26615030631833</v>
      </c>
      <c r="AF755">
        <v>375.747</v>
      </c>
      <c r="AG755">
        <v>1.32407949488426</v>
      </c>
    </row>
    <row r="756" spans="24:33">
      <c r="X756">
        <v>376.246</v>
      </c>
      <c r="Y756">
        <v>1.26186342674862</v>
      </c>
      <c r="Z756">
        <v>376.246</v>
      </c>
      <c r="AA756">
        <v>1.29571766169113</v>
      </c>
      <c r="AB756">
        <v>376.246</v>
      </c>
      <c r="AC756">
        <v>1.32242476955845</v>
      </c>
      <c r="AD756">
        <v>376.246</v>
      </c>
      <c r="AE756">
        <v>1.27699937210247</v>
      </c>
      <c r="AF756">
        <v>376.246</v>
      </c>
      <c r="AG756">
        <v>1.31669760343429</v>
      </c>
    </row>
    <row r="757" spans="24:33">
      <c r="X757">
        <v>376.745</v>
      </c>
      <c r="Y757">
        <v>1.26659422945455</v>
      </c>
      <c r="Z757">
        <v>376.745</v>
      </c>
      <c r="AA757">
        <v>1.29065369848753</v>
      </c>
      <c r="AB757">
        <v>376.745</v>
      </c>
      <c r="AC757">
        <v>1.32380008930981</v>
      </c>
      <c r="AD757">
        <v>376.745</v>
      </c>
      <c r="AE757">
        <v>1.27143787895012</v>
      </c>
      <c r="AF757">
        <v>376.745</v>
      </c>
      <c r="AG757">
        <v>1.32392580276095</v>
      </c>
    </row>
    <row r="758" spans="24:33">
      <c r="X758">
        <v>377.244</v>
      </c>
      <c r="Y758">
        <v>1.26336311189825</v>
      </c>
      <c r="Z758">
        <v>377.244</v>
      </c>
      <c r="AA758">
        <v>1.29128756881238</v>
      </c>
      <c r="AB758">
        <v>377.244</v>
      </c>
      <c r="AC758">
        <v>1.3223189484127</v>
      </c>
      <c r="AD758">
        <v>377.244</v>
      </c>
      <c r="AE758">
        <v>1.27205371381931</v>
      </c>
      <c r="AF758">
        <v>377.244</v>
      </c>
      <c r="AG758">
        <v>1.31977042938487</v>
      </c>
    </row>
    <row r="759" spans="24:33">
      <c r="X759">
        <v>377.743</v>
      </c>
      <c r="Y759">
        <v>1.26285540122089</v>
      </c>
      <c r="Z759">
        <v>377.743</v>
      </c>
      <c r="AA759">
        <v>1.30038189447698</v>
      </c>
      <c r="AB759">
        <v>377.743</v>
      </c>
      <c r="AC759">
        <v>1.32214233365265</v>
      </c>
      <c r="AD759">
        <v>377.743</v>
      </c>
      <c r="AE759">
        <v>1.27516075478061</v>
      </c>
      <c r="AF759">
        <v>377.743</v>
      </c>
      <c r="AG759">
        <v>1.32272987768616</v>
      </c>
    </row>
    <row r="760" spans="24:33">
      <c r="X760">
        <v>378.242</v>
      </c>
      <c r="Y760">
        <v>1.26727770250979</v>
      </c>
      <c r="Z760">
        <v>378.242</v>
      </c>
      <c r="AA760">
        <v>1.2944527117735</v>
      </c>
      <c r="AB760">
        <v>378.242</v>
      </c>
      <c r="AC760">
        <v>1.32433100888999</v>
      </c>
      <c r="AD760">
        <v>378.242</v>
      </c>
      <c r="AE760">
        <v>1.27165179179282</v>
      </c>
      <c r="AF760">
        <v>378.242</v>
      </c>
      <c r="AG760">
        <v>1.32194716889548</v>
      </c>
    </row>
    <row r="761" spans="24:33">
      <c r="X761">
        <v>378.741</v>
      </c>
      <c r="Y761">
        <v>1.26297586093851</v>
      </c>
      <c r="Z761">
        <v>378.741</v>
      </c>
      <c r="AA761">
        <v>1.30308179603404</v>
      </c>
      <c r="AB761">
        <v>378.741</v>
      </c>
      <c r="AC761">
        <v>1.32931150668041</v>
      </c>
      <c r="AD761">
        <v>378.741</v>
      </c>
      <c r="AE761">
        <v>1.26509438722051</v>
      </c>
      <c r="AF761">
        <v>378.741</v>
      </c>
      <c r="AG761">
        <v>1.31220198999019</v>
      </c>
    </row>
    <row r="762" spans="24:33">
      <c r="X762">
        <v>379.24</v>
      </c>
      <c r="Y762">
        <v>1.26425787169093</v>
      </c>
      <c r="Z762">
        <v>379.24</v>
      </c>
      <c r="AA762">
        <v>1.30051773527248</v>
      </c>
      <c r="AB762">
        <v>379.24</v>
      </c>
      <c r="AC762">
        <v>1.31790182740787</v>
      </c>
      <c r="AD762">
        <v>379.24</v>
      </c>
      <c r="AE762">
        <v>1.27544578592919</v>
      </c>
      <c r="AF762">
        <v>379.24</v>
      </c>
      <c r="AG762">
        <v>1.31732455968076</v>
      </c>
    </row>
    <row r="763" spans="24:33">
      <c r="X763">
        <v>379.739</v>
      </c>
      <c r="Y763">
        <v>1.27228996578338</v>
      </c>
      <c r="Z763">
        <v>379.739</v>
      </c>
      <c r="AA763">
        <v>1.30120997847883</v>
      </c>
      <c r="AB763">
        <v>379.739</v>
      </c>
      <c r="AC763">
        <v>1.31567472009375</v>
      </c>
      <c r="AD763">
        <v>379.739</v>
      </c>
      <c r="AE763">
        <v>1.28169245629535</v>
      </c>
      <c r="AF763">
        <v>379.739</v>
      </c>
      <c r="AG763">
        <v>1.31707821073547</v>
      </c>
    </row>
    <row r="764" spans="24:33">
      <c r="X764">
        <v>380.238</v>
      </c>
      <c r="Y764">
        <v>1.26658639398565</v>
      </c>
      <c r="Z764">
        <v>380.238</v>
      </c>
      <c r="AA764">
        <v>1.30422971300769</v>
      </c>
      <c r="AB764">
        <v>380.238</v>
      </c>
      <c r="AC764">
        <v>1.31652463741974</v>
      </c>
      <c r="AD764">
        <v>380.238</v>
      </c>
      <c r="AE764">
        <v>1.27900218591746</v>
      </c>
      <c r="AF764">
        <v>380.238</v>
      </c>
      <c r="AG764">
        <v>1.32139646424705</v>
      </c>
    </row>
    <row r="765" spans="24:33">
      <c r="X765">
        <v>380.737</v>
      </c>
      <c r="Y765">
        <v>1.26312870001704</v>
      </c>
      <c r="Z765">
        <v>380.737</v>
      </c>
      <c r="AA765">
        <v>1.29539474657254</v>
      </c>
      <c r="AB765">
        <v>380.737</v>
      </c>
      <c r="AC765">
        <v>1.32107584617821</v>
      </c>
      <c r="AD765">
        <v>380.737</v>
      </c>
      <c r="AE765">
        <v>1.26725982864441</v>
      </c>
      <c r="AF765">
        <v>380.737</v>
      </c>
      <c r="AG765">
        <v>1.32933302321143</v>
      </c>
    </row>
    <row r="766" spans="24:33">
      <c r="X766">
        <v>381.236</v>
      </c>
      <c r="Y766">
        <v>1.2665718798497</v>
      </c>
      <c r="Z766">
        <v>381.236</v>
      </c>
      <c r="AA766">
        <v>1.28940927238614</v>
      </c>
      <c r="AB766">
        <v>381.236</v>
      </c>
      <c r="AC766">
        <v>1.32393020740652</v>
      </c>
      <c r="AD766">
        <v>381.236</v>
      </c>
      <c r="AE766">
        <v>1.26400918378625</v>
      </c>
      <c r="AF766">
        <v>381.236</v>
      </c>
      <c r="AG766">
        <v>1.32540733728078</v>
      </c>
    </row>
    <row r="767" spans="24:33">
      <c r="X767">
        <v>381.735</v>
      </c>
      <c r="Y767">
        <v>1.26408605193923</v>
      </c>
      <c r="Z767">
        <v>381.735</v>
      </c>
      <c r="AA767">
        <v>1.2971095268628</v>
      </c>
      <c r="AB767">
        <v>381.735</v>
      </c>
      <c r="AC767">
        <v>1.31798609766036</v>
      </c>
      <c r="AD767">
        <v>381.735</v>
      </c>
      <c r="AE767">
        <v>1.27228161447093</v>
      </c>
      <c r="AF767">
        <v>381.735</v>
      </c>
      <c r="AG767">
        <v>1.3204078567185</v>
      </c>
    </row>
    <row r="768" spans="24:33">
      <c r="X768">
        <v>382.234</v>
      </c>
      <c r="Y768">
        <v>1.26043041231858</v>
      </c>
      <c r="Z768">
        <v>382.234</v>
      </c>
      <c r="AA768">
        <v>1.29651491154342</v>
      </c>
      <c r="AB768">
        <v>382.234</v>
      </c>
      <c r="AC768">
        <v>1.32228322100723</v>
      </c>
      <c r="AD768">
        <v>382.234</v>
      </c>
      <c r="AE768">
        <v>1.27361009344734</v>
      </c>
      <c r="AF768">
        <v>382.234</v>
      </c>
      <c r="AG768">
        <v>1.3225425802713</v>
      </c>
    </row>
    <row r="769" spans="24:33">
      <c r="X769">
        <v>382.733</v>
      </c>
      <c r="Y769">
        <v>1.26456960572622</v>
      </c>
      <c r="Z769">
        <v>382.733</v>
      </c>
      <c r="AA769">
        <v>1.29543714903205</v>
      </c>
      <c r="AB769">
        <v>382.733</v>
      </c>
      <c r="AC769">
        <v>1.32626656104168</v>
      </c>
      <c r="AD769">
        <v>382.733</v>
      </c>
      <c r="AE769">
        <v>1.26751172507006</v>
      </c>
      <c r="AF769">
        <v>382.733</v>
      </c>
      <c r="AG769">
        <v>1.31771486065241</v>
      </c>
    </row>
    <row r="770" spans="24:33">
      <c r="X770">
        <v>383.232</v>
      </c>
      <c r="Y770">
        <v>1.26705182681498</v>
      </c>
      <c r="Z770">
        <v>383.232</v>
      </c>
      <c r="AA770">
        <v>1.3010415260824</v>
      </c>
      <c r="AB770">
        <v>383.232</v>
      </c>
      <c r="AC770">
        <v>1.31826062590261</v>
      </c>
      <c r="AD770">
        <v>383.232</v>
      </c>
      <c r="AE770">
        <v>1.26255163904078</v>
      </c>
      <c r="AF770">
        <v>383.232</v>
      </c>
      <c r="AG770">
        <v>1.31935638643888</v>
      </c>
    </row>
    <row r="771" spans="24:33">
      <c r="X771">
        <v>383.731</v>
      </c>
      <c r="Y771">
        <v>1.26041629081046</v>
      </c>
      <c r="Z771">
        <v>383.731</v>
      </c>
      <c r="AA771">
        <v>1.30796676317815</v>
      </c>
      <c r="AB771">
        <v>383.731</v>
      </c>
      <c r="AC771">
        <v>1.32315045940723</v>
      </c>
      <c r="AD771">
        <v>383.731</v>
      </c>
      <c r="AE771">
        <v>1.27064478304032</v>
      </c>
      <c r="AF771">
        <v>383.731</v>
      </c>
      <c r="AG771">
        <v>1.31941509512509</v>
      </c>
    </row>
    <row r="772" spans="24:33">
      <c r="X772">
        <v>384.23</v>
      </c>
      <c r="Y772">
        <v>1.26893405146839</v>
      </c>
      <c r="Z772">
        <v>384.23</v>
      </c>
      <c r="AA772">
        <v>1.30232813599471</v>
      </c>
      <c r="AB772">
        <v>384.23</v>
      </c>
      <c r="AC772">
        <v>1.32261255398348</v>
      </c>
      <c r="AD772">
        <v>384.23</v>
      </c>
      <c r="AE772">
        <v>1.26516284859478</v>
      </c>
      <c r="AF772">
        <v>384.23</v>
      </c>
      <c r="AG772">
        <v>1.32268194991323</v>
      </c>
    </row>
    <row r="773" spans="24:33">
      <c r="X773">
        <v>384.729</v>
      </c>
      <c r="Y773">
        <v>1.25952152633866</v>
      </c>
      <c r="Z773">
        <v>384.729</v>
      </c>
      <c r="AA773">
        <v>1.30386327847167</v>
      </c>
      <c r="AB773">
        <v>384.729</v>
      </c>
      <c r="AC773">
        <v>1.32033160794165</v>
      </c>
      <c r="AD773">
        <v>384.729</v>
      </c>
      <c r="AE773">
        <v>1.26033584338074</v>
      </c>
      <c r="AF773">
        <v>384.729</v>
      </c>
      <c r="AG773">
        <v>1.3247070541917</v>
      </c>
    </row>
    <row r="774" spans="24:33">
      <c r="X774">
        <v>385.228</v>
      </c>
      <c r="Y774">
        <v>1.26390920259868</v>
      </c>
      <c r="Z774">
        <v>385.228</v>
      </c>
      <c r="AA774">
        <v>1.30331387124878</v>
      </c>
      <c r="AB774">
        <v>385.228</v>
      </c>
      <c r="AC774">
        <v>1.31979936752568</v>
      </c>
      <c r="AD774">
        <v>385.228</v>
      </c>
      <c r="AE774">
        <v>1.2648701500787</v>
      </c>
      <c r="AF774">
        <v>385.228</v>
      </c>
      <c r="AG774">
        <v>1.32226683945285</v>
      </c>
    </row>
    <row r="775" spans="24:33">
      <c r="X775">
        <v>385.727</v>
      </c>
      <c r="Y775">
        <v>1.26702568132196</v>
      </c>
      <c r="Z775">
        <v>385.727</v>
      </c>
      <c r="AA775">
        <v>1.30618505329989</v>
      </c>
      <c r="AB775">
        <v>385.727</v>
      </c>
      <c r="AC775">
        <v>1.32298816126784</v>
      </c>
      <c r="AD775">
        <v>385.727</v>
      </c>
      <c r="AE775">
        <v>1.27001082909833</v>
      </c>
      <c r="AF775">
        <v>385.727</v>
      </c>
      <c r="AG775">
        <v>1.32376794974321</v>
      </c>
    </row>
    <row r="776" spans="24:33">
      <c r="X776">
        <v>386.226</v>
      </c>
      <c r="Y776">
        <v>1.26491009223742</v>
      </c>
      <c r="Z776">
        <v>386.226</v>
      </c>
      <c r="AA776">
        <v>1.30601548101257</v>
      </c>
      <c r="AB776">
        <v>386.226</v>
      </c>
      <c r="AC776">
        <v>1.31472630603397</v>
      </c>
      <c r="AD776">
        <v>386.226</v>
      </c>
      <c r="AE776">
        <v>1.27375372297255</v>
      </c>
      <c r="AF776">
        <v>386.226</v>
      </c>
      <c r="AG776">
        <v>1.32205090478483</v>
      </c>
    </row>
    <row r="777" spans="24:33">
      <c r="X777">
        <v>386.725</v>
      </c>
      <c r="Y777">
        <v>1.26257250502466</v>
      </c>
      <c r="Z777">
        <v>386.725</v>
      </c>
      <c r="AA777">
        <v>1.30455203160676</v>
      </c>
      <c r="AB777">
        <v>386.725</v>
      </c>
      <c r="AC777">
        <v>1.32755239149979</v>
      </c>
      <c r="AD777">
        <v>386.725</v>
      </c>
      <c r="AE777">
        <v>1.27023832106738</v>
      </c>
      <c r="AF777">
        <v>386.725</v>
      </c>
      <c r="AG777">
        <v>1.31951675279893</v>
      </c>
    </row>
    <row r="778" spans="24:33">
      <c r="X778">
        <v>387.224</v>
      </c>
      <c r="Y778">
        <v>1.26441480763043</v>
      </c>
      <c r="Z778">
        <v>387.224</v>
      </c>
      <c r="AA778">
        <v>1.30662056156042</v>
      </c>
      <c r="AB778">
        <v>387.224</v>
      </c>
      <c r="AC778">
        <v>1.32726294655823</v>
      </c>
      <c r="AD778">
        <v>387.224</v>
      </c>
      <c r="AE778">
        <v>1.27056091631628</v>
      </c>
      <c r="AF778">
        <v>387.224</v>
      </c>
      <c r="AG778">
        <v>1.31422966221818</v>
      </c>
    </row>
    <row r="779" spans="24:33">
      <c r="X779">
        <v>387.723</v>
      </c>
      <c r="Y779">
        <v>1.27370526266113</v>
      </c>
      <c r="Z779">
        <v>387.723</v>
      </c>
      <c r="AA779">
        <v>1.30354051698577</v>
      </c>
      <c r="AB779">
        <v>387.723</v>
      </c>
      <c r="AC779">
        <v>1.32813252697913</v>
      </c>
      <c r="AD779">
        <v>387.723</v>
      </c>
      <c r="AE779">
        <v>1.26691434185664</v>
      </c>
      <c r="AF779">
        <v>387.723</v>
      </c>
      <c r="AG779">
        <v>1.3290365028832</v>
      </c>
    </row>
    <row r="780" spans="24:33">
      <c r="X780">
        <v>388.222</v>
      </c>
      <c r="Y780">
        <v>1.27843130594786</v>
      </c>
      <c r="Z780">
        <v>388.222</v>
      </c>
      <c r="AA780">
        <v>1.30145854302653</v>
      </c>
      <c r="AB780">
        <v>388.222</v>
      </c>
      <c r="AC780">
        <v>1.32145591200334</v>
      </c>
      <c r="AD780">
        <v>388.222</v>
      </c>
      <c r="AE780">
        <v>1.25686520136775</v>
      </c>
      <c r="AF780">
        <v>388.222</v>
      </c>
      <c r="AG780">
        <v>1.32915925394793</v>
      </c>
    </row>
    <row r="781" spans="24:33">
      <c r="X781">
        <v>388.721</v>
      </c>
      <c r="Y781">
        <v>1.26853612451514</v>
      </c>
      <c r="Z781">
        <v>388.721</v>
      </c>
      <c r="AA781">
        <v>1.30339384174134</v>
      </c>
      <c r="AB781">
        <v>388.721</v>
      </c>
      <c r="AC781">
        <v>1.32602906591434</v>
      </c>
      <c r="AD781">
        <v>388.721</v>
      </c>
      <c r="AE781">
        <v>1.27099147988119</v>
      </c>
      <c r="AF781">
        <v>388.721</v>
      </c>
      <c r="AG781">
        <v>1.3242457535157</v>
      </c>
    </row>
    <row r="782" spans="24:33">
      <c r="X782">
        <v>389.22</v>
      </c>
      <c r="Y782">
        <v>1.28138637873597</v>
      </c>
      <c r="Z782">
        <v>389.22</v>
      </c>
      <c r="AA782">
        <v>1.30367677917879</v>
      </c>
      <c r="AB782">
        <v>389.22</v>
      </c>
      <c r="AC782">
        <v>1.323725328771</v>
      </c>
      <c r="AD782">
        <v>389.22</v>
      </c>
      <c r="AE782">
        <v>1.27133927180844</v>
      </c>
      <c r="AF782">
        <v>389.22</v>
      </c>
      <c r="AG782">
        <v>1.32270931724254</v>
      </c>
    </row>
    <row r="783" spans="24:33">
      <c r="X783">
        <v>389.719</v>
      </c>
      <c r="Y783">
        <v>1.2616855427908</v>
      </c>
      <c r="Z783">
        <v>389.719</v>
      </c>
      <c r="AA783">
        <v>1.29965136047064</v>
      </c>
      <c r="AB783">
        <v>389.719</v>
      </c>
      <c r="AC783">
        <v>1.32886562706972</v>
      </c>
      <c r="AD783">
        <v>389.719</v>
      </c>
      <c r="AE783">
        <v>1.26810878376654</v>
      </c>
      <c r="AF783">
        <v>389.719</v>
      </c>
      <c r="AG783">
        <v>1.31566164618138</v>
      </c>
    </row>
    <row r="784" spans="24:33">
      <c r="X784">
        <v>390.218</v>
      </c>
      <c r="Y784">
        <v>1.26830482927023</v>
      </c>
      <c r="Z784">
        <v>390.218</v>
      </c>
      <c r="AA784">
        <v>1.30038718825234</v>
      </c>
      <c r="AB784">
        <v>390.218</v>
      </c>
      <c r="AC784">
        <v>1.33514278027982</v>
      </c>
      <c r="AD784">
        <v>390.218</v>
      </c>
      <c r="AE784">
        <v>1.26508044976331</v>
      </c>
      <c r="AF784">
        <v>390.218</v>
      </c>
      <c r="AG784">
        <v>1.31498819324662</v>
      </c>
    </row>
    <row r="785" spans="24:33">
      <c r="X785">
        <v>390.717</v>
      </c>
      <c r="Y785">
        <v>1.27774676910476</v>
      </c>
      <c r="Z785">
        <v>390.717</v>
      </c>
      <c r="AA785">
        <v>1.29840065892886</v>
      </c>
      <c r="AB785">
        <v>390.717</v>
      </c>
      <c r="AC785">
        <v>1.32729189057512</v>
      </c>
      <c r="AD785">
        <v>390.717</v>
      </c>
      <c r="AE785">
        <v>1.27367342926784</v>
      </c>
      <c r="AF785">
        <v>390.717</v>
      </c>
      <c r="AG785">
        <v>1.32771516450494</v>
      </c>
    </row>
    <row r="786" spans="24:33">
      <c r="X786">
        <v>391.216</v>
      </c>
      <c r="Y786">
        <v>1.26523442681347</v>
      </c>
      <c r="Z786">
        <v>391.216</v>
      </c>
      <c r="AA786">
        <v>1.29457809694623</v>
      </c>
      <c r="AB786">
        <v>391.216</v>
      </c>
      <c r="AC786">
        <v>1.32872958442497</v>
      </c>
      <c r="AD786">
        <v>391.216</v>
      </c>
      <c r="AE786">
        <v>1.27353728589985</v>
      </c>
      <c r="AF786">
        <v>391.216</v>
      </c>
      <c r="AG786">
        <v>1.31815563862555</v>
      </c>
    </row>
    <row r="787" spans="24:33">
      <c r="X787">
        <v>391.715</v>
      </c>
      <c r="Y787">
        <v>1.2693641741053</v>
      </c>
      <c r="Z787">
        <v>391.715</v>
      </c>
      <c r="AA787">
        <v>1.29869658609985</v>
      </c>
      <c r="AB787">
        <v>391.715</v>
      </c>
      <c r="AC787">
        <v>1.32773366826462</v>
      </c>
      <c r="AD787">
        <v>391.715</v>
      </c>
      <c r="AE787">
        <v>1.27124663735571</v>
      </c>
      <c r="AF787">
        <v>391.715</v>
      </c>
      <c r="AG787">
        <v>1.32448697300395</v>
      </c>
    </row>
    <row r="788" spans="24:33">
      <c r="X788">
        <v>392.214</v>
      </c>
      <c r="Y788">
        <v>1.27363290203001</v>
      </c>
      <c r="Z788">
        <v>392.214</v>
      </c>
      <c r="AA788">
        <v>1.29649292494264</v>
      </c>
      <c r="AB788">
        <v>392.214</v>
      </c>
      <c r="AC788">
        <v>1.33057653295587</v>
      </c>
      <c r="AD788">
        <v>392.214</v>
      </c>
      <c r="AE788">
        <v>1.26866109036578</v>
      </c>
      <c r="AF788">
        <v>392.214</v>
      </c>
      <c r="AG788">
        <v>1.31696736465862</v>
      </c>
    </row>
    <row r="789" spans="24:33">
      <c r="X789">
        <v>392.713</v>
      </c>
      <c r="Y789">
        <v>1.26873122283442</v>
      </c>
      <c r="Z789">
        <v>392.713</v>
      </c>
      <c r="AA789">
        <v>1.29908080749642</v>
      </c>
      <c r="AB789">
        <v>392.713</v>
      </c>
      <c r="AC789">
        <v>1.32199211993196</v>
      </c>
      <c r="AD789">
        <v>392.713</v>
      </c>
      <c r="AE789">
        <v>1.26349434917565</v>
      </c>
      <c r="AF789">
        <v>392.713</v>
      </c>
      <c r="AG789">
        <v>1.33000593166759</v>
      </c>
    </row>
    <row r="790" spans="24:33">
      <c r="X790">
        <v>393.212</v>
      </c>
      <c r="Y790">
        <v>1.27059128065669</v>
      </c>
      <c r="Z790">
        <v>393.212</v>
      </c>
      <c r="AA790">
        <v>1.30242572443159</v>
      </c>
      <c r="AB790">
        <v>393.212</v>
      </c>
      <c r="AC790">
        <v>1.31623221916644</v>
      </c>
      <c r="AD790">
        <v>393.212</v>
      </c>
      <c r="AE790">
        <v>1.26228389831856</v>
      </c>
      <c r="AF790">
        <v>393.212</v>
      </c>
      <c r="AG790">
        <v>1.3264737171372</v>
      </c>
    </row>
    <row r="791" spans="24:33">
      <c r="X791">
        <v>393.711</v>
      </c>
      <c r="Y791">
        <v>1.26434984362669</v>
      </c>
      <c r="Z791">
        <v>393.711</v>
      </c>
      <c r="AA791">
        <v>1.30106632457421</v>
      </c>
      <c r="AB791">
        <v>393.711</v>
      </c>
      <c r="AC791">
        <v>1.3283956800544</v>
      </c>
      <c r="AD791">
        <v>393.711</v>
      </c>
      <c r="AE791">
        <v>1.27017662084754</v>
      </c>
      <c r="AF791">
        <v>393.711</v>
      </c>
      <c r="AG791">
        <v>1.32632373119082</v>
      </c>
    </row>
    <row r="792" spans="24:33">
      <c r="X792">
        <v>394.21</v>
      </c>
      <c r="Y792">
        <v>1.26465686400175</v>
      </c>
      <c r="Z792">
        <v>394.21</v>
      </c>
      <c r="AA792">
        <v>1.31085109941545</v>
      </c>
      <c r="AB792">
        <v>394.21</v>
      </c>
      <c r="AC792">
        <v>1.330818971488</v>
      </c>
      <c r="AD792">
        <v>394.21</v>
      </c>
      <c r="AE792">
        <v>1.27224015272506</v>
      </c>
      <c r="AF792">
        <v>394.21</v>
      </c>
      <c r="AG792">
        <v>1.32613739588218</v>
      </c>
    </row>
    <row r="793" spans="24:33">
      <c r="X793">
        <v>394.709</v>
      </c>
      <c r="Y793">
        <v>1.27098269146925</v>
      </c>
      <c r="Z793">
        <v>394.709</v>
      </c>
      <c r="AA793">
        <v>1.31152079106774</v>
      </c>
      <c r="AB793">
        <v>394.709</v>
      </c>
      <c r="AC793">
        <v>1.32661455021476</v>
      </c>
      <c r="AD793">
        <v>394.709</v>
      </c>
      <c r="AE793">
        <v>1.26823327750264</v>
      </c>
      <c r="AF793">
        <v>394.709</v>
      </c>
      <c r="AG793">
        <v>1.32543706795404</v>
      </c>
    </row>
    <row r="794" spans="24:33">
      <c r="X794">
        <v>395.208</v>
      </c>
      <c r="Y794">
        <v>1.26562092729484</v>
      </c>
      <c r="Z794">
        <v>395.208</v>
      </c>
      <c r="AA794">
        <v>1.29864593515768</v>
      </c>
      <c r="AB794">
        <v>395.208</v>
      </c>
      <c r="AC794">
        <v>1.32185636163118</v>
      </c>
      <c r="AD794">
        <v>395.208</v>
      </c>
      <c r="AE794">
        <v>1.27104460909945</v>
      </c>
      <c r="AF794">
        <v>395.208</v>
      </c>
      <c r="AG794">
        <v>1.32905714320055</v>
      </c>
    </row>
    <row r="795" spans="24:33">
      <c r="X795">
        <v>395.707</v>
      </c>
      <c r="Y795">
        <v>1.27418980137204</v>
      </c>
      <c r="Z795">
        <v>395.707</v>
      </c>
      <c r="AA795">
        <v>1.29473970368434</v>
      </c>
      <c r="AB795">
        <v>395.707</v>
      </c>
      <c r="AC795">
        <v>1.32926876078679</v>
      </c>
      <c r="AD795">
        <v>395.707</v>
      </c>
      <c r="AE795">
        <v>1.27644277086439</v>
      </c>
      <c r="AF795">
        <v>395.707</v>
      </c>
      <c r="AG795">
        <v>1.31983229094332</v>
      </c>
    </row>
    <row r="796" spans="24:33">
      <c r="X796">
        <v>396.206</v>
      </c>
      <c r="Y796">
        <v>1.26983773196615</v>
      </c>
      <c r="Z796">
        <v>396.206</v>
      </c>
      <c r="AA796">
        <v>1.30791911638134</v>
      </c>
      <c r="AB796">
        <v>396.206</v>
      </c>
      <c r="AC796">
        <v>1.32291978221677</v>
      </c>
      <c r="AD796">
        <v>396.206</v>
      </c>
      <c r="AE796">
        <v>1.27213993740785</v>
      </c>
      <c r="AF796">
        <v>396.206</v>
      </c>
      <c r="AG796">
        <v>1.32118883333373</v>
      </c>
    </row>
    <row r="797" spans="24:33">
      <c r="X797">
        <v>396.705</v>
      </c>
      <c r="Y797">
        <v>1.2693476778688</v>
      </c>
      <c r="Z797">
        <v>396.705</v>
      </c>
      <c r="AA797">
        <v>1.30219409501924</v>
      </c>
      <c r="AB797">
        <v>396.705</v>
      </c>
      <c r="AC797">
        <v>1.32456164745398</v>
      </c>
      <c r="AD797">
        <v>396.705</v>
      </c>
      <c r="AE797">
        <v>1.27756376843256</v>
      </c>
      <c r="AF797">
        <v>396.705</v>
      </c>
      <c r="AG797">
        <v>1.32484309237023</v>
      </c>
    </row>
    <row r="798" spans="24:33">
      <c r="X798">
        <v>397.204</v>
      </c>
      <c r="Y798">
        <v>1.26459405693056</v>
      </c>
      <c r="Z798">
        <v>397.204</v>
      </c>
      <c r="AA798">
        <v>1.30020305690662</v>
      </c>
      <c r="AB798">
        <v>397.204</v>
      </c>
      <c r="AC798">
        <v>1.32207399281716</v>
      </c>
      <c r="AD798">
        <v>397.204</v>
      </c>
      <c r="AE798">
        <v>1.27275127291648</v>
      </c>
      <c r="AF798">
        <v>397.204</v>
      </c>
      <c r="AG798">
        <v>1.32059679744329</v>
      </c>
    </row>
    <row r="799" spans="24:33">
      <c r="X799">
        <v>397.703</v>
      </c>
      <c r="Y799">
        <v>1.27270526170774</v>
      </c>
      <c r="Z799">
        <v>397.703</v>
      </c>
      <c r="AA799">
        <v>1.30066142805134</v>
      </c>
      <c r="AB799">
        <v>397.703</v>
      </c>
      <c r="AC799">
        <v>1.3274612530227</v>
      </c>
      <c r="AD799">
        <v>397.703</v>
      </c>
      <c r="AE799">
        <v>1.27153446924754</v>
      </c>
      <c r="AF799">
        <v>397.703</v>
      </c>
      <c r="AG799">
        <v>1.32233897765634</v>
      </c>
    </row>
    <row r="800" spans="24:33">
      <c r="X800">
        <v>398.202</v>
      </c>
      <c r="Y800">
        <v>1.26694605915304</v>
      </c>
      <c r="Z800">
        <v>398.202</v>
      </c>
      <c r="AA800">
        <v>1.30314079416345</v>
      </c>
      <c r="AB800">
        <v>398.202</v>
      </c>
      <c r="AC800">
        <v>1.33616975342933</v>
      </c>
      <c r="AD800">
        <v>398.202</v>
      </c>
      <c r="AE800">
        <v>1.27307372881957</v>
      </c>
      <c r="AF800">
        <v>398.202</v>
      </c>
      <c r="AG800">
        <v>1.31612359955641</v>
      </c>
    </row>
    <row r="801" spans="24:33">
      <c r="X801">
        <v>398.701</v>
      </c>
      <c r="Y801">
        <v>1.27470461194105</v>
      </c>
      <c r="Z801">
        <v>398.701</v>
      </c>
      <c r="AA801">
        <v>1.30139608129248</v>
      </c>
      <c r="AB801">
        <v>398.701</v>
      </c>
      <c r="AC801">
        <v>1.33798516337071</v>
      </c>
      <c r="AD801">
        <v>398.701</v>
      </c>
      <c r="AE801">
        <v>1.26995476567005</v>
      </c>
      <c r="AF801">
        <v>398.701</v>
      </c>
      <c r="AG801">
        <v>1.31012030589979</v>
      </c>
    </row>
    <row r="802" spans="24:33">
      <c r="X802">
        <v>399.2</v>
      </c>
      <c r="Y802">
        <v>1.27286048919031</v>
      </c>
      <c r="Z802">
        <v>399.2</v>
      </c>
      <c r="AA802">
        <v>1.3031386047629</v>
      </c>
      <c r="AB802">
        <v>399.2</v>
      </c>
      <c r="AC802">
        <v>1.33682455662496</v>
      </c>
      <c r="AD802">
        <v>399.2</v>
      </c>
      <c r="AE802">
        <v>1.26777934302915</v>
      </c>
      <c r="AF802">
        <v>399.2</v>
      </c>
      <c r="AG802">
        <v>1.32073041577069</v>
      </c>
    </row>
    <row r="803" spans="24:33">
      <c r="X803">
        <v>399.699</v>
      </c>
      <c r="Y803">
        <v>1.27150499775045</v>
      </c>
      <c r="Z803">
        <v>399.699</v>
      </c>
      <c r="AA803">
        <v>1.30178276818362</v>
      </c>
      <c r="AB803">
        <v>399.699</v>
      </c>
      <c r="AC803">
        <v>1.33061165194057</v>
      </c>
      <c r="AD803">
        <v>399.699</v>
      </c>
      <c r="AE803">
        <v>1.27487041736698</v>
      </c>
      <c r="AF803">
        <v>399.699</v>
      </c>
      <c r="AG803">
        <v>1.32281938174108</v>
      </c>
    </row>
    <row r="804" spans="24:33">
      <c r="X804">
        <v>400.198</v>
      </c>
      <c r="Y804">
        <v>1.26550712272772</v>
      </c>
      <c r="Z804">
        <v>400.198</v>
      </c>
      <c r="AA804">
        <v>1.30689874529108</v>
      </c>
      <c r="AB804">
        <v>400.198</v>
      </c>
      <c r="AC804">
        <v>1.33463372034633</v>
      </c>
      <c r="AD804">
        <v>400.198</v>
      </c>
      <c r="AE804">
        <v>1.27819181252861</v>
      </c>
      <c r="AF804">
        <v>400.198</v>
      </c>
      <c r="AG804">
        <v>1.32777447232747</v>
      </c>
    </row>
    <row r="805" spans="24:33">
      <c r="X805">
        <v>400.697</v>
      </c>
      <c r="Y805">
        <v>1.27081373697502</v>
      </c>
      <c r="Z805">
        <v>400.697</v>
      </c>
      <c r="AA805">
        <v>1.29840973141449</v>
      </c>
      <c r="AB805">
        <v>400.697</v>
      </c>
      <c r="AC805">
        <v>1.32615314163728</v>
      </c>
      <c r="AD805">
        <v>400.697</v>
      </c>
      <c r="AE805">
        <v>1.26807166268074</v>
      </c>
      <c r="AF805">
        <v>400.697</v>
      </c>
      <c r="AG805">
        <v>1.32239549049047</v>
      </c>
    </row>
    <row r="806" spans="24:33">
      <c r="X806">
        <v>401.196</v>
      </c>
      <c r="Y806">
        <v>1.27074406471725</v>
      </c>
      <c r="Z806">
        <v>401.196</v>
      </c>
      <c r="AA806">
        <v>1.30614556245438</v>
      </c>
      <c r="AB806">
        <v>401.196</v>
      </c>
      <c r="AC806">
        <v>1.3257277053607</v>
      </c>
      <c r="AD806">
        <v>401.196</v>
      </c>
      <c r="AE806">
        <v>1.26715289224522</v>
      </c>
      <c r="AF806">
        <v>401.196</v>
      </c>
      <c r="AG806">
        <v>1.32526031592126</v>
      </c>
    </row>
    <row r="807" spans="24:33">
      <c r="X807">
        <v>401.695</v>
      </c>
      <c r="Y807">
        <v>1.27673155015739</v>
      </c>
      <c r="Z807">
        <v>401.695</v>
      </c>
      <c r="AA807">
        <v>1.31126470856281</v>
      </c>
      <c r="AB807">
        <v>401.695</v>
      </c>
      <c r="AC807">
        <v>1.33376764162675</v>
      </c>
      <c r="AD807">
        <v>401.695</v>
      </c>
      <c r="AE807">
        <v>1.26755259211526</v>
      </c>
      <c r="AF807">
        <v>401.695</v>
      </c>
      <c r="AG807">
        <v>1.3223731881797</v>
      </c>
    </row>
    <row r="808" spans="24:33">
      <c r="X808">
        <v>402.194</v>
      </c>
      <c r="Y808">
        <v>1.26422438319302</v>
      </c>
      <c r="Z808">
        <v>402.194</v>
      </c>
      <c r="AA808">
        <v>1.3074472901224</v>
      </c>
      <c r="AB808">
        <v>402.194</v>
      </c>
      <c r="AC808">
        <v>1.32596221298254</v>
      </c>
      <c r="AD808">
        <v>402.194</v>
      </c>
      <c r="AE808">
        <v>1.27410975976924</v>
      </c>
      <c r="AF808">
        <v>402.194</v>
      </c>
      <c r="AG808">
        <v>1.32179886404468</v>
      </c>
    </row>
    <row r="809" spans="24:33">
      <c r="X809">
        <v>402.693</v>
      </c>
      <c r="Y809">
        <v>1.2631427705407</v>
      </c>
      <c r="Z809">
        <v>402.693</v>
      </c>
      <c r="AA809">
        <v>1.30492647653197</v>
      </c>
      <c r="AB809">
        <v>402.693</v>
      </c>
      <c r="AC809">
        <v>1.32939423846594</v>
      </c>
      <c r="AD809">
        <v>402.693</v>
      </c>
      <c r="AE809">
        <v>1.27325966015259</v>
      </c>
      <c r="AF809">
        <v>402.693</v>
      </c>
      <c r="AG809">
        <v>1.32254380651387</v>
      </c>
    </row>
    <row r="810" spans="24:33">
      <c r="X810">
        <v>403.192</v>
      </c>
      <c r="Y810">
        <v>1.26449575817906</v>
      </c>
      <c r="Z810">
        <v>403.192</v>
      </c>
      <c r="AA810">
        <v>1.30507747931804</v>
      </c>
      <c r="AB810">
        <v>403.192</v>
      </c>
      <c r="AC810">
        <v>1.33260391086999</v>
      </c>
      <c r="AD810">
        <v>403.192</v>
      </c>
      <c r="AE810">
        <v>1.26969335210886</v>
      </c>
      <c r="AF810">
        <v>403.192</v>
      </c>
      <c r="AG810">
        <v>1.31805916640918</v>
      </c>
    </row>
    <row r="811" spans="24:33">
      <c r="X811">
        <v>403.691</v>
      </c>
      <c r="Y811">
        <v>1.27235692561348</v>
      </c>
      <c r="Z811">
        <v>403.691</v>
      </c>
      <c r="AA811">
        <v>1.3149923695426</v>
      </c>
      <c r="AB811">
        <v>403.691</v>
      </c>
      <c r="AC811">
        <v>1.32288476398062</v>
      </c>
      <c r="AD811">
        <v>403.691</v>
      </c>
      <c r="AE811">
        <v>1.27477933024765</v>
      </c>
      <c r="AF811">
        <v>403.691</v>
      </c>
      <c r="AG811">
        <v>1.31637425562518</v>
      </c>
    </row>
    <row r="812" spans="24:33">
      <c r="X812">
        <v>404.19</v>
      </c>
      <c r="Y812">
        <v>1.26701452623771</v>
      </c>
      <c r="Z812">
        <v>404.19</v>
      </c>
      <c r="AA812">
        <v>1.3047541504149</v>
      </c>
      <c r="AB812">
        <v>404.19</v>
      </c>
      <c r="AC812">
        <v>1.3370417700954</v>
      </c>
      <c r="AD812">
        <v>404.19</v>
      </c>
      <c r="AE812">
        <v>1.27543611160435</v>
      </c>
      <c r="AF812">
        <v>404.19</v>
      </c>
      <c r="AG812">
        <v>1.32029715940282</v>
      </c>
    </row>
    <row r="813" spans="24:33">
      <c r="X813">
        <v>404.689</v>
      </c>
      <c r="Y813">
        <v>1.26583662127999</v>
      </c>
      <c r="Z813">
        <v>404.689</v>
      </c>
      <c r="AA813">
        <v>1.3008288925854</v>
      </c>
      <c r="AB813">
        <v>404.689</v>
      </c>
      <c r="AC813">
        <v>1.33087139001735</v>
      </c>
      <c r="AD813">
        <v>404.689</v>
      </c>
      <c r="AE813">
        <v>1.27734761180001</v>
      </c>
      <c r="AF813">
        <v>404.689</v>
      </c>
      <c r="AG813">
        <v>1.32064429999508</v>
      </c>
    </row>
    <row r="814" spans="24:33">
      <c r="X814">
        <v>405.188</v>
      </c>
      <c r="Y814">
        <v>1.26451323094253</v>
      </c>
      <c r="Z814">
        <v>405.188</v>
      </c>
      <c r="AA814">
        <v>1.3003949754356</v>
      </c>
      <c r="AB814">
        <v>405.188</v>
      </c>
      <c r="AC814">
        <v>1.32779295734148</v>
      </c>
      <c r="AD814">
        <v>405.188</v>
      </c>
      <c r="AE814">
        <v>1.27883756989984</v>
      </c>
      <c r="AF814">
        <v>405.188</v>
      </c>
      <c r="AG814">
        <v>1.33058277139657</v>
      </c>
    </row>
    <row r="815" spans="24:33">
      <c r="X815">
        <v>405.687</v>
      </c>
      <c r="Y815">
        <v>1.26345042593108</v>
      </c>
      <c r="Z815">
        <v>405.687</v>
      </c>
      <c r="AA815">
        <v>1.30746896294932</v>
      </c>
      <c r="AB815">
        <v>405.687</v>
      </c>
      <c r="AC815">
        <v>1.32287955205916</v>
      </c>
      <c r="AD815">
        <v>405.687</v>
      </c>
      <c r="AE815">
        <v>1.27674033793188</v>
      </c>
      <c r="AF815">
        <v>405.687</v>
      </c>
      <c r="AG815">
        <v>1.32173821089065</v>
      </c>
    </row>
    <row r="816" spans="24:33">
      <c r="X816">
        <v>406.186</v>
      </c>
      <c r="Y816">
        <v>1.27029709608918</v>
      </c>
      <c r="Z816">
        <v>406.186</v>
      </c>
      <c r="AA816">
        <v>1.30466690088231</v>
      </c>
      <c r="AB816">
        <v>406.186</v>
      </c>
      <c r="AC816">
        <v>1.32169323362137</v>
      </c>
      <c r="AD816">
        <v>406.186</v>
      </c>
      <c r="AE816">
        <v>1.27521224599896</v>
      </c>
      <c r="AF816">
        <v>406.186</v>
      </c>
      <c r="AG816">
        <v>1.32307748121818</v>
      </c>
    </row>
    <row r="817" spans="24:33">
      <c r="X817">
        <v>406.685</v>
      </c>
      <c r="Y817">
        <v>1.26698646222814</v>
      </c>
      <c r="Z817">
        <v>406.685</v>
      </c>
      <c r="AA817">
        <v>1.3097802448947</v>
      </c>
      <c r="AB817">
        <v>406.685</v>
      </c>
      <c r="AC817">
        <v>1.3248377372226</v>
      </c>
      <c r="AD817">
        <v>406.685</v>
      </c>
      <c r="AE817">
        <v>1.27294046942588</v>
      </c>
      <c r="AF817">
        <v>406.685</v>
      </c>
      <c r="AG817">
        <v>1.32949906203758</v>
      </c>
    </row>
    <row r="818" spans="24:33">
      <c r="X818">
        <v>407.184</v>
      </c>
      <c r="Y818">
        <v>1.27035023766362</v>
      </c>
      <c r="Z818">
        <v>407.184</v>
      </c>
      <c r="AA818">
        <v>1.30840031133175</v>
      </c>
      <c r="AB818">
        <v>407.184</v>
      </c>
      <c r="AC818">
        <v>1.32838784923117</v>
      </c>
      <c r="AD818">
        <v>407.184</v>
      </c>
      <c r="AE818">
        <v>1.26861973305743</v>
      </c>
      <c r="AF818">
        <v>407.184</v>
      </c>
      <c r="AG818">
        <v>1.32260764242462</v>
      </c>
    </row>
    <row r="819" spans="24:33">
      <c r="X819">
        <v>407.683</v>
      </c>
      <c r="Y819">
        <v>1.27021625442064</v>
      </c>
      <c r="Z819">
        <v>407.683</v>
      </c>
      <c r="AA819">
        <v>1.30291625923497</v>
      </c>
      <c r="AB819">
        <v>407.683</v>
      </c>
      <c r="AC819">
        <v>1.32501281243104</v>
      </c>
      <c r="AD819">
        <v>407.683</v>
      </c>
      <c r="AE819">
        <v>1.27512260379773</v>
      </c>
      <c r="AF819">
        <v>407.683</v>
      </c>
      <c r="AG819">
        <v>1.32212835852347</v>
      </c>
    </row>
    <row r="820" spans="24:33">
      <c r="X820">
        <v>408.182</v>
      </c>
      <c r="Y820">
        <v>1.25847957117187</v>
      </c>
      <c r="Z820">
        <v>408.182</v>
      </c>
      <c r="AA820">
        <v>1.2958366338502</v>
      </c>
      <c r="AB820">
        <v>408.182</v>
      </c>
      <c r="AC820">
        <v>1.32637903946467</v>
      </c>
      <c r="AD820">
        <v>408.182</v>
      </c>
      <c r="AE820">
        <v>1.26624778437673</v>
      </c>
      <c r="AF820">
        <v>408.182</v>
      </c>
      <c r="AG820">
        <v>1.32524961359099</v>
      </c>
    </row>
    <row r="821" spans="24:33">
      <c r="X821">
        <v>408.681</v>
      </c>
      <c r="Y821">
        <v>1.26458640494863</v>
      </c>
      <c r="Z821">
        <v>408.681</v>
      </c>
      <c r="AA821">
        <v>1.29733548169248</v>
      </c>
      <c r="AB821">
        <v>408.681</v>
      </c>
      <c r="AC821">
        <v>1.32610375347585</v>
      </c>
      <c r="AD821">
        <v>408.681</v>
      </c>
      <c r="AE821">
        <v>1.26689365767223</v>
      </c>
      <c r="AF821">
        <v>408.681</v>
      </c>
      <c r="AG821">
        <v>1.32271608243247</v>
      </c>
    </row>
    <row r="822" spans="24:33">
      <c r="X822">
        <v>409.18</v>
      </c>
      <c r="Y822">
        <v>1.26549202527864</v>
      </c>
      <c r="Z822">
        <v>409.18</v>
      </c>
      <c r="AA822">
        <v>1.30202140782256</v>
      </c>
      <c r="AB822">
        <v>409.18</v>
      </c>
      <c r="AC822">
        <v>1.31704004372612</v>
      </c>
      <c r="AD822">
        <v>409.18</v>
      </c>
      <c r="AE822">
        <v>1.26664664154556</v>
      </c>
      <c r="AF822">
        <v>409.18</v>
      </c>
      <c r="AG822">
        <v>1.32239513121629</v>
      </c>
    </row>
    <row r="823" spans="24:33">
      <c r="X823">
        <v>409.679</v>
      </c>
      <c r="Y823">
        <v>1.25932538644937</v>
      </c>
      <c r="Z823">
        <v>409.679</v>
      </c>
      <c r="AA823">
        <v>1.3059452466358</v>
      </c>
      <c r="AB823">
        <v>409.679</v>
      </c>
      <c r="AC823">
        <v>1.31450299578564</v>
      </c>
      <c r="AD823">
        <v>409.679</v>
      </c>
      <c r="AE823">
        <v>1.27238315725223</v>
      </c>
      <c r="AF823">
        <v>409.679</v>
      </c>
      <c r="AG823">
        <v>1.32254066222782</v>
      </c>
    </row>
    <row r="824" spans="24:33">
      <c r="X824">
        <v>410.178</v>
      </c>
      <c r="Y824">
        <v>1.25559432221335</v>
      </c>
      <c r="Z824">
        <v>410.178</v>
      </c>
      <c r="AA824">
        <v>1.30081855903651</v>
      </c>
      <c r="AB824">
        <v>410.178</v>
      </c>
      <c r="AC824">
        <v>1.32634756672765</v>
      </c>
      <c r="AD824">
        <v>410.178</v>
      </c>
      <c r="AE824">
        <v>1.26649080915088</v>
      </c>
      <c r="AF824">
        <v>410.178</v>
      </c>
      <c r="AG824">
        <v>1.32175011989014</v>
      </c>
    </row>
    <row r="825" spans="24:33">
      <c r="X825">
        <v>410.677</v>
      </c>
      <c r="Y825">
        <v>1.26035794096414</v>
      </c>
      <c r="Z825">
        <v>410.677</v>
      </c>
      <c r="AA825">
        <v>1.30534060446309</v>
      </c>
      <c r="AB825">
        <v>410.677</v>
      </c>
      <c r="AC825">
        <v>1.32314184825837</v>
      </c>
      <c r="AD825">
        <v>410.677</v>
      </c>
      <c r="AE825">
        <v>1.273884421157</v>
      </c>
      <c r="AF825">
        <v>410.677</v>
      </c>
      <c r="AG825">
        <v>1.32799418696554</v>
      </c>
    </row>
    <row r="826" spans="24:33">
      <c r="X826">
        <v>411.176</v>
      </c>
      <c r="Y826">
        <v>1.26366350713158</v>
      </c>
      <c r="Z826">
        <v>411.176</v>
      </c>
      <c r="AA826">
        <v>1.30253141318307</v>
      </c>
      <c r="AB826">
        <v>411.176</v>
      </c>
      <c r="AC826">
        <v>1.32009067772224</v>
      </c>
      <c r="AD826">
        <v>411.176</v>
      </c>
      <c r="AE826">
        <v>1.27199461612423</v>
      </c>
      <c r="AF826">
        <v>411.176</v>
      </c>
      <c r="AG826">
        <v>1.32829305259072</v>
      </c>
    </row>
    <row r="827" spans="24:33">
      <c r="X827">
        <v>411.675</v>
      </c>
      <c r="Y827">
        <v>1.26344811265891</v>
      </c>
      <c r="Z827">
        <v>411.675</v>
      </c>
      <c r="AA827">
        <v>1.30101427487333</v>
      </c>
      <c r="AB827">
        <v>411.675</v>
      </c>
      <c r="AC827">
        <v>1.32901781986039</v>
      </c>
      <c r="AD827">
        <v>411.675</v>
      </c>
      <c r="AE827">
        <v>1.27631242154857</v>
      </c>
      <c r="AF827">
        <v>411.675</v>
      </c>
      <c r="AG827">
        <v>1.32764787881605</v>
      </c>
    </row>
    <row r="828" spans="24:33">
      <c r="X828">
        <v>412.174</v>
      </c>
      <c r="Y828">
        <v>1.26255249431264</v>
      </c>
      <c r="Z828">
        <v>412.174</v>
      </c>
      <c r="AA828">
        <v>1.30465189564098</v>
      </c>
      <c r="AB828">
        <v>412.174</v>
      </c>
      <c r="AC828">
        <v>1.3223780628812</v>
      </c>
      <c r="AD828">
        <v>412.174</v>
      </c>
      <c r="AE828">
        <v>1.27683213458116</v>
      </c>
      <c r="AF828">
        <v>412.174</v>
      </c>
      <c r="AG828">
        <v>1.32598271324453</v>
      </c>
    </row>
    <row r="829" spans="24:33">
      <c r="X829">
        <v>412.673</v>
      </c>
      <c r="Y829">
        <v>1.26661499647765</v>
      </c>
      <c r="Z829">
        <v>412.673</v>
      </c>
      <c r="AA829">
        <v>1.30103502775265</v>
      </c>
      <c r="AB829">
        <v>412.673</v>
      </c>
      <c r="AC829">
        <v>1.32130636139055</v>
      </c>
      <c r="AD829">
        <v>412.673</v>
      </c>
      <c r="AE829">
        <v>1.27802385359062</v>
      </c>
      <c r="AF829">
        <v>412.673</v>
      </c>
      <c r="AG829">
        <v>1.31780767073923</v>
      </c>
    </row>
    <row r="830" spans="24:33">
      <c r="X830">
        <v>413.172</v>
      </c>
      <c r="Y830">
        <v>1.26643153884939</v>
      </c>
      <c r="Z830">
        <v>413.172</v>
      </c>
      <c r="AA830">
        <v>1.30254461803781</v>
      </c>
      <c r="AB830">
        <v>413.172</v>
      </c>
      <c r="AC830">
        <v>1.32461555450182</v>
      </c>
      <c r="AD830">
        <v>413.172</v>
      </c>
      <c r="AE830">
        <v>1.26748701641441</v>
      </c>
      <c r="AF830">
        <v>413.172</v>
      </c>
      <c r="AG830">
        <v>1.3263242291025</v>
      </c>
    </row>
    <row r="831" spans="24:33">
      <c r="X831">
        <v>413.671</v>
      </c>
      <c r="Y831">
        <v>1.26063716660102</v>
      </c>
      <c r="Z831">
        <v>413.671</v>
      </c>
      <c r="AA831">
        <v>1.30619950468109</v>
      </c>
      <c r="AB831">
        <v>413.671</v>
      </c>
      <c r="AC831">
        <v>1.32331570956549</v>
      </c>
      <c r="AD831">
        <v>413.671</v>
      </c>
      <c r="AE831">
        <v>1.26447859462083</v>
      </c>
      <c r="AF831">
        <v>413.671</v>
      </c>
      <c r="AG831">
        <v>1.32166612197304</v>
      </c>
    </row>
    <row r="832" spans="24:33">
      <c r="X832">
        <v>414.17</v>
      </c>
      <c r="Y832">
        <v>1.24685811460947</v>
      </c>
      <c r="Z832">
        <v>414.17</v>
      </c>
      <c r="AA832">
        <v>1.30712398125713</v>
      </c>
      <c r="AB832">
        <v>414.17</v>
      </c>
      <c r="AC832">
        <v>1.32379325704437</v>
      </c>
      <c r="AD832">
        <v>414.17</v>
      </c>
      <c r="AE832">
        <v>1.27332766951046</v>
      </c>
      <c r="AF832">
        <v>414.17</v>
      </c>
      <c r="AG832">
        <v>1.32749444214737</v>
      </c>
    </row>
    <row r="833" spans="24:33">
      <c r="X833">
        <v>414.669</v>
      </c>
      <c r="Y833">
        <v>1.26882943688376</v>
      </c>
      <c r="Z833">
        <v>414.669</v>
      </c>
      <c r="AA833">
        <v>1.29990872041647</v>
      </c>
      <c r="AB833">
        <v>414.669</v>
      </c>
      <c r="AC833">
        <v>1.32100092690229</v>
      </c>
      <c r="AD833">
        <v>414.669</v>
      </c>
      <c r="AE833">
        <v>1.26071288984114</v>
      </c>
      <c r="AF833">
        <v>414.669</v>
      </c>
      <c r="AG833">
        <v>1.33050066203295</v>
      </c>
    </row>
    <row r="834" spans="24:33">
      <c r="X834">
        <v>415.168</v>
      </c>
      <c r="Y834">
        <v>1.27010968602116</v>
      </c>
      <c r="Z834">
        <v>415.168</v>
      </c>
      <c r="AA834">
        <v>1.31289512495667</v>
      </c>
      <c r="AB834">
        <v>415.168</v>
      </c>
      <c r="AC834">
        <v>1.32417238640574</v>
      </c>
      <c r="AD834">
        <v>415.168</v>
      </c>
      <c r="AE834">
        <v>1.26194406835962</v>
      </c>
      <c r="AF834">
        <v>415.168</v>
      </c>
      <c r="AG834">
        <v>1.32618494846491</v>
      </c>
    </row>
    <row r="835" spans="24:33">
      <c r="X835">
        <v>415.667</v>
      </c>
      <c r="Y835">
        <v>1.26833855500952</v>
      </c>
      <c r="Z835">
        <v>415.667</v>
      </c>
      <c r="AA835">
        <v>1.30255122578857</v>
      </c>
      <c r="AB835">
        <v>415.667</v>
      </c>
      <c r="AC835">
        <v>1.32943956961076</v>
      </c>
      <c r="AD835">
        <v>415.667</v>
      </c>
      <c r="AE835">
        <v>1.26047886037449</v>
      </c>
      <c r="AF835">
        <v>415.667</v>
      </c>
      <c r="AG835">
        <v>1.32037933096974</v>
      </c>
    </row>
    <row r="836" spans="24:33">
      <c r="X836">
        <v>416.166</v>
      </c>
      <c r="Y836">
        <v>1.26680404265228</v>
      </c>
      <c r="Z836">
        <v>416.166</v>
      </c>
      <c r="AA836">
        <v>1.30207064020846</v>
      </c>
      <c r="AB836">
        <v>416.166</v>
      </c>
      <c r="AC836">
        <v>1.32204803970539</v>
      </c>
      <c r="AD836">
        <v>416.166</v>
      </c>
      <c r="AE836">
        <v>1.26078604115237</v>
      </c>
      <c r="AF836">
        <v>416.166</v>
      </c>
      <c r="AG836">
        <v>1.31871799851357</v>
      </c>
    </row>
    <row r="837" spans="24:33">
      <c r="X837">
        <v>416.665</v>
      </c>
      <c r="Y837">
        <v>1.27426300101537</v>
      </c>
      <c r="Z837">
        <v>416.665</v>
      </c>
      <c r="AA837">
        <v>1.30781058100685</v>
      </c>
      <c r="AB837">
        <v>416.665</v>
      </c>
      <c r="AC837">
        <v>1.32054463907784</v>
      </c>
      <c r="AD837">
        <v>416.665</v>
      </c>
      <c r="AE837">
        <v>1.26266549383287</v>
      </c>
      <c r="AF837">
        <v>416.665</v>
      </c>
      <c r="AG837">
        <v>1.32180180772446</v>
      </c>
    </row>
    <row r="838" spans="24:33">
      <c r="X838">
        <v>417.164</v>
      </c>
      <c r="Y838">
        <v>1.26864892320525</v>
      </c>
      <c r="Z838">
        <v>417.164</v>
      </c>
      <c r="AA838">
        <v>1.29830226536249</v>
      </c>
      <c r="AB838">
        <v>417.164</v>
      </c>
      <c r="AC838">
        <v>1.32207645248186</v>
      </c>
      <c r="AD838">
        <v>417.164</v>
      </c>
      <c r="AE838">
        <v>1.26895792347719</v>
      </c>
      <c r="AF838">
        <v>417.164</v>
      </c>
      <c r="AG838">
        <v>1.31836007151388</v>
      </c>
    </row>
    <row r="839" spans="24:33">
      <c r="X839">
        <v>417.663</v>
      </c>
      <c r="Y839">
        <v>1.2693302274238</v>
      </c>
      <c r="Z839">
        <v>417.663</v>
      </c>
      <c r="AA839">
        <v>1.30586121611566</v>
      </c>
      <c r="AB839">
        <v>417.663</v>
      </c>
      <c r="AC839">
        <v>1.3259261774551</v>
      </c>
      <c r="AD839">
        <v>417.663</v>
      </c>
      <c r="AE839">
        <v>1.27119962067365</v>
      </c>
      <c r="AF839">
        <v>417.663</v>
      </c>
      <c r="AG839">
        <v>1.31593713351268</v>
      </c>
    </row>
    <row r="840" spans="24:33">
      <c r="X840">
        <v>418.162</v>
      </c>
      <c r="Y840">
        <v>1.25813215318613</v>
      </c>
      <c r="Z840">
        <v>418.162</v>
      </c>
      <c r="AA840">
        <v>1.31507024743478</v>
      </c>
      <c r="AB840">
        <v>418.162</v>
      </c>
      <c r="AC840">
        <v>1.32316449390459</v>
      </c>
      <c r="AD840">
        <v>418.162</v>
      </c>
      <c r="AE840">
        <v>1.27001628366372</v>
      </c>
      <c r="AF840">
        <v>418.162</v>
      </c>
      <c r="AG840">
        <v>1.32545460696738</v>
      </c>
    </row>
    <row r="841" spans="24:33">
      <c r="X841">
        <v>418.661</v>
      </c>
      <c r="Y841">
        <v>1.26915391790084</v>
      </c>
      <c r="Z841">
        <v>418.661</v>
      </c>
      <c r="AA841">
        <v>1.30936712808864</v>
      </c>
      <c r="AB841">
        <v>418.661</v>
      </c>
      <c r="AC841">
        <v>1.3186409596668</v>
      </c>
      <c r="AD841">
        <v>418.661</v>
      </c>
      <c r="AE841">
        <v>1.26330032917762</v>
      </c>
      <c r="AF841">
        <v>418.661</v>
      </c>
      <c r="AG841">
        <v>1.32662862728986</v>
      </c>
    </row>
    <row r="842" spans="24:33">
      <c r="X842">
        <v>419.16</v>
      </c>
      <c r="Y842">
        <v>1.27366399664306</v>
      </c>
      <c r="Z842">
        <v>419.16</v>
      </c>
      <c r="AA842">
        <v>1.31036133681026</v>
      </c>
      <c r="AB842">
        <v>419.16</v>
      </c>
      <c r="AC842">
        <v>1.32078437132687</v>
      </c>
      <c r="AD842">
        <v>419.16</v>
      </c>
      <c r="AE842">
        <v>1.25757639252771</v>
      </c>
      <c r="AF842">
        <v>419.16</v>
      </c>
      <c r="AG842">
        <v>1.32634484049389</v>
      </c>
    </row>
    <row r="843" spans="24:33">
      <c r="X843">
        <v>419.659</v>
      </c>
      <c r="Y843">
        <v>1.26675170836393</v>
      </c>
      <c r="Z843">
        <v>419.659</v>
      </c>
      <c r="AA843">
        <v>1.3055419714241</v>
      </c>
      <c r="AB843">
        <v>419.659</v>
      </c>
      <c r="AC843">
        <v>1.32348351529532</v>
      </c>
      <c r="AD843">
        <v>419.659</v>
      </c>
      <c r="AE843">
        <v>1.26796388279732</v>
      </c>
      <c r="AF843">
        <v>419.659</v>
      </c>
      <c r="AG843">
        <v>1.32463388595999</v>
      </c>
    </row>
    <row r="844" spans="24:33">
      <c r="X844">
        <v>420.158</v>
      </c>
      <c r="Y844">
        <v>1.26298083458463</v>
      </c>
      <c r="Z844">
        <v>420.158</v>
      </c>
      <c r="AA844">
        <v>1.30943276524186</v>
      </c>
      <c r="AB844">
        <v>420.158</v>
      </c>
      <c r="AC844">
        <v>1.32056869627548</v>
      </c>
      <c r="AD844">
        <v>420.158</v>
      </c>
      <c r="AE844">
        <v>1.26534770408971</v>
      </c>
      <c r="AF844">
        <v>420.158</v>
      </c>
      <c r="AG844">
        <v>1.3233642180264</v>
      </c>
    </row>
    <row r="845" spans="24:33">
      <c r="X845">
        <v>420.657</v>
      </c>
      <c r="Y845">
        <v>1.25901182675256</v>
      </c>
      <c r="Z845">
        <v>420.657</v>
      </c>
      <c r="AA845">
        <v>1.29816946370203</v>
      </c>
      <c r="AB845">
        <v>420.657</v>
      </c>
      <c r="AC845">
        <v>1.32879070725986</v>
      </c>
      <c r="AD845">
        <v>420.657</v>
      </c>
      <c r="AE845">
        <v>1.26211635597155</v>
      </c>
      <c r="AF845">
        <v>420.657</v>
      </c>
      <c r="AG845">
        <v>1.32357053155214</v>
      </c>
    </row>
    <row r="846" spans="24:33">
      <c r="X846">
        <v>421.156</v>
      </c>
      <c r="Y846">
        <v>1.26596516217616</v>
      </c>
      <c r="Z846">
        <v>421.156</v>
      </c>
      <c r="AA846">
        <v>1.30291987636336</v>
      </c>
      <c r="AB846">
        <v>421.156</v>
      </c>
      <c r="AC846">
        <v>1.31813685424795</v>
      </c>
      <c r="AD846">
        <v>421.156</v>
      </c>
      <c r="AE846">
        <v>1.26523844981138</v>
      </c>
      <c r="AF846">
        <v>421.156</v>
      </c>
      <c r="AG846">
        <v>1.32430880207494</v>
      </c>
    </row>
    <row r="847" spans="24:33">
      <c r="X847">
        <v>421.655</v>
      </c>
      <c r="Y847">
        <v>1.26379924600312</v>
      </c>
      <c r="Z847">
        <v>421.655</v>
      </c>
      <c r="AA847">
        <v>1.31071830912565</v>
      </c>
      <c r="AB847">
        <v>421.655</v>
      </c>
      <c r="AC847">
        <v>1.32114300100453</v>
      </c>
      <c r="AD847">
        <v>421.655</v>
      </c>
      <c r="AE847">
        <v>1.26264703402587</v>
      </c>
      <c r="AF847">
        <v>421.655</v>
      </c>
      <c r="AG847">
        <v>1.33324249144194</v>
      </c>
    </row>
    <row r="848" spans="24:33">
      <c r="X848">
        <v>422.154</v>
      </c>
      <c r="Y848">
        <v>1.26980994035215</v>
      </c>
      <c r="Z848">
        <v>422.154</v>
      </c>
      <c r="AA848">
        <v>1.30883919983899</v>
      </c>
      <c r="AB848">
        <v>422.154</v>
      </c>
      <c r="AC848">
        <v>1.31869934753755</v>
      </c>
      <c r="AD848">
        <v>422.154</v>
      </c>
      <c r="AE848">
        <v>1.25933442455273</v>
      </c>
      <c r="AF848">
        <v>422.154</v>
      </c>
      <c r="AG848">
        <v>1.3314108298513</v>
      </c>
    </row>
    <row r="849" spans="24:33">
      <c r="X849">
        <v>422.653</v>
      </c>
      <c r="Y849">
        <v>1.2727459062885</v>
      </c>
      <c r="Z849">
        <v>422.653</v>
      </c>
      <c r="AA849">
        <v>1.30721435257666</v>
      </c>
      <c r="AB849">
        <v>422.653</v>
      </c>
      <c r="AC849">
        <v>1.31754644463821</v>
      </c>
      <c r="AD849">
        <v>422.653</v>
      </c>
      <c r="AE849">
        <v>1.2664003979062</v>
      </c>
      <c r="AF849">
        <v>422.653</v>
      </c>
      <c r="AG849">
        <v>1.32954462308903</v>
      </c>
    </row>
    <row r="850" spans="24:33">
      <c r="X850">
        <v>423.152</v>
      </c>
      <c r="Y850">
        <v>1.26609516018621</v>
      </c>
      <c r="Z850">
        <v>423.152</v>
      </c>
      <c r="AA850">
        <v>1.30952909172329</v>
      </c>
      <c r="AB850">
        <v>423.152</v>
      </c>
      <c r="AC850">
        <v>1.32075156090255</v>
      </c>
      <c r="AD850">
        <v>423.152</v>
      </c>
      <c r="AE850">
        <v>1.26276519807105</v>
      </c>
      <c r="AF850">
        <v>423.152</v>
      </c>
      <c r="AG850">
        <v>1.32501664868908</v>
      </c>
    </row>
    <row r="851" spans="24:33">
      <c r="X851">
        <v>423.651</v>
      </c>
      <c r="Y851">
        <v>1.26123565748183</v>
      </c>
      <c r="Z851">
        <v>423.651</v>
      </c>
      <c r="AA851">
        <v>1.3097372503083</v>
      </c>
      <c r="AB851">
        <v>423.651</v>
      </c>
      <c r="AC851">
        <v>1.32302694130345</v>
      </c>
      <c r="AD851">
        <v>423.651</v>
      </c>
      <c r="AE851">
        <v>1.26324046033453</v>
      </c>
      <c r="AF851">
        <v>423.651</v>
      </c>
      <c r="AG851">
        <v>1.32439406934374</v>
      </c>
    </row>
    <row r="852" spans="24:33">
      <c r="X852">
        <v>424.15</v>
      </c>
      <c r="Y852">
        <v>1.26489008215086</v>
      </c>
      <c r="Z852">
        <v>424.15</v>
      </c>
      <c r="AA852">
        <v>1.31330274000186</v>
      </c>
      <c r="AB852">
        <v>424.15</v>
      </c>
      <c r="AC852">
        <v>1.3254012723226</v>
      </c>
      <c r="AD852">
        <v>424.15</v>
      </c>
      <c r="AE852">
        <v>1.25506191453219</v>
      </c>
      <c r="AF852">
        <v>424.15</v>
      </c>
      <c r="AG852">
        <v>1.32609006516528</v>
      </c>
    </row>
    <row r="853" spans="24:33">
      <c r="X853">
        <v>424.649</v>
      </c>
      <c r="Y853">
        <v>1.26524497389297</v>
      </c>
      <c r="Z853">
        <v>424.649</v>
      </c>
      <c r="AA853">
        <v>1.29877138868219</v>
      </c>
      <c r="AB853">
        <v>424.649</v>
      </c>
      <c r="AC853">
        <v>1.31338617941777</v>
      </c>
      <c r="AD853">
        <v>424.649</v>
      </c>
      <c r="AE853">
        <v>1.26855864889815</v>
      </c>
      <c r="AF853">
        <v>424.649</v>
      </c>
      <c r="AG853">
        <v>1.32158503048492</v>
      </c>
    </row>
    <row r="854" spans="24:33">
      <c r="X854">
        <v>425.148</v>
      </c>
      <c r="Y854">
        <v>1.26073468557655</v>
      </c>
      <c r="Z854">
        <v>425.148</v>
      </c>
      <c r="AA854">
        <v>1.29935362557462</v>
      </c>
      <c r="AB854">
        <v>425.148</v>
      </c>
      <c r="AC854">
        <v>1.3161841939824</v>
      </c>
      <c r="AD854">
        <v>425.148</v>
      </c>
      <c r="AE854">
        <v>1.26859656380259</v>
      </c>
      <c r="AF854">
        <v>425.148</v>
      </c>
      <c r="AG854">
        <v>1.3302264917193</v>
      </c>
    </row>
    <row r="855" spans="24:33">
      <c r="X855">
        <v>425.647</v>
      </c>
      <c r="Y855">
        <v>1.26573338704831</v>
      </c>
      <c r="Z855">
        <v>425.647</v>
      </c>
      <c r="AA855">
        <v>1.30386694909302</v>
      </c>
      <c r="AB855">
        <v>425.647</v>
      </c>
      <c r="AC855">
        <v>1.30692539144143</v>
      </c>
      <c r="AD855">
        <v>425.647</v>
      </c>
      <c r="AE855">
        <v>1.2633644512268</v>
      </c>
      <c r="AF855">
        <v>425.647</v>
      </c>
      <c r="AG855">
        <v>1.33260672438409</v>
      </c>
    </row>
    <row r="856" spans="24:33">
      <c r="X856">
        <v>426.146</v>
      </c>
      <c r="Y856">
        <v>1.27089573177407</v>
      </c>
      <c r="Z856">
        <v>426.146</v>
      </c>
      <c r="AA856">
        <v>1.29704560853965</v>
      </c>
      <c r="AB856">
        <v>426.146</v>
      </c>
      <c r="AC856">
        <v>1.31479483729935</v>
      </c>
      <c r="AD856">
        <v>426.146</v>
      </c>
      <c r="AE856">
        <v>1.2516327787382</v>
      </c>
      <c r="AF856">
        <v>426.146</v>
      </c>
      <c r="AG856">
        <v>1.32638787488838</v>
      </c>
    </row>
    <row r="857" spans="24:33">
      <c r="X857">
        <v>426.645</v>
      </c>
      <c r="Y857">
        <v>1.26953471712474</v>
      </c>
      <c r="Z857">
        <v>426.645</v>
      </c>
      <c r="AA857">
        <v>1.31141579995686</v>
      </c>
      <c r="AB857">
        <v>426.645</v>
      </c>
      <c r="AC857">
        <v>1.32665963545773</v>
      </c>
      <c r="AD857">
        <v>426.645</v>
      </c>
      <c r="AE857">
        <v>1.26396272881574</v>
      </c>
      <c r="AF857">
        <v>426.645</v>
      </c>
      <c r="AG857">
        <v>1.33156796808718</v>
      </c>
    </row>
    <row r="858" spans="24:33">
      <c r="X858">
        <v>427.144</v>
      </c>
      <c r="Y858">
        <v>1.26776104248217</v>
      </c>
      <c r="Z858">
        <v>427.144</v>
      </c>
      <c r="AA858">
        <v>1.30347781810907</v>
      </c>
      <c r="AB858">
        <v>427.144</v>
      </c>
      <c r="AC858">
        <v>1.32270679213742</v>
      </c>
      <c r="AD858">
        <v>427.144</v>
      </c>
      <c r="AE858">
        <v>1.25490285037991</v>
      </c>
      <c r="AF858">
        <v>427.144</v>
      </c>
      <c r="AG858">
        <v>1.32592435162099</v>
      </c>
    </row>
    <row r="859" spans="24:33">
      <c r="X859">
        <v>427.643</v>
      </c>
      <c r="Y859">
        <v>1.2726216733978</v>
      </c>
      <c r="Z859">
        <v>427.643</v>
      </c>
      <c r="AA859">
        <v>1.30274949862536</v>
      </c>
      <c r="AB859">
        <v>427.643</v>
      </c>
      <c r="AC859">
        <v>1.32122792780212</v>
      </c>
      <c r="AD859">
        <v>427.643</v>
      </c>
      <c r="AE859">
        <v>1.26289486589952</v>
      </c>
      <c r="AF859">
        <v>427.643</v>
      </c>
      <c r="AG859">
        <v>1.3236725643039</v>
      </c>
    </row>
    <row r="860" spans="24:33">
      <c r="X860">
        <v>428.142</v>
      </c>
      <c r="Y860">
        <v>1.27894823746195</v>
      </c>
      <c r="Z860">
        <v>428.142</v>
      </c>
      <c r="AA860">
        <v>1.30543165502287</v>
      </c>
      <c r="AB860">
        <v>428.142</v>
      </c>
      <c r="AC860">
        <v>1.32197615359337</v>
      </c>
      <c r="AD860">
        <v>428.142</v>
      </c>
      <c r="AE860">
        <v>1.26571670085089</v>
      </c>
      <c r="AF860">
        <v>428.142</v>
      </c>
      <c r="AG860">
        <v>1.3252623901923</v>
      </c>
    </row>
    <row r="861" spans="24:33">
      <c r="X861">
        <v>428.641</v>
      </c>
      <c r="Y861">
        <v>1.2707903038191</v>
      </c>
      <c r="Z861">
        <v>428.641</v>
      </c>
      <c r="AA861">
        <v>1.31205574020969</v>
      </c>
      <c r="AB861">
        <v>428.641</v>
      </c>
      <c r="AC861">
        <v>1.31953105172723</v>
      </c>
      <c r="AD861">
        <v>428.641</v>
      </c>
      <c r="AE861">
        <v>1.26912628694592</v>
      </c>
      <c r="AF861">
        <v>428.641</v>
      </c>
      <c r="AG861">
        <v>1.32831353987044</v>
      </c>
    </row>
    <row r="862" spans="24:33">
      <c r="X862">
        <v>429.14</v>
      </c>
      <c r="Y862">
        <v>1.27167072278158</v>
      </c>
      <c r="Z862">
        <v>429.14</v>
      </c>
      <c r="AA862">
        <v>1.29980622803422</v>
      </c>
      <c r="AB862">
        <v>429.14</v>
      </c>
      <c r="AC862">
        <v>1.32715059172413</v>
      </c>
      <c r="AD862">
        <v>429.14</v>
      </c>
      <c r="AE862">
        <v>1.25719465017295</v>
      </c>
      <c r="AF862">
        <v>429.14</v>
      </c>
      <c r="AG862">
        <v>1.32729393958014</v>
      </c>
    </row>
    <row r="863" spans="24:33">
      <c r="X863">
        <v>429.639</v>
      </c>
      <c r="Y863">
        <v>1.26790478936328</v>
      </c>
      <c r="Z863">
        <v>429.639</v>
      </c>
      <c r="AA863">
        <v>1.31261591434949</v>
      </c>
      <c r="AB863">
        <v>429.639</v>
      </c>
      <c r="AC863">
        <v>1.3248751874272</v>
      </c>
      <c r="AD863">
        <v>429.639</v>
      </c>
      <c r="AE863">
        <v>1.26048503496696</v>
      </c>
      <c r="AF863">
        <v>429.639</v>
      </c>
      <c r="AG863">
        <v>1.31830173253907</v>
      </c>
    </row>
    <row r="864" spans="24:33">
      <c r="X864">
        <v>430.138</v>
      </c>
      <c r="Y864">
        <v>1.27211536417422</v>
      </c>
      <c r="Z864">
        <v>430.138</v>
      </c>
      <c r="AA864">
        <v>1.3075530372664</v>
      </c>
      <c r="AB864">
        <v>430.138</v>
      </c>
      <c r="AC864">
        <v>1.33057942740317</v>
      </c>
      <c r="AD864">
        <v>430.138</v>
      </c>
      <c r="AE864">
        <v>1.26105308704829</v>
      </c>
      <c r="AF864">
        <v>430.138</v>
      </c>
      <c r="AG864">
        <v>1.31942740313701</v>
      </c>
    </row>
    <row r="865" spans="24:33">
      <c r="X865">
        <v>430.637</v>
      </c>
      <c r="Y865">
        <v>1.26313282274908</v>
      </c>
      <c r="Z865">
        <v>430.637</v>
      </c>
      <c r="AA865">
        <v>1.3045106691385</v>
      </c>
      <c r="AB865">
        <v>430.637</v>
      </c>
      <c r="AC865">
        <v>1.31775022268775</v>
      </c>
      <c r="AD865">
        <v>430.637</v>
      </c>
      <c r="AE865">
        <v>1.25681760571518</v>
      </c>
      <c r="AF865">
        <v>430.637</v>
      </c>
      <c r="AG865">
        <v>1.32331192886381</v>
      </c>
    </row>
    <row r="866" spans="24:33">
      <c r="X866">
        <v>431.136</v>
      </c>
      <c r="Y866">
        <v>1.274829307522</v>
      </c>
      <c r="Z866">
        <v>431.136</v>
      </c>
      <c r="AA866">
        <v>1.30768634840573</v>
      </c>
      <c r="AB866">
        <v>431.136</v>
      </c>
      <c r="AC866">
        <v>1.32463920128291</v>
      </c>
      <c r="AD866">
        <v>431.136</v>
      </c>
      <c r="AE866">
        <v>1.26076589013885</v>
      </c>
      <c r="AF866">
        <v>431.136</v>
      </c>
      <c r="AG866">
        <v>1.3263799046975</v>
      </c>
    </row>
    <row r="867" spans="24:33">
      <c r="X867">
        <v>431.635</v>
      </c>
      <c r="Y867">
        <v>1.27611622743214</v>
      </c>
      <c r="Z867">
        <v>431.635</v>
      </c>
      <c r="AA867">
        <v>1.3000161181835</v>
      </c>
      <c r="AB867">
        <v>431.635</v>
      </c>
      <c r="AC867">
        <v>1.31813201049976</v>
      </c>
      <c r="AD867">
        <v>431.635</v>
      </c>
      <c r="AE867">
        <v>1.26907508681064</v>
      </c>
      <c r="AF867">
        <v>431.635</v>
      </c>
      <c r="AG867">
        <v>1.316680990616</v>
      </c>
    </row>
    <row r="868" spans="24:33">
      <c r="X868">
        <v>432.134</v>
      </c>
      <c r="Y868">
        <v>1.28492867988736</v>
      </c>
      <c r="Z868">
        <v>432.134</v>
      </c>
      <c r="AA868">
        <v>1.31239711866013</v>
      </c>
      <c r="AB868">
        <v>432.134</v>
      </c>
      <c r="AC868">
        <v>1.31550409080615</v>
      </c>
      <c r="AD868">
        <v>432.134</v>
      </c>
      <c r="AE868">
        <v>1.26384076690954</v>
      </c>
      <c r="AF868">
        <v>432.134</v>
      </c>
      <c r="AG868">
        <v>1.32141827693812</v>
      </c>
    </row>
    <row r="869" spans="24:33">
      <c r="X869">
        <v>432.633</v>
      </c>
      <c r="Y869">
        <v>1.27017573021638</v>
      </c>
      <c r="Z869">
        <v>432.633</v>
      </c>
      <c r="AA869">
        <v>1.29853626220846</v>
      </c>
      <c r="AB869">
        <v>432.633</v>
      </c>
      <c r="AC869">
        <v>1.31847796467696</v>
      </c>
      <c r="AD869">
        <v>432.633</v>
      </c>
      <c r="AE869">
        <v>1.25271154825074</v>
      </c>
      <c r="AF869">
        <v>432.633</v>
      </c>
      <c r="AG869">
        <v>1.31462007369524</v>
      </c>
    </row>
    <row r="870" spans="24:33">
      <c r="X870">
        <v>433.132</v>
      </c>
      <c r="Y870">
        <v>1.27936210752538</v>
      </c>
      <c r="Z870">
        <v>433.132</v>
      </c>
      <c r="AA870">
        <v>1.29502879155369</v>
      </c>
      <c r="AB870">
        <v>433.132</v>
      </c>
      <c r="AC870">
        <v>1.31566282047704</v>
      </c>
      <c r="AD870">
        <v>433.132</v>
      </c>
      <c r="AE870">
        <v>1.25358753603175</v>
      </c>
      <c r="AF870">
        <v>433.132</v>
      </c>
      <c r="AG870">
        <v>1.32262703823867</v>
      </c>
    </row>
    <row r="871" spans="24:33">
      <c r="X871">
        <v>433.631</v>
      </c>
      <c r="Y871">
        <v>1.28113351429551</v>
      </c>
      <c r="Z871">
        <v>433.631</v>
      </c>
      <c r="AA871">
        <v>1.30511580780358</v>
      </c>
      <c r="AB871">
        <v>433.631</v>
      </c>
      <c r="AC871">
        <v>1.31893883547014</v>
      </c>
      <c r="AD871">
        <v>433.631</v>
      </c>
      <c r="AE871">
        <v>1.25583347254388</v>
      </c>
      <c r="AF871">
        <v>433.631</v>
      </c>
      <c r="AG871">
        <v>1.32596587980596</v>
      </c>
    </row>
    <row r="872" spans="24:33">
      <c r="X872">
        <v>434.13</v>
      </c>
      <c r="Y872">
        <v>1.27472373581188</v>
      </c>
      <c r="Z872">
        <v>434.13</v>
      </c>
      <c r="AA872">
        <v>1.3037573093453</v>
      </c>
      <c r="AB872">
        <v>434.13</v>
      </c>
      <c r="AC872">
        <v>1.31720289097088</v>
      </c>
      <c r="AD872">
        <v>434.13</v>
      </c>
      <c r="AE872">
        <v>1.25345203137833</v>
      </c>
      <c r="AF872">
        <v>434.13</v>
      </c>
      <c r="AG872">
        <v>1.33053502067078</v>
      </c>
    </row>
    <row r="873" spans="24:33">
      <c r="X873">
        <v>434.629</v>
      </c>
      <c r="Y873">
        <v>1.27250497802103</v>
      </c>
      <c r="Z873">
        <v>434.629</v>
      </c>
      <c r="AA873">
        <v>1.30073070647598</v>
      </c>
      <c r="AB873">
        <v>434.629</v>
      </c>
      <c r="AC873">
        <v>1.31569038720218</v>
      </c>
      <c r="AD873">
        <v>434.629</v>
      </c>
      <c r="AE873">
        <v>1.25660088149169</v>
      </c>
      <c r="AF873">
        <v>434.629</v>
      </c>
      <c r="AG873">
        <v>1.32645910462325</v>
      </c>
    </row>
    <row r="874" spans="24:33">
      <c r="X874">
        <v>435.128</v>
      </c>
      <c r="Y874">
        <v>1.26774194258519</v>
      </c>
      <c r="Z874">
        <v>435.128</v>
      </c>
      <c r="AA874">
        <v>1.30304541852322</v>
      </c>
      <c r="AB874">
        <v>435.128</v>
      </c>
      <c r="AC874">
        <v>1.30754946111386</v>
      </c>
      <c r="AD874">
        <v>435.128</v>
      </c>
      <c r="AE874">
        <v>1.26461669285137</v>
      </c>
      <c r="AF874">
        <v>435.128</v>
      </c>
      <c r="AG874">
        <v>1.33034051604119</v>
      </c>
    </row>
    <row r="875" spans="24:33">
      <c r="X875">
        <v>435.627</v>
      </c>
      <c r="Y875">
        <v>1.26930020023599</v>
      </c>
      <c r="Z875">
        <v>435.627</v>
      </c>
      <c r="AA875">
        <v>1.30683726432482</v>
      </c>
      <c r="AB875">
        <v>435.627</v>
      </c>
      <c r="AC875">
        <v>1.3154843671552</v>
      </c>
      <c r="AD875">
        <v>435.627</v>
      </c>
      <c r="AE875">
        <v>1.26048733788103</v>
      </c>
      <c r="AF875">
        <v>435.627</v>
      </c>
      <c r="AG875">
        <v>1.33407231739117</v>
      </c>
    </row>
    <row r="876" spans="24:33">
      <c r="X876">
        <v>436.126</v>
      </c>
      <c r="Y876">
        <v>1.27673059614086</v>
      </c>
      <c r="Z876">
        <v>436.126</v>
      </c>
      <c r="AA876">
        <v>1.31139596480406</v>
      </c>
      <c r="AB876">
        <v>436.126</v>
      </c>
      <c r="AC876">
        <v>1.31929025735061</v>
      </c>
      <c r="AD876">
        <v>436.126</v>
      </c>
      <c r="AE876">
        <v>1.25949405661744</v>
      </c>
      <c r="AF876">
        <v>436.126</v>
      </c>
      <c r="AG876">
        <v>1.32431200010301</v>
      </c>
    </row>
    <row r="877" spans="24:33">
      <c r="X877">
        <v>436.625</v>
      </c>
      <c r="Y877">
        <v>1.27898963752428</v>
      </c>
      <c r="Z877">
        <v>436.625</v>
      </c>
      <c r="AA877">
        <v>1.30619650183564</v>
      </c>
      <c r="AB877">
        <v>436.625</v>
      </c>
      <c r="AC877">
        <v>1.32669666189598</v>
      </c>
      <c r="AD877">
        <v>436.625</v>
      </c>
      <c r="AE877">
        <v>1.26351924199719</v>
      </c>
      <c r="AF877">
        <v>436.625</v>
      </c>
      <c r="AG877">
        <v>1.33407746859114</v>
      </c>
    </row>
    <row r="878" spans="24:33">
      <c r="X878">
        <v>437.124</v>
      </c>
      <c r="Y878">
        <v>1.27399788421118</v>
      </c>
      <c r="Z878">
        <v>437.124</v>
      </c>
      <c r="AA878">
        <v>1.30663058504981</v>
      </c>
      <c r="AB878">
        <v>437.124</v>
      </c>
      <c r="AC878">
        <v>1.32196309720729</v>
      </c>
      <c r="AD878">
        <v>437.124</v>
      </c>
      <c r="AE878">
        <v>1.25640498434483</v>
      </c>
      <c r="AF878">
        <v>437.124</v>
      </c>
      <c r="AG878">
        <v>1.33289829734936</v>
      </c>
    </row>
    <row r="879" spans="24:33">
      <c r="X879">
        <v>437.623</v>
      </c>
      <c r="Y879">
        <v>1.27169864261957</v>
      </c>
      <c r="Z879">
        <v>437.623</v>
      </c>
      <c r="AA879">
        <v>1.3088598825296</v>
      </c>
      <c r="AB879">
        <v>437.623</v>
      </c>
      <c r="AC879">
        <v>1.32656884962362</v>
      </c>
      <c r="AD879">
        <v>437.623</v>
      </c>
      <c r="AE879">
        <v>1.26039067193474</v>
      </c>
      <c r="AF879">
        <v>437.623</v>
      </c>
      <c r="AG879">
        <v>1.33755842002049</v>
      </c>
    </row>
    <row r="880" spans="24:33">
      <c r="X880">
        <v>438.122</v>
      </c>
      <c r="Y880">
        <v>1.27231848285363</v>
      </c>
      <c r="Z880">
        <v>438.122</v>
      </c>
      <c r="AA880">
        <v>1.30557117352644</v>
      </c>
      <c r="AB880">
        <v>438.122</v>
      </c>
      <c r="AC880">
        <v>1.32646988973743</v>
      </c>
      <c r="AD880">
        <v>438.122</v>
      </c>
      <c r="AE880">
        <v>1.26759659019912</v>
      </c>
      <c r="AF880">
        <v>438.122</v>
      </c>
      <c r="AG880">
        <v>1.33002692484415</v>
      </c>
    </row>
    <row r="881" spans="24:33">
      <c r="X881">
        <v>438.621</v>
      </c>
      <c r="Y881">
        <v>1.26844096433081</v>
      </c>
      <c r="Z881">
        <v>438.621</v>
      </c>
      <c r="AA881">
        <v>1.31359148228815</v>
      </c>
      <c r="AB881">
        <v>438.621</v>
      </c>
      <c r="AC881">
        <v>1.33686377360658</v>
      </c>
      <c r="AD881">
        <v>438.621</v>
      </c>
      <c r="AE881">
        <v>1.26893091360638</v>
      </c>
      <c r="AF881">
        <v>438.621</v>
      </c>
      <c r="AG881">
        <v>1.33083756140626</v>
      </c>
    </row>
    <row r="882" spans="24:33">
      <c r="X882">
        <v>439.12</v>
      </c>
      <c r="Y882">
        <v>1.26608668448335</v>
      </c>
      <c r="Z882">
        <v>439.12</v>
      </c>
      <c r="AA882">
        <v>1.30637410398574</v>
      </c>
      <c r="AB882">
        <v>439.12</v>
      </c>
      <c r="AC882">
        <v>1.32535371678395</v>
      </c>
      <c r="AD882">
        <v>439.12</v>
      </c>
      <c r="AE882">
        <v>1.25822980596859</v>
      </c>
      <c r="AF882">
        <v>439.12</v>
      </c>
      <c r="AG882">
        <v>1.32827268053117</v>
      </c>
    </row>
    <row r="883" spans="24:33">
      <c r="X883">
        <v>439.619</v>
      </c>
      <c r="Y883">
        <v>1.25542637755531</v>
      </c>
      <c r="Z883">
        <v>439.619</v>
      </c>
      <c r="AA883">
        <v>1.30161514576883</v>
      </c>
      <c r="AB883">
        <v>439.619</v>
      </c>
      <c r="AC883">
        <v>1.32495462102887</v>
      </c>
      <c r="AD883">
        <v>439.619</v>
      </c>
      <c r="AE883">
        <v>1.26299340189143</v>
      </c>
      <c r="AF883">
        <v>439.619</v>
      </c>
      <c r="AG883">
        <v>1.32312979869621</v>
      </c>
    </row>
    <row r="884" spans="24:33">
      <c r="X884">
        <v>440.118</v>
      </c>
      <c r="Y884">
        <v>1.27258285609453</v>
      </c>
      <c r="Z884">
        <v>440.118</v>
      </c>
      <c r="AA884">
        <v>1.30319205160531</v>
      </c>
      <c r="AB884">
        <v>440.118</v>
      </c>
      <c r="AC884">
        <v>1.32615421335679</v>
      </c>
      <c r="AD884">
        <v>440.118</v>
      </c>
      <c r="AE884">
        <v>1.25832373503048</v>
      </c>
      <c r="AF884">
        <v>440.118</v>
      </c>
      <c r="AG884">
        <v>1.31932458541774</v>
      </c>
    </row>
    <row r="885" spans="24:33">
      <c r="X885">
        <v>440.617</v>
      </c>
      <c r="Y885">
        <v>1.26767727991984</v>
      </c>
      <c r="Z885">
        <v>440.617</v>
      </c>
      <c r="AA885">
        <v>1.30739873764396</v>
      </c>
      <c r="AB885">
        <v>440.617</v>
      </c>
      <c r="AC885">
        <v>1.32275702257194</v>
      </c>
      <c r="AD885">
        <v>440.617</v>
      </c>
      <c r="AE885">
        <v>1.26097994035069</v>
      </c>
      <c r="AF885">
        <v>440.617</v>
      </c>
      <c r="AG885">
        <v>1.33472904721157</v>
      </c>
    </row>
    <row r="886" spans="24:33">
      <c r="X886">
        <v>441.116</v>
      </c>
      <c r="Y886">
        <v>1.27146117680842</v>
      </c>
      <c r="Z886">
        <v>441.116</v>
      </c>
      <c r="AA886">
        <v>1.31089248759506</v>
      </c>
      <c r="AB886">
        <v>441.116</v>
      </c>
      <c r="AC886">
        <v>1.32810935773551</v>
      </c>
      <c r="AD886">
        <v>441.116</v>
      </c>
      <c r="AE886">
        <v>1.25955950370949</v>
      </c>
      <c r="AF886">
        <v>441.116</v>
      </c>
      <c r="AG886">
        <v>1.32628141649093</v>
      </c>
    </row>
    <row r="887" spans="24:33">
      <c r="X887">
        <v>441.615</v>
      </c>
      <c r="Y887">
        <v>1.27203059251434</v>
      </c>
      <c r="Z887">
        <v>441.615</v>
      </c>
      <c r="AA887">
        <v>1.30880350535639</v>
      </c>
      <c r="AB887">
        <v>441.615</v>
      </c>
      <c r="AC887">
        <v>1.32906844677602</v>
      </c>
      <c r="AD887">
        <v>441.615</v>
      </c>
      <c r="AE887">
        <v>1.26027873379982</v>
      </c>
      <c r="AF887">
        <v>441.615</v>
      </c>
      <c r="AG887">
        <v>1.33097705556896</v>
      </c>
    </row>
    <row r="888" spans="24:33">
      <c r="X888">
        <v>442.114</v>
      </c>
      <c r="Y888">
        <v>1.27722129563574</v>
      </c>
      <c r="Z888">
        <v>442.114</v>
      </c>
      <c r="AA888">
        <v>1.3107489870975</v>
      </c>
      <c r="AB888">
        <v>442.114</v>
      </c>
      <c r="AC888">
        <v>1.32529748543138</v>
      </c>
      <c r="AD888">
        <v>442.114</v>
      </c>
      <c r="AE888">
        <v>1.25655820431521</v>
      </c>
      <c r="AF888">
        <v>442.114</v>
      </c>
      <c r="AG888">
        <v>1.32614661030903</v>
      </c>
    </row>
    <row r="889" spans="24:33">
      <c r="X889">
        <v>442.613</v>
      </c>
      <c r="Y889">
        <v>1.27488453629293</v>
      </c>
      <c r="Z889">
        <v>442.613</v>
      </c>
      <c r="AA889">
        <v>1.31458955369931</v>
      </c>
      <c r="AB889">
        <v>442.613</v>
      </c>
      <c r="AC889">
        <v>1.32437410600563</v>
      </c>
      <c r="AD889">
        <v>442.613</v>
      </c>
      <c r="AE889">
        <v>1.26087780191717</v>
      </c>
      <c r="AF889">
        <v>442.613</v>
      </c>
      <c r="AG889">
        <v>1.33123220602394</v>
      </c>
    </row>
    <row r="890" spans="24:33">
      <c r="X890">
        <v>443.112</v>
      </c>
      <c r="Y890">
        <v>1.27037024449545</v>
      </c>
      <c r="Z890">
        <v>443.112</v>
      </c>
      <c r="AA890">
        <v>1.30919066732662</v>
      </c>
      <c r="AB890">
        <v>443.112</v>
      </c>
      <c r="AC890">
        <v>1.3208529759625</v>
      </c>
      <c r="AD890">
        <v>443.112</v>
      </c>
      <c r="AE890">
        <v>1.25609109220604</v>
      </c>
      <c r="AF890">
        <v>443.112</v>
      </c>
      <c r="AG890">
        <v>1.33635904515749</v>
      </c>
    </row>
    <row r="891" spans="24:33">
      <c r="X891">
        <v>443.611</v>
      </c>
      <c r="Y891">
        <v>1.26862612473559</v>
      </c>
      <c r="Z891">
        <v>443.611</v>
      </c>
      <c r="AA891">
        <v>1.30313244369829</v>
      </c>
      <c r="AB891">
        <v>443.611</v>
      </c>
      <c r="AC891">
        <v>1.32273031575455</v>
      </c>
      <c r="AD891">
        <v>443.611</v>
      </c>
      <c r="AE891">
        <v>1.25526337247228</v>
      </c>
      <c r="AF891">
        <v>443.611</v>
      </c>
      <c r="AG891">
        <v>1.32606090492474</v>
      </c>
    </row>
    <row r="892" spans="24:33">
      <c r="X892">
        <v>444.11</v>
      </c>
      <c r="Y892">
        <v>1.27328107890252</v>
      </c>
      <c r="Z892">
        <v>444.11</v>
      </c>
      <c r="AA892">
        <v>1.29941637698136</v>
      </c>
      <c r="AB892">
        <v>444.11</v>
      </c>
      <c r="AC892">
        <v>1.32329658922513</v>
      </c>
      <c r="AD892">
        <v>444.11</v>
      </c>
      <c r="AE892">
        <v>1.25258802412685</v>
      </c>
      <c r="AF892">
        <v>444.11</v>
      </c>
      <c r="AG892">
        <v>1.3271576263364</v>
      </c>
    </row>
    <row r="893" spans="24:33">
      <c r="X893">
        <v>444.609</v>
      </c>
      <c r="Y893">
        <v>1.26852321193451</v>
      </c>
      <c r="Z893">
        <v>444.609</v>
      </c>
      <c r="AA893">
        <v>1.29619697988618</v>
      </c>
      <c r="AB893">
        <v>444.609</v>
      </c>
      <c r="AC893">
        <v>1.32661091090076</v>
      </c>
      <c r="AD893">
        <v>444.609</v>
      </c>
      <c r="AE893">
        <v>1.26050464425634</v>
      </c>
      <c r="AF893">
        <v>444.609</v>
      </c>
      <c r="AG893">
        <v>1.32358265631939</v>
      </c>
    </row>
    <row r="894" spans="24:33">
      <c r="X894">
        <v>445.108</v>
      </c>
      <c r="Y894">
        <v>1.27007360392935</v>
      </c>
      <c r="Z894">
        <v>445.108</v>
      </c>
      <c r="AA894">
        <v>1.31017642408209</v>
      </c>
      <c r="AB894">
        <v>445.108</v>
      </c>
      <c r="AC894">
        <v>1.32858069936708</v>
      </c>
      <c r="AD894">
        <v>445.108</v>
      </c>
      <c r="AE894">
        <v>1.25867466873516</v>
      </c>
      <c r="AF894">
        <v>445.108</v>
      </c>
      <c r="AG894">
        <v>1.333389093666</v>
      </c>
    </row>
    <row r="895" spans="24:33">
      <c r="X895">
        <v>445.607</v>
      </c>
      <c r="Y895">
        <v>1.27310266012651</v>
      </c>
      <c r="Z895">
        <v>445.607</v>
      </c>
      <c r="AA895">
        <v>1.30798321635719</v>
      </c>
      <c r="AB895">
        <v>445.607</v>
      </c>
      <c r="AC895">
        <v>1.32715751066459</v>
      </c>
      <c r="AD895">
        <v>445.607</v>
      </c>
      <c r="AE895">
        <v>1.26561371700327</v>
      </c>
      <c r="AF895">
        <v>445.607</v>
      </c>
      <c r="AG895">
        <v>1.32764065510892</v>
      </c>
    </row>
    <row r="896" spans="24:33">
      <c r="X896">
        <v>446.106</v>
      </c>
      <c r="Y896">
        <v>1.26804477600424</v>
      </c>
      <c r="Z896">
        <v>446.106</v>
      </c>
      <c r="AA896">
        <v>1.31221778056769</v>
      </c>
      <c r="AB896">
        <v>446.106</v>
      </c>
      <c r="AC896">
        <v>1.33207317850316</v>
      </c>
      <c r="AD896">
        <v>446.106</v>
      </c>
      <c r="AE896">
        <v>1.26017909854188</v>
      </c>
      <c r="AF896">
        <v>446.106</v>
      </c>
      <c r="AG896">
        <v>1.32659535855831</v>
      </c>
    </row>
    <row r="897" spans="24:33">
      <c r="X897">
        <v>446.605</v>
      </c>
      <c r="Y897">
        <v>1.27152195863219</v>
      </c>
      <c r="Z897">
        <v>446.605</v>
      </c>
      <c r="AA897">
        <v>1.30922807744942</v>
      </c>
      <c r="AB897">
        <v>446.605</v>
      </c>
      <c r="AC897">
        <v>1.32596652714171</v>
      </c>
      <c r="AD897">
        <v>446.605</v>
      </c>
      <c r="AE897">
        <v>1.26333861639834</v>
      </c>
      <c r="AF897">
        <v>446.605</v>
      </c>
      <c r="AG897">
        <v>1.33212347351412</v>
      </c>
    </row>
    <row r="898" spans="24:33">
      <c r="X898">
        <v>447.104</v>
      </c>
      <c r="Y898">
        <v>1.2726525761879</v>
      </c>
      <c r="Z898">
        <v>447.104</v>
      </c>
      <c r="AA898">
        <v>1.30889187141289</v>
      </c>
      <c r="AB898">
        <v>447.104</v>
      </c>
      <c r="AC898">
        <v>1.3164471826525</v>
      </c>
      <c r="AD898">
        <v>447.104</v>
      </c>
      <c r="AE898">
        <v>1.26130903836381</v>
      </c>
      <c r="AF898">
        <v>447.104</v>
      </c>
      <c r="AG898">
        <v>1.32909011325663</v>
      </c>
    </row>
    <row r="899" spans="24:33">
      <c r="X899">
        <v>447.603</v>
      </c>
      <c r="Y899">
        <v>1.26767306838398</v>
      </c>
      <c r="Z899">
        <v>447.603</v>
      </c>
      <c r="AA899">
        <v>1.30453610115232</v>
      </c>
      <c r="AB899">
        <v>447.603</v>
      </c>
      <c r="AC899">
        <v>1.31830336714208</v>
      </c>
      <c r="AD899">
        <v>447.603</v>
      </c>
      <c r="AE899">
        <v>1.25493873559224</v>
      </c>
      <c r="AF899">
        <v>447.603</v>
      </c>
      <c r="AG899">
        <v>1.31896392160996</v>
      </c>
    </row>
    <row r="900" spans="24:33">
      <c r="X900">
        <v>448.102</v>
      </c>
      <c r="Y900">
        <v>1.27436343810477</v>
      </c>
      <c r="Z900">
        <v>448.102</v>
      </c>
      <c r="AA900">
        <v>1.30174540652372</v>
      </c>
      <c r="AB900">
        <v>448.102</v>
      </c>
      <c r="AC900">
        <v>1.33406518832978</v>
      </c>
      <c r="AD900">
        <v>448.102</v>
      </c>
      <c r="AE900">
        <v>1.26770919385393</v>
      </c>
      <c r="AF900">
        <v>448.102</v>
      </c>
      <c r="AG900">
        <v>1.33490717270868</v>
      </c>
    </row>
    <row r="901" spans="24:33">
      <c r="X901">
        <v>448.601</v>
      </c>
      <c r="Y901">
        <v>1.27866362399224</v>
      </c>
      <c r="Z901">
        <v>448.601</v>
      </c>
      <c r="AA901">
        <v>1.30782857524038</v>
      </c>
      <c r="AB901">
        <v>448.601</v>
      </c>
      <c r="AC901">
        <v>1.32152754173467</v>
      </c>
      <c r="AD901">
        <v>448.601</v>
      </c>
      <c r="AE901">
        <v>1.26615204138321</v>
      </c>
      <c r="AF901">
        <v>448.601</v>
      </c>
      <c r="AG901">
        <v>1.33519247190281</v>
      </c>
    </row>
    <row r="902" spans="24:33">
      <c r="X902">
        <v>449.1</v>
      </c>
      <c r="Y902">
        <v>1.27440419618101</v>
      </c>
      <c r="Z902">
        <v>449.1</v>
      </c>
      <c r="AA902">
        <v>1.30229545541683</v>
      </c>
      <c r="AB902">
        <v>449.1</v>
      </c>
      <c r="AC902">
        <v>1.32648355779184</v>
      </c>
      <c r="AD902">
        <v>449.1</v>
      </c>
      <c r="AE902">
        <v>1.25742759951845</v>
      </c>
      <c r="AF902">
        <v>449.1</v>
      </c>
      <c r="AG902">
        <v>1.32847302919028</v>
      </c>
    </row>
    <row r="903" spans="24:33">
      <c r="X903">
        <v>449.599</v>
      </c>
      <c r="Y903">
        <v>1.26635222893911</v>
      </c>
      <c r="Z903">
        <v>449.599</v>
      </c>
      <c r="AA903">
        <v>1.30088937778758</v>
      </c>
      <c r="AB903">
        <v>449.599</v>
      </c>
      <c r="AC903">
        <v>1.32082074283455</v>
      </c>
      <c r="AD903">
        <v>449.599</v>
      </c>
      <c r="AE903">
        <v>1.26819105646209</v>
      </c>
      <c r="AF903">
        <v>449.599</v>
      </c>
      <c r="AG903">
        <v>1.33392885945386</v>
      </c>
    </row>
    <row r="904" spans="24:33">
      <c r="X904">
        <v>450.098</v>
      </c>
      <c r="Y904">
        <v>1.28587289745282</v>
      </c>
      <c r="Z904">
        <v>450.098</v>
      </c>
      <c r="AA904">
        <v>1.30301584483815</v>
      </c>
      <c r="AB904">
        <v>450.098</v>
      </c>
      <c r="AC904">
        <v>1.32615726847089</v>
      </c>
      <c r="AD904">
        <v>450.098</v>
      </c>
      <c r="AE904">
        <v>1.26203736420516</v>
      </c>
      <c r="AF904">
        <v>450.098</v>
      </c>
      <c r="AG904">
        <v>1.32695304818435</v>
      </c>
    </row>
    <row r="905" spans="24:33">
      <c r="X905">
        <v>450.597</v>
      </c>
      <c r="Y905">
        <v>1.27030187035582</v>
      </c>
      <c r="Z905">
        <v>450.597</v>
      </c>
      <c r="AA905">
        <v>1.29901684821405</v>
      </c>
      <c r="AB905">
        <v>450.597</v>
      </c>
      <c r="AC905">
        <v>1.31943264518447</v>
      </c>
      <c r="AD905">
        <v>450.597</v>
      </c>
      <c r="AE905">
        <v>1.2686417388041</v>
      </c>
      <c r="AF905">
        <v>450.597</v>
      </c>
      <c r="AG905">
        <v>1.33072090029446</v>
      </c>
    </row>
    <row r="906" spans="24:33">
      <c r="X906">
        <v>451.096</v>
      </c>
      <c r="Y906">
        <v>1.27403288190644</v>
      </c>
      <c r="Z906">
        <v>451.096</v>
      </c>
      <c r="AA906">
        <v>1.30111848088882</v>
      </c>
      <c r="AB906">
        <v>451.096</v>
      </c>
      <c r="AC906">
        <v>1.32350285248319</v>
      </c>
      <c r="AD906">
        <v>451.096</v>
      </c>
      <c r="AE906">
        <v>1.26907525632698</v>
      </c>
      <c r="AF906">
        <v>451.096</v>
      </c>
      <c r="AG906">
        <v>1.32679552752223</v>
      </c>
    </row>
    <row r="907" spans="24:33">
      <c r="X907">
        <v>451.595</v>
      </c>
      <c r="Y907">
        <v>1.26783965160307</v>
      </c>
      <c r="Z907">
        <v>451.595</v>
      </c>
      <c r="AA907">
        <v>1.3011615077126</v>
      </c>
      <c r="AB907">
        <v>451.595</v>
      </c>
      <c r="AC907">
        <v>1.32612883821365</v>
      </c>
      <c r="AD907">
        <v>451.595</v>
      </c>
      <c r="AE907">
        <v>1.267623686615</v>
      </c>
      <c r="AF907">
        <v>451.595</v>
      </c>
      <c r="AG907">
        <v>1.33478650989104</v>
      </c>
    </row>
    <row r="908" spans="24:33">
      <c r="X908">
        <v>452.094</v>
      </c>
      <c r="Y908">
        <v>1.26801160565914</v>
      </c>
      <c r="Z908">
        <v>452.094</v>
      </c>
      <c r="AA908">
        <v>1.3013192200288</v>
      </c>
      <c r="AB908">
        <v>452.094</v>
      </c>
      <c r="AC908">
        <v>1.33075479851501</v>
      </c>
      <c r="AD908">
        <v>452.094</v>
      </c>
      <c r="AE908">
        <v>1.26872019076578</v>
      </c>
      <c r="AF908">
        <v>452.094</v>
      </c>
      <c r="AG908">
        <v>1.33346556738969</v>
      </c>
    </row>
    <row r="909" spans="24:33">
      <c r="X909">
        <v>452.593</v>
      </c>
      <c r="Y909">
        <v>1.2663684896793</v>
      </c>
      <c r="Z909">
        <v>452.593</v>
      </c>
      <c r="AA909">
        <v>1.29612707521081</v>
      </c>
      <c r="AB909">
        <v>452.593</v>
      </c>
      <c r="AC909">
        <v>1.31708868046759</v>
      </c>
      <c r="AD909">
        <v>452.593</v>
      </c>
      <c r="AE909">
        <v>1.27091963245016</v>
      </c>
      <c r="AF909">
        <v>452.593</v>
      </c>
      <c r="AG909">
        <v>1.3319119161026</v>
      </c>
    </row>
    <row r="910" spans="24:33">
      <c r="X910">
        <v>453.092</v>
      </c>
      <c r="Y910">
        <v>1.26704758490032</v>
      </c>
      <c r="Z910">
        <v>453.092</v>
      </c>
      <c r="AA910">
        <v>1.30196516242346</v>
      </c>
      <c r="AB910">
        <v>453.092</v>
      </c>
      <c r="AC910">
        <v>1.3208381085739</v>
      </c>
      <c r="AD910">
        <v>453.092</v>
      </c>
      <c r="AE910">
        <v>1.26434967959977</v>
      </c>
      <c r="AF910">
        <v>453.092</v>
      </c>
      <c r="AG910">
        <v>1.32528452214009</v>
      </c>
    </row>
    <row r="911" spans="24:33">
      <c r="X911">
        <v>453.591</v>
      </c>
      <c r="Y911">
        <v>1.26757180369124</v>
      </c>
      <c r="Z911">
        <v>453.591</v>
      </c>
      <c r="AA911">
        <v>1.30816139405299</v>
      </c>
      <c r="AB911">
        <v>453.591</v>
      </c>
      <c r="AC911">
        <v>1.32245004636169</v>
      </c>
      <c r="AD911">
        <v>453.591</v>
      </c>
      <c r="AE911">
        <v>1.26167136294065</v>
      </c>
      <c r="AF911">
        <v>453.591</v>
      </c>
      <c r="AG911">
        <v>1.32794856227377</v>
      </c>
    </row>
    <row r="912" spans="24:33">
      <c r="X912">
        <v>454.09</v>
      </c>
      <c r="Y912">
        <v>1.26966622991089</v>
      </c>
      <c r="Z912">
        <v>454.09</v>
      </c>
      <c r="AA912">
        <v>1.31263340609357</v>
      </c>
      <c r="AB912">
        <v>454.09</v>
      </c>
      <c r="AC912">
        <v>1.33229191779589</v>
      </c>
      <c r="AD912">
        <v>454.09</v>
      </c>
      <c r="AE912">
        <v>1.27694775377105</v>
      </c>
      <c r="AF912">
        <v>454.09</v>
      </c>
      <c r="AG912">
        <v>1.32485418187598</v>
      </c>
    </row>
    <row r="913" spans="24:33">
      <c r="X913">
        <v>454.589</v>
      </c>
      <c r="Y913">
        <v>1.26512457922627</v>
      </c>
      <c r="Z913">
        <v>454.589</v>
      </c>
      <c r="AA913">
        <v>1.30210596846528</v>
      </c>
      <c r="AB913">
        <v>454.589</v>
      </c>
      <c r="AC913">
        <v>1.32665653232848</v>
      </c>
      <c r="AD913">
        <v>454.589</v>
      </c>
      <c r="AE913">
        <v>1.26311287582407</v>
      </c>
      <c r="AF913">
        <v>454.589</v>
      </c>
      <c r="AG913">
        <v>1.31576034415669</v>
      </c>
    </row>
    <row r="914" spans="24:33">
      <c r="X914">
        <v>455.088</v>
      </c>
      <c r="Y914">
        <v>1.26975281195632</v>
      </c>
      <c r="Z914">
        <v>455.088</v>
      </c>
      <c r="AA914">
        <v>1.30761960159946</v>
      </c>
      <c r="AB914">
        <v>455.088</v>
      </c>
      <c r="AC914">
        <v>1.33947478899648</v>
      </c>
      <c r="AD914">
        <v>455.088</v>
      </c>
      <c r="AE914">
        <v>1.26421355413176</v>
      </c>
      <c r="AF914">
        <v>455.088</v>
      </c>
      <c r="AG914">
        <v>1.32408552605403</v>
      </c>
    </row>
    <row r="915" spans="24:33">
      <c r="X915">
        <v>455.587</v>
      </c>
      <c r="Y915">
        <v>1.2713233149386</v>
      </c>
      <c r="Z915">
        <v>455.587</v>
      </c>
      <c r="AA915">
        <v>1.31532774004519</v>
      </c>
      <c r="AB915">
        <v>455.587</v>
      </c>
      <c r="AC915">
        <v>1.3378315231236</v>
      </c>
      <c r="AD915">
        <v>455.587</v>
      </c>
      <c r="AE915">
        <v>1.26971919944589</v>
      </c>
      <c r="AF915">
        <v>455.587</v>
      </c>
      <c r="AG915">
        <v>1.31833814422198</v>
      </c>
    </row>
    <row r="916" spans="24:33">
      <c r="X916">
        <v>456.086</v>
      </c>
      <c r="Y916">
        <v>1.26978621805394</v>
      </c>
      <c r="Z916">
        <v>456.086</v>
      </c>
      <c r="AA916">
        <v>1.31174507217536</v>
      </c>
      <c r="AB916">
        <v>456.086</v>
      </c>
      <c r="AC916">
        <v>1.33975939772393</v>
      </c>
      <c r="AD916">
        <v>456.086</v>
      </c>
      <c r="AE916">
        <v>1.26497922755417</v>
      </c>
      <c r="AF916">
        <v>456.086</v>
      </c>
      <c r="AG916">
        <v>1.32674850992112</v>
      </c>
    </row>
    <row r="917" spans="24:33">
      <c r="X917">
        <v>456.585</v>
      </c>
      <c r="Y917">
        <v>1.27105509810238</v>
      </c>
      <c r="Z917">
        <v>456.585</v>
      </c>
      <c r="AA917">
        <v>1.30600402664432</v>
      </c>
      <c r="AB917">
        <v>456.585</v>
      </c>
      <c r="AC917">
        <v>1.33831619693898</v>
      </c>
      <c r="AD917">
        <v>456.585</v>
      </c>
      <c r="AE917">
        <v>1.25541150017788</v>
      </c>
      <c r="AF917">
        <v>456.585</v>
      </c>
      <c r="AG917">
        <v>1.3341691844083</v>
      </c>
    </row>
    <row r="918" spans="24:33">
      <c r="X918">
        <v>457.084</v>
      </c>
      <c r="Y918">
        <v>1.26920492909422</v>
      </c>
      <c r="Z918">
        <v>457.084</v>
      </c>
      <c r="AA918">
        <v>1.3062969546723</v>
      </c>
      <c r="AB918">
        <v>457.084</v>
      </c>
      <c r="AC918">
        <v>1.34226056083115</v>
      </c>
      <c r="AD918">
        <v>457.084</v>
      </c>
      <c r="AE918">
        <v>1.26371255407893</v>
      </c>
      <c r="AF918">
        <v>457.084</v>
      </c>
      <c r="AG918">
        <v>1.33297077101792</v>
      </c>
    </row>
    <row r="919" spans="24:33">
      <c r="X919">
        <v>457.583</v>
      </c>
      <c r="Y919">
        <v>1.27255526211466</v>
      </c>
      <c r="Z919">
        <v>457.583</v>
      </c>
      <c r="AA919">
        <v>1.30872459536682</v>
      </c>
      <c r="AB919">
        <v>457.583</v>
      </c>
      <c r="AC919">
        <v>1.33797141560029</v>
      </c>
      <c r="AD919">
        <v>457.583</v>
      </c>
      <c r="AE919">
        <v>1.26977971257805</v>
      </c>
      <c r="AF919">
        <v>457.583</v>
      </c>
      <c r="AG919">
        <v>1.32558915694534</v>
      </c>
    </row>
    <row r="920" spans="24:33">
      <c r="X920">
        <v>458.082</v>
      </c>
      <c r="Y920">
        <v>1.26395878031049</v>
      </c>
      <c r="Z920">
        <v>458.082</v>
      </c>
      <c r="AA920">
        <v>1.31314311809982</v>
      </c>
      <c r="AB920">
        <v>458.082</v>
      </c>
      <c r="AC920">
        <v>1.3264981239736</v>
      </c>
      <c r="AD920">
        <v>458.082</v>
      </c>
      <c r="AE920">
        <v>1.26581737405051</v>
      </c>
      <c r="AF920">
        <v>458.082</v>
      </c>
      <c r="AG920">
        <v>1.32934387064249</v>
      </c>
    </row>
    <row r="921" spans="24:33">
      <c r="X921">
        <v>458.581</v>
      </c>
      <c r="Y921">
        <v>1.27578120063814</v>
      </c>
      <c r="Z921">
        <v>458.581</v>
      </c>
      <c r="AA921">
        <v>1.31561994116245</v>
      </c>
      <c r="AB921">
        <v>458.581</v>
      </c>
      <c r="AC921">
        <v>1.33744622869979</v>
      </c>
      <c r="AD921">
        <v>458.581</v>
      </c>
      <c r="AE921">
        <v>1.26908356592695</v>
      </c>
      <c r="AF921">
        <v>458.581</v>
      </c>
      <c r="AG921">
        <v>1.3335198265209</v>
      </c>
    </row>
    <row r="922" spans="24:33">
      <c r="X922">
        <v>459.08</v>
      </c>
      <c r="Y922">
        <v>1.27041080039824</v>
      </c>
      <c r="Z922">
        <v>459.08</v>
      </c>
      <c r="AA922">
        <v>1.31084670208068</v>
      </c>
      <c r="AB922">
        <v>459.08</v>
      </c>
      <c r="AC922">
        <v>1.34326365323146</v>
      </c>
      <c r="AD922">
        <v>459.08</v>
      </c>
      <c r="AE922">
        <v>1.26973316036663</v>
      </c>
      <c r="AF922">
        <v>459.08</v>
      </c>
      <c r="AG922">
        <v>1.32704819763083</v>
      </c>
    </row>
    <row r="923" spans="24:33">
      <c r="X923">
        <v>459.579</v>
      </c>
      <c r="Y923">
        <v>1.26768222928937</v>
      </c>
      <c r="Z923">
        <v>459.579</v>
      </c>
      <c r="AA923">
        <v>1.30498962080242</v>
      </c>
      <c r="AB923">
        <v>459.579</v>
      </c>
      <c r="AC923">
        <v>1.33525599541103</v>
      </c>
      <c r="AD923">
        <v>459.579</v>
      </c>
      <c r="AE923">
        <v>1.26241530812847</v>
      </c>
      <c r="AF923">
        <v>459.579</v>
      </c>
      <c r="AG923">
        <v>1.33471771738598</v>
      </c>
    </row>
    <row r="924" spans="24:33">
      <c r="X924">
        <v>460.078</v>
      </c>
      <c r="Y924">
        <v>1.26886375678033</v>
      </c>
      <c r="Z924">
        <v>460.078</v>
      </c>
      <c r="AA924">
        <v>1.31599660421334</v>
      </c>
      <c r="AB924">
        <v>460.078</v>
      </c>
      <c r="AC924">
        <v>1.33783677898309</v>
      </c>
      <c r="AD924">
        <v>460.078</v>
      </c>
      <c r="AE924">
        <v>1.26085770923501</v>
      </c>
      <c r="AF924">
        <v>460.078</v>
      </c>
      <c r="AG924">
        <v>1.33980214642096</v>
      </c>
    </row>
    <row r="925" spans="24:33">
      <c r="X925">
        <v>460.577</v>
      </c>
      <c r="Y925">
        <v>1.28616091289313</v>
      </c>
      <c r="Z925">
        <v>460.577</v>
      </c>
      <c r="AA925">
        <v>1.30426196779461</v>
      </c>
      <c r="AB925">
        <v>460.577</v>
      </c>
      <c r="AC925">
        <v>1.34284317086337</v>
      </c>
      <c r="AD925">
        <v>460.577</v>
      </c>
      <c r="AE925">
        <v>1.26648532870256</v>
      </c>
      <c r="AF925">
        <v>460.577</v>
      </c>
      <c r="AG925">
        <v>1.33939920107929</v>
      </c>
    </row>
    <row r="926" spans="24:33">
      <c r="X926">
        <v>461.076</v>
      </c>
      <c r="Y926">
        <v>1.27362231164013</v>
      </c>
      <c r="Z926">
        <v>461.076</v>
      </c>
      <c r="AA926">
        <v>1.31940428587407</v>
      </c>
      <c r="AB926">
        <v>461.076</v>
      </c>
      <c r="AC926">
        <v>1.33192016198157</v>
      </c>
      <c r="AD926">
        <v>461.076</v>
      </c>
      <c r="AE926">
        <v>1.26024790925444</v>
      </c>
      <c r="AF926">
        <v>461.076</v>
      </c>
      <c r="AG926">
        <v>1.33779558836116</v>
      </c>
    </row>
    <row r="927" spans="24:33">
      <c r="X927">
        <v>461.575</v>
      </c>
      <c r="Y927">
        <v>1.26489072994247</v>
      </c>
      <c r="Z927">
        <v>461.575</v>
      </c>
      <c r="AA927">
        <v>1.30184674796619</v>
      </c>
      <c r="AB927">
        <v>461.575</v>
      </c>
      <c r="AC927">
        <v>1.3315221193665</v>
      </c>
      <c r="AD927">
        <v>461.575</v>
      </c>
      <c r="AE927">
        <v>1.26116927539252</v>
      </c>
      <c r="AF927">
        <v>461.575</v>
      </c>
      <c r="AG927">
        <v>1.33078942053577</v>
      </c>
    </row>
    <row r="928" spans="24:33">
      <c r="X928">
        <v>462.074</v>
      </c>
      <c r="Y928">
        <v>1.26871466072194</v>
      </c>
      <c r="Z928">
        <v>462.074</v>
      </c>
      <c r="AA928">
        <v>1.30457697082676</v>
      </c>
      <c r="AB928">
        <v>462.074</v>
      </c>
      <c r="AC928">
        <v>1.3319608245383</v>
      </c>
      <c r="AD928">
        <v>462.074</v>
      </c>
      <c r="AE928">
        <v>1.25468777696896</v>
      </c>
      <c r="AF928">
        <v>462.074</v>
      </c>
      <c r="AG928">
        <v>1.3360923749787</v>
      </c>
    </row>
    <row r="929" spans="24:33">
      <c r="X929">
        <v>462.573</v>
      </c>
      <c r="Y929">
        <v>1.27015644121151</v>
      </c>
      <c r="Z929">
        <v>462.573</v>
      </c>
      <c r="AA929">
        <v>1.31924933615956</v>
      </c>
      <c r="AB929">
        <v>462.573</v>
      </c>
      <c r="AC929">
        <v>1.33048492342875</v>
      </c>
      <c r="AD929">
        <v>462.573</v>
      </c>
      <c r="AE929">
        <v>1.26003899990685</v>
      </c>
      <c r="AF929">
        <v>462.573</v>
      </c>
      <c r="AG929">
        <v>1.33179923694834</v>
      </c>
    </row>
    <row r="930" spans="24:33">
      <c r="X930">
        <v>463.072</v>
      </c>
      <c r="Y930">
        <v>1.27442151546056</v>
      </c>
      <c r="Z930">
        <v>463.072</v>
      </c>
      <c r="AA930">
        <v>1.30609714858637</v>
      </c>
      <c r="AB930">
        <v>463.072</v>
      </c>
      <c r="AC930">
        <v>1.3405745775298</v>
      </c>
      <c r="AD930">
        <v>463.072</v>
      </c>
      <c r="AE930">
        <v>1.25420343978619</v>
      </c>
      <c r="AF930">
        <v>463.072</v>
      </c>
      <c r="AG930">
        <v>1.33237314921995</v>
      </c>
    </row>
    <row r="931" spans="24:33">
      <c r="X931">
        <v>463.571</v>
      </c>
      <c r="Y931">
        <v>1.27269956009758</v>
      </c>
      <c r="Z931">
        <v>463.571</v>
      </c>
      <c r="AA931">
        <v>1.30811064826925</v>
      </c>
      <c r="AB931">
        <v>463.571</v>
      </c>
      <c r="AC931">
        <v>1.3396985402688</v>
      </c>
      <c r="AD931">
        <v>463.571</v>
      </c>
      <c r="AE931">
        <v>1.26261276251132</v>
      </c>
      <c r="AF931">
        <v>463.571</v>
      </c>
      <c r="AG931">
        <v>1.32276441951756</v>
      </c>
    </row>
    <row r="932" spans="24:33">
      <c r="X932">
        <v>464.07</v>
      </c>
      <c r="Y932">
        <v>1.27771326754915</v>
      </c>
      <c r="Z932">
        <v>464.07</v>
      </c>
      <c r="AA932">
        <v>1.30807048998712</v>
      </c>
      <c r="AB932">
        <v>464.07</v>
      </c>
      <c r="AC932">
        <v>1.34983846356956</v>
      </c>
      <c r="AD932">
        <v>464.07</v>
      </c>
      <c r="AE932">
        <v>1.26178794863755</v>
      </c>
      <c r="AF932">
        <v>464.07</v>
      </c>
      <c r="AG932">
        <v>1.32660103809424</v>
      </c>
    </row>
    <row r="933" spans="24:33">
      <c r="X933">
        <v>464.569</v>
      </c>
      <c r="Y933">
        <v>1.2717103158381</v>
      </c>
      <c r="Z933">
        <v>464.569</v>
      </c>
      <c r="AA933">
        <v>1.32007619475303</v>
      </c>
      <c r="AB933">
        <v>464.569</v>
      </c>
      <c r="AC933">
        <v>1.33811705671793</v>
      </c>
      <c r="AD933">
        <v>464.569</v>
      </c>
      <c r="AE933">
        <v>1.25885311712912</v>
      </c>
      <c r="AF933">
        <v>464.569</v>
      </c>
      <c r="AG933">
        <v>1.33781084531358</v>
      </c>
    </row>
    <row r="934" spans="24:33">
      <c r="X934">
        <v>465.068</v>
      </c>
      <c r="Y934">
        <v>1.27162938574968</v>
      </c>
      <c r="Z934">
        <v>465.068</v>
      </c>
      <c r="AA934">
        <v>1.3122156993849</v>
      </c>
      <c r="AB934">
        <v>465.068</v>
      </c>
      <c r="AC934">
        <v>1.32997321487866</v>
      </c>
      <c r="AD934">
        <v>465.068</v>
      </c>
      <c r="AE934">
        <v>1.26163670145455</v>
      </c>
      <c r="AF934">
        <v>465.068</v>
      </c>
      <c r="AG934">
        <v>1.33742211494686</v>
      </c>
    </row>
    <row r="935" spans="24:33">
      <c r="X935">
        <v>465.567</v>
      </c>
      <c r="Y935">
        <v>1.26995120089931</v>
      </c>
      <c r="Z935">
        <v>465.567</v>
      </c>
      <c r="AA935">
        <v>1.31398339972958</v>
      </c>
      <c r="AB935">
        <v>465.567</v>
      </c>
      <c r="AC935">
        <v>1.34149512113256</v>
      </c>
      <c r="AD935">
        <v>465.567</v>
      </c>
      <c r="AE935">
        <v>1.26682634807182</v>
      </c>
      <c r="AF935">
        <v>465.567</v>
      </c>
      <c r="AG935">
        <v>1.33008920553201</v>
      </c>
    </row>
    <row r="936" spans="24:33">
      <c r="X936">
        <v>466.066</v>
      </c>
      <c r="Y936">
        <v>1.27515538080448</v>
      </c>
      <c r="Z936">
        <v>466.066</v>
      </c>
      <c r="AA936">
        <v>1.31797435016801</v>
      </c>
      <c r="AB936">
        <v>466.066</v>
      </c>
      <c r="AC936">
        <v>1.34485105425947</v>
      </c>
      <c r="AD936">
        <v>466.066</v>
      </c>
      <c r="AE936">
        <v>1.26455150548643</v>
      </c>
      <c r="AF936">
        <v>466.066</v>
      </c>
      <c r="AG936">
        <v>1.32281367051779</v>
      </c>
    </row>
    <row r="937" spans="24:33">
      <c r="X937">
        <v>466.565</v>
      </c>
      <c r="Y937">
        <v>1.27670729576293</v>
      </c>
      <c r="Z937">
        <v>466.565</v>
      </c>
      <c r="AA937">
        <v>1.31641985967716</v>
      </c>
      <c r="AB937">
        <v>466.565</v>
      </c>
      <c r="AC937">
        <v>1.33849636468164</v>
      </c>
      <c r="AD937">
        <v>466.565</v>
      </c>
      <c r="AE937">
        <v>1.26263070407393</v>
      </c>
      <c r="AF937">
        <v>466.565</v>
      </c>
      <c r="AG937">
        <v>1.32921924901631</v>
      </c>
    </row>
    <row r="938" spans="24:33">
      <c r="X938">
        <v>467.064</v>
      </c>
      <c r="Y938">
        <v>1.26649479066435</v>
      </c>
      <c r="Z938">
        <v>467.064</v>
      </c>
      <c r="AA938">
        <v>1.31059322606971</v>
      </c>
      <c r="AB938">
        <v>467.064</v>
      </c>
      <c r="AC938">
        <v>1.33768177075346</v>
      </c>
      <c r="AD938">
        <v>467.064</v>
      </c>
      <c r="AE938">
        <v>1.26922566258176</v>
      </c>
      <c r="AF938">
        <v>467.064</v>
      </c>
      <c r="AG938">
        <v>1.33170401610483</v>
      </c>
    </row>
    <row r="939" spans="24:33">
      <c r="X939">
        <v>467.563</v>
      </c>
      <c r="Y939">
        <v>1.26933626088133</v>
      </c>
      <c r="Z939">
        <v>467.563</v>
      </c>
      <c r="AA939">
        <v>1.31342500572537</v>
      </c>
      <c r="AB939">
        <v>467.563</v>
      </c>
      <c r="AC939">
        <v>1.32887429048901</v>
      </c>
      <c r="AD939">
        <v>467.563</v>
      </c>
      <c r="AE939">
        <v>1.26647828598616</v>
      </c>
      <c r="AF939">
        <v>467.563</v>
      </c>
      <c r="AG939">
        <v>1.33758757376425</v>
      </c>
    </row>
    <row r="940" spans="24:33">
      <c r="X940">
        <v>468.062</v>
      </c>
      <c r="Y940">
        <v>1.27205438859921</v>
      </c>
      <c r="Z940">
        <v>468.062</v>
      </c>
      <c r="AA940">
        <v>1.31448137187867</v>
      </c>
      <c r="AB940">
        <v>468.062</v>
      </c>
      <c r="AC940">
        <v>1.33176597097931</v>
      </c>
      <c r="AD940">
        <v>468.062</v>
      </c>
      <c r="AE940">
        <v>1.26990686973395</v>
      </c>
      <c r="AF940">
        <v>468.062</v>
      </c>
      <c r="AG940">
        <v>1.33546505006176</v>
      </c>
    </row>
    <row r="941" spans="24:33">
      <c r="X941">
        <v>468.561</v>
      </c>
      <c r="Y941">
        <v>1.26825017267818</v>
      </c>
      <c r="Z941">
        <v>468.561</v>
      </c>
      <c r="AA941">
        <v>1.31996181729292</v>
      </c>
      <c r="AB941">
        <v>468.561</v>
      </c>
      <c r="AC941">
        <v>1.34084099924144</v>
      </c>
      <c r="AD941">
        <v>468.561</v>
      </c>
      <c r="AE941">
        <v>1.25807076236281</v>
      </c>
      <c r="AF941">
        <v>468.561</v>
      </c>
      <c r="AG941">
        <v>1.33606090665413</v>
      </c>
    </row>
    <row r="942" spans="24:33">
      <c r="X942">
        <v>469.06</v>
      </c>
      <c r="Y942">
        <v>1.28098963344207</v>
      </c>
      <c r="Z942">
        <v>469.06</v>
      </c>
      <c r="AA942">
        <v>1.31666981062429</v>
      </c>
      <c r="AB942">
        <v>469.06</v>
      </c>
      <c r="AC942">
        <v>1.33700784432914</v>
      </c>
      <c r="AD942">
        <v>469.06</v>
      </c>
      <c r="AE942">
        <v>1.26048508387861</v>
      </c>
      <c r="AF942">
        <v>469.06</v>
      </c>
      <c r="AG942">
        <v>1.33997170488497</v>
      </c>
    </row>
    <row r="943" spans="24:33">
      <c r="X943">
        <v>469.559</v>
      </c>
      <c r="Y943">
        <v>1.27546494307079</v>
      </c>
      <c r="Z943">
        <v>469.559</v>
      </c>
      <c r="AA943">
        <v>1.30959891247663</v>
      </c>
      <c r="AB943">
        <v>469.559</v>
      </c>
      <c r="AC943">
        <v>1.32406968662358</v>
      </c>
      <c r="AD943">
        <v>469.559</v>
      </c>
      <c r="AE943">
        <v>1.26748447275999</v>
      </c>
      <c r="AF943">
        <v>469.559</v>
      </c>
      <c r="AG943">
        <v>1.33641030832761</v>
      </c>
    </row>
    <row r="944" spans="24:33">
      <c r="X944">
        <v>470.058</v>
      </c>
      <c r="Y944">
        <v>1.2716041471494</v>
      </c>
      <c r="Z944">
        <v>470.058</v>
      </c>
      <c r="AA944">
        <v>1.31700317555942</v>
      </c>
      <c r="AB944">
        <v>470.058</v>
      </c>
      <c r="AC944">
        <v>1.32891683604314</v>
      </c>
      <c r="AD944">
        <v>470.058</v>
      </c>
      <c r="AE944">
        <v>1.26443972135615</v>
      </c>
      <c r="AF944">
        <v>470.058</v>
      </c>
      <c r="AG944">
        <v>1.34026172448657</v>
      </c>
    </row>
    <row r="945" spans="24:33">
      <c r="X945">
        <v>470.557</v>
      </c>
      <c r="Y945">
        <v>1.27036329159573</v>
      </c>
      <c r="Z945">
        <v>470.557</v>
      </c>
      <c r="AA945">
        <v>1.3223139625679</v>
      </c>
      <c r="AB945">
        <v>470.557</v>
      </c>
      <c r="AC945">
        <v>1.33821008596646</v>
      </c>
      <c r="AD945">
        <v>470.557</v>
      </c>
      <c r="AE945">
        <v>1.26775649381368</v>
      </c>
      <c r="AF945">
        <v>470.557</v>
      </c>
      <c r="AG945">
        <v>1.33828641638538</v>
      </c>
    </row>
    <row r="946" spans="24:33">
      <c r="X946">
        <v>471.056</v>
      </c>
      <c r="Y946">
        <v>1.27529161331336</v>
      </c>
      <c r="Z946">
        <v>471.056</v>
      </c>
      <c r="AA946">
        <v>1.32197237215064</v>
      </c>
      <c r="AB946">
        <v>471.056</v>
      </c>
      <c r="AC946">
        <v>1.34637043498304</v>
      </c>
      <c r="AD946">
        <v>471.056</v>
      </c>
      <c r="AE946">
        <v>1.2576243823283</v>
      </c>
      <c r="AF946">
        <v>471.056</v>
      </c>
      <c r="AG946">
        <v>1.34526821209531</v>
      </c>
    </row>
    <row r="947" spans="24:33">
      <c r="X947">
        <v>471.555</v>
      </c>
      <c r="Y947">
        <v>1.28039409869481</v>
      </c>
      <c r="Z947">
        <v>471.555</v>
      </c>
      <c r="AA947">
        <v>1.31963708258202</v>
      </c>
      <c r="AB947">
        <v>471.555</v>
      </c>
      <c r="AC947">
        <v>1.34282497628926</v>
      </c>
      <c r="AD947">
        <v>471.555</v>
      </c>
      <c r="AE947">
        <v>1.26929601328352</v>
      </c>
      <c r="AF947">
        <v>471.555</v>
      </c>
      <c r="AG947">
        <v>1.33284664984792</v>
      </c>
    </row>
    <row r="948" spans="24:33">
      <c r="X948">
        <v>472.054</v>
      </c>
      <c r="Y948">
        <v>1.27931086977378</v>
      </c>
      <c r="Z948">
        <v>472.054</v>
      </c>
      <c r="AA948">
        <v>1.32426345846069</v>
      </c>
      <c r="AB948">
        <v>472.054</v>
      </c>
      <c r="AC948">
        <v>1.33096717239844</v>
      </c>
      <c r="AD948">
        <v>472.054</v>
      </c>
      <c r="AE948">
        <v>1.27075468655388</v>
      </c>
      <c r="AF948">
        <v>472.054</v>
      </c>
      <c r="AG948">
        <v>1.33239847670945</v>
      </c>
    </row>
    <row r="949" spans="24:33">
      <c r="X949">
        <v>472.553</v>
      </c>
      <c r="Y949">
        <v>1.2770411477367</v>
      </c>
      <c r="Z949">
        <v>472.553</v>
      </c>
      <c r="AA949">
        <v>1.31529132432564</v>
      </c>
      <c r="AB949">
        <v>472.553</v>
      </c>
      <c r="AC949">
        <v>1.33469495591576</v>
      </c>
      <c r="AD949">
        <v>472.553</v>
      </c>
      <c r="AE949">
        <v>1.26008630735881</v>
      </c>
      <c r="AF949">
        <v>472.553</v>
      </c>
      <c r="AG949">
        <v>1.33422242073442</v>
      </c>
    </row>
    <row r="950" spans="24:33">
      <c r="X950">
        <v>473.052</v>
      </c>
      <c r="Y950">
        <v>1.27591722924059</v>
      </c>
      <c r="Z950">
        <v>473.052</v>
      </c>
      <c r="AA950">
        <v>1.3156525511812</v>
      </c>
      <c r="AB950">
        <v>473.052</v>
      </c>
      <c r="AC950">
        <v>1.34037346704392</v>
      </c>
      <c r="AD950">
        <v>473.052</v>
      </c>
      <c r="AE950">
        <v>1.26363190775139</v>
      </c>
      <c r="AF950">
        <v>473.052</v>
      </c>
      <c r="AG950">
        <v>1.33120633125306</v>
      </c>
    </row>
    <row r="951" spans="24:33">
      <c r="X951">
        <v>473.551</v>
      </c>
      <c r="Y951">
        <v>1.27895102385801</v>
      </c>
      <c r="Z951">
        <v>473.551</v>
      </c>
      <c r="AA951">
        <v>1.31911698833627</v>
      </c>
      <c r="AB951">
        <v>473.551</v>
      </c>
      <c r="AC951">
        <v>1.34729358904625</v>
      </c>
      <c r="AD951">
        <v>473.551</v>
      </c>
      <c r="AE951">
        <v>1.26180817544613</v>
      </c>
      <c r="AF951">
        <v>473.551</v>
      </c>
      <c r="AG951">
        <v>1.33854735743471</v>
      </c>
    </row>
    <row r="952" spans="24:33">
      <c r="X952">
        <v>474.05</v>
      </c>
      <c r="Y952">
        <v>1.27333347637013</v>
      </c>
      <c r="Z952">
        <v>474.05</v>
      </c>
      <c r="AA952">
        <v>1.3187022871454</v>
      </c>
      <c r="AB952">
        <v>474.05</v>
      </c>
      <c r="AC952">
        <v>1.3450388375565</v>
      </c>
      <c r="AD952">
        <v>474.05</v>
      </c>
      <c r="AE952">
        <v>1.2551665990113</v>
      </c>
      <c r="AF952">
        <v>474.05</v>
      </c>
      <c r="AG952">
        <v>1.33831370296256</v>
      </c>
    </row>
    <row r="953" spans="24:33">
      <c r="X953">
        <v>474.549</v>
      </c>
      <c r="Y953">
        <v>1.27375414639641</v>
      </c>
      <c r="Z953">
        <v>474.549</v>
      </c>
      <c r="AA953">
        <v>1.31691413551259</v>
      </c>
      <c r="AB953">
        <v>474.549</v>
      </c>
      <c r="AC953">
        <v>1.33473219449931</v>
      </c>
      <c r="AD953">
        <v>474.549</v>
      </c>
      <c r="AE953">
        <v>1.27207059614056</v>
      </c>
      <c r="AF953">
        <v>474.549</v>
      </c>
      <c r="AG953">
        <v>1.33319813973947</v>
      </c>
    </row>
    <row r="954" spans="24:33">
      <c r="X954">
        <v>475.048</v>
      </c>
      <c r="Y954">
        <v>1.27181617598853</v>
      </c>
      <c r="Z954">
        <v>475.048</v>
      </c>
      <c r="AA954">
        <v>1.32307863049121</v>
      </c>
      <c r="AB954">
        <v>475.048</v>
      </c>
      <c r="AC954">
        <v>1.3357959439918</v>
      </c>
      <c r="AD954">
        <v>475.048</v>
      </c>
      <c r="AE954">
        <v>1.27310165138897</v>
      </c>
      <c r="AF954">
        <v>475.048</v>
      </c>
      <c r="AG954">
        <v>1.34649092792503</v>
      </c>
    </row>
    <row r="955" spans="24:33">
      <c r="X955">
        <v>475.547</v>
      </c>
      <c r="Y955">
        <v>1.2714034106836</v>
      </c>
      <c r="Z955">
        <v>475.547</v>
      </c>
      <c r="AA955">
        <v>1.31602184830052</v>
      </c>
      <c r="AB955">
        <v>475.547</v>
      </c>
      <c r="AC955">
        <v>1.34266291918958</v>
      </c>
      <c r="AD955">
        <v>475.547</v>
      </c>
      <c r="AE955">
        <v>1.26976838468804</v>
      </c>
      <c r="AF955">
        <v>475.547</v>
      </c>
      <c r="AG955">
        <v>1.33435387053381</v>
      </c>
    </row>
    <row r="956" spans="24:33">
      <c r="X956">
        <v>476.046</v>
      </c>
      <c r="Y956">
        <v>1.26637542123477</v>
      </c>
      <c r="Z956">
        <v>476.046</v>
      </c>
      <c r="AA956">
        <v>1.31625179055039</v>
      </c>
      <c r="AB956">
        <v>476.046</v>
      </c>
      <c r="AC956">
        <v>1.33175074613581</v>
      </c>
      <c r="AD956">
        <v>476.046</v>
      </c>
      <c r="AE956">
        <v>1.27076499822242</v>
      </c>
      <c r="AF956">
        <v>476.046</v>
      </c>
      <c r="AG956">
        <v>1.33912500042108</v>
      </c>
    </row>
    <row r="957" spans="24:33">
      <c r="X957">
        <v>476.545</v>
      </c>
      <c r="Y957">
        <v>1.25954265447562</v>
      </c>
      <c r="Z957">
        <v>476.545</v>
      </c>
      <c r="AA957">
        <v>1.31270790017273</v>
      </c>
      <c r="AB957">
        <v>476.545</v>
      </c>
      <c r="AC957">
        <v>1.34026946536014</v>
      </c>
      <c r="AD957">
        <v>476.545</v>
      </c>
      <c r="AE957">
        <v>1.26660726837775</v>
      </c>
      <c r="AF957">
        <v>476.545</v>
      </c>
      <c r="AG957">
        <v>1.33668361840476</v>
      </c>
    </row>
    <row r="958" spans="24:33">
      <c r="X958">
        <v>477.044</v>
      </c>
      <c r="Y958">
        <v>1.27008758567565</v>
      </c>
      <c r="Z958">
        <v>477.044</v>
      </c>
      <c r="AA958">
        <v>1.31953567749295</v>
      </c>
      <c r="AB958">
        <v>477.044</v>
      </c>
      <c r="AC958">
        <v>1.33962536835384</v>
      </c>
      <c r="AD958">
        <v>477.044</v>
      </c>
      <c r="AE958">
        <v>1.26582032156047</v>
      </c>
      <c r="AF958">
        <v>477.044</v>
      </c>
      <c r="AG958">
        <v>1.33664138610883</v>
      </c>
    </row>
    <row r="959" spans="24:33">
      <c r="X959">
        <v>477.543</v>
      </c>
      <c r="Y959">
        <v>1.26444429161697</v>
      </c>
      <c r="Z959">
        <v>477.543</v>
      </c>
      <c r="AA959">
        <v>1.3194440599078</v>
      </c>
      <c r="AB959">
        <v>477.543</v>
      </c>
      <c r="AC959">
        <v>1.34042734917814</v>
      </c>
      <c r="AD959">
        <v>477.543</v>
      </c>
      <c r="AE959">
        <v>1.26740213118135</v>
      </c>
      <c r="AF959">
        <v>477.543</v>
      </c>
      <c r="AG959">
        <v>1.32983882361531</v>
      </c>
    </row>
    <row r="960" spans="24:33">
      <c r="X960">
        <v>478.042</v>
      </c>
      <c r="Y960">
        <v>1.26355900674274</v>
      </c>
      <c r="Z960">
        <v>478.042</v>
      </c>
      <c r="AA960">
        <v>1.30695947562656</v>
      </c>
      <c r="AB960">
        <v>478.042</v>
      </c>
      <c r="AC960">
        <v>1.33522003003692</v>
      </c>
      <c r="AD960">
        <v>478.042</v>
      </c>
      <c r="AE960">
        <v>1.26091214496325</v>
      </c>
      <c r="AF960">
        <v>478.042</v>
      </c>
      <c r="AG960">
        <v>1.33988464687103</v>
      </c>
    </row>
    <row r="961" spans="24:33">
      <c r="X961">
        <v>478.541</v>
      </c>
      <c r="Y961">
        <v>1.26816990396391</v>
      </c>
      <c r="Z961">
        <v>478.541</v>
      </c>
      <c r="AA961">
        <v>1.31924898171882</v>
      </c>
      <c r="AB961">
        <v>478.541</v>
      </c>
      <c r="AC961">
        <v>1.34307831716903</v>
      </c>
      <c r="AD961">
        <v>478.541</v>
      </c>
      <c r="AE961">
        <v>1.26634320207912</v>
      </c>
      <c r="AF961">
        <v>478.541</v>
      </c>
      <c r="AG961">
        <v>1.33656166781447</v>
      </c>
    </row>
    <row r="962" spans="24:33">
      <c r="X962">
        <v>479.04</v>
      </c>
      <c r="Y962">
        <v>1.27028438760019</v>
      </c>
      <c r="Z962">
        <v>479.04</v>
      </c>
      <c r="AA962">
        <v>1.30898481610139</v>
      </c>
      <c r="AB962">
        <v>479.04</v>
      </c>
      <c r="AC962">
        <v>1.3394988127879</v>
      </c>
      <c r="AD962">
        <v>479.04</v>
      </c>
      <c r="AE962">
        <v>1.27222715957956</v>
      </c>
      <c r="AF962">
        <v>479.04</v>
      </c>
      <c r="AG962">
        <v>1.33446580100947</v>
      </c>
    </row>
    <row r="963" spans="24:33">
      <c r="X963">
        <v>479.539</v>
      </c>
      <c r="Y963">
        <v>1.27868599844104</v>
      </c>
      <c r="Z963">
        <v>479.539</v>
      </c>
      <c r="AA963">
        <v>1.31154280394054</v>
      </c>
      <c r="AB963">
        <v>479.539</v>
      </c>
      <c r="AC963">
        <v>1.33455432960777</v>
      </c>
      <c r="AD963">
        <v>479.539</v>
      </c>
      <c r="AE963">
        <v>1.27327263160583</v>
      </c>
      <c r="AF963">
        <v>479.539</v>
      </c>
      <c r="AG963">
        <v>1.34070585859932</v>
      </c>
    </row>
    <row r="964" spans="24:33">
      <c r="X964">
        <v>480.038</v>
      </c>
      <c r="Y964">
        <v>1.27675325911634</v>
      </c>
      <c r="Z964">
        <v>480.038</v>
      </c>
      <c r="AA964">
        <v>1.31580267821994</v>
      </c>
      <c r="AB964">
        <v>480.038</v>
      </c>
      <c r="AC964">
        <v>1.33806299782819</v>
      </c>
      <c r="AD964">
        <v>480.038</v>
      </c>
      <c r="AE964">
        <v>1.26925726845419</v>
      </c>
      <c r="AF964">
        <v>480.038</v>
      </c>
      <c r="AG964">
        <v>1.33922359196127</v>
      </c>
    </row>
    <row r="965" spans="24:33">
      <c r="X965">
        <v>480.537</v>
      </c>
      <c r="Y965">
        <v>1.2796369388762</v>
      </c>
      <c r="Z965">
        <v>480.537</v>
      </c>
      <c r="AA965">
        <v>1.31656975060626</v>
      </c>
      <c r="AB965">
        <v>480.537</v>
      </c>
      <c r="AC965">
        <v>1.32951490427427</v>
      </c>
      <c r="AD965">
        <v>480.537</v>
      </c>
      <c r="AE965">
        <v>1.26572135696366</v>
      </c>
      <c r="AF965">
        <v>480.537</v>
      </c>
      <c r="AG965">
        <v>1.34082608466211</v>
      </c>
    </row>
    <row r="966" spans="24:33">
      <c r="X966">
        <v>481.036</v>
      </c>
      <c r="Y966">
        <v>1.26984533391328</v>
      </c>
      <c r="Z966">
        <v>481.036</v>
      </c>
      <c r="AA966">
        <v>1.32425903222118</v>
      </c>
      <c r="AB966">
        <v>481.036</v>
      </c>
      <c r="AC966">
        <v>1.32891011784056</v>
      </c>
      <c r="AD966">
        <v>481.036</v>
      </c>
      <c r="AE966">
        <v>1.27158239391004</v>
      </c>
      <c r="AF966">
        <v>481.036</v>
      </c>
      <c r="AG966">
        <v>1.34295252822148</v>
      </c>
    </row>
    <row r="967" spans="24:33">
      <c r="X967">
        <v>481.535</v>
      </c>
      <c r="Y967">
        <v>1.26781469249663</v>
      </c>
      <c r="Z967">
        <v>481.535</v>
      </c>
      <c r="AA967">
        <v>1.31487171778019</v>
      </c>
      <c r="AB967">
        <v>481.535</v>
      </c>
      <c r="AC967">
        <v>1.32829372352845</v>
      </c>
      <c r="AD967">
        <v>481.535</v>
      </c>
      <c r="AE967">
        <v>1.26463197051174</v>
      </c>
      <c r="AF967">
        <v>481.535</v>
      </c>
      <c r="AG967">
        <v>1.33619743582461</v>
      </c>
    </row>
    <row r="968" spans="24:33">
      <c r="X968">
        <v>482.034</v>
      </c>
      <c r="Y968">
        <v>1.26447604898679</v>
      </c>
      <c r="Z968">
        <v>482.034</v>
      </c>
      <c r="AA968">
        <v>1.31008911952594</v>
      </c>
      <c r="AB968">
        <v>482.034</v>
      </c>
      <c r="AC968">
        <v>1.33771297351514</v>
      </c>
      <c r="AD968">
        <v>482.034</v>
      </c>
      <c r="AE968">
        <v>1.27192317793025</v>
      </c>
      <c r="AF968">
        <v>482.034</v>
      </c>
      <c r="AG968">
        <v>1.35282251669667</v>
      </c>
    </row>
    <row r="969" spans="24:33">
      <c r="X969">
        <v>482.533</v>
      </c>
      <c r="Y969">
        <v>1.26821572140262</v>
      </c>
      <c r="Z969">
        <v>482.533</v>
      </c>
      <c r="AA969">
        <v>1.30885707006072</v>
      </c>
      <c r="AB969">
        <v>482.533</v>
      </c>
      <c r="AC969">
        <v>1.32501151991281</v>
      </c>
      <c r="AD969">
        <v>482.533</v>
      </c>
      <c r="AE969">
        <v>1.2765827124931</v>
      </c>
      <c r="AF969">
        <v>482.533</v>
      </c>
      <c r="AG969">
        <v>1.34161478570328</v>
      </c>
    </row>
    <row r="970" spans="24:33">
      <c r="X970">
        <v>483.032</v>
      </c>
      <c r="Y970">
        <v>1.27018208690692</v>
      </c>
      <c r="Z970">
        <v>483.032</v>
      </c>
      <c r="AA970">
        <v>1.31018447685205</v>
      </c>
      <c r="AB970">
        <v>483.032</v>
      </c>
      <c r="AC970">
        <v>1.33038345157339</v>
      </c>
      <c r="AD970">
        <v>483.032</v>
      </c>
      <c r="AE970">
        <v>1.27733812263031</v>
      </c>
      <c r="AF970">
        <v>483.032</v>
      </c>
      <c r="AG970">
        <v>1.345049219436</v>
      </c>
    </row>
    <row r="971" spans="24:33">
      <c r="X971">
        <v>483.531</v>
      </c>
      <c r="Y971">
        <v>1.26972256240038</v>
      </c>
      <c r="Z971">
        <v>483.531</v>
      </c>
      <c r="AA971">
        <v>1.32045493271994</v>
      </c>
      <c r="AB971">
        <v>483.531</v>
      </c>
      <c r="AC971">
        <v>1.33193543655367</v>
      </c>
      <c r="AD971">
        <v>483.531</v>
      </c>
      <c r="AE971">
        <v>1.27266291652229</v>
      </c>
      <c r="AF971">
        <v>483.531</v>
      </c>
      <c r="AG971">
        <v>1.33479586890585</v>
      </c>
    </row>
    <row r="972" spans="24:33">
      <c r="X972">
        <v>484.03</v>
      </c>
      <c r="Y972">
        <v>1.27531810259157</v>
      </c>
      <c r="Z972">
        <v>484.03</v>
      </c>
      <c r="AA972">
        <v>1.31913185722902</v>
      </c>
      <c r="AB972">
        <v>484.03</v>
      </c>
      <c r="AC972">
        <v>1.33218228534634</v>
      </c>
      <c r="AD972">
        <v>484.03</v>
      </c>
      <c r="AE972">
        <v>1.271251034316</v>
      </c>
      <c r="AF972">
        <v>484.03</v>
      </c>
      <c r="AG972">
        <v>1.34311383220214</v>
      </c>
    </row>
    <row r="973" spans="24:33">
      <c r="X973">
        <v>484.529</v>
      </c>
      <c r="Y973">
        <v>1.27191929321592</v>
      </c>
      <c r="Z973">
        <v>484.529</v>
      </c>
      <c r="AA973">
        <v>1.32135855634614</v>
      </c>
      <c r="AB973">
        <v>484.529</v>
      </c>
      <c r="AC973">
        <v>1.32314795833106</v>
      </c>
      <c r="AD973">
        <v>484.529</v>
      </c>
      <c r="AE973">
        <v>1.27274322432291</v>
      </c>
      <c r="AF973">
        <v>484.529</v>
      </c>
      <c r="AG973">
        <v>1.34076642489528</v>
      </c>
    </row>
    <row r="974" spans="24:33">
      <c r="X974">
        <v>485.028</v>
      </c>
      <c r="Y974">
        <v>1.273172060221</v>
      </c>
      <c r="Z974">
        <v>485.028</v>
      </c>
      <c r="AA974">
        <v>1.31360480283857</v>
      </c>
      <c r="AB974">
        <v>485.028</v>
      </c>
      <c r="AC974">
        <v>1.32707283583323</v>
      </c>
      <c r="AD974">
        <v>485.028</v>
      </c>
      <c r="AE974">
        <v>1.26924358473987</v>
      </c>
      <c r="AF974">
        <v>485.028</v>
      </c>
      <c r="AG974">
        <v>1.34215046441436</v>
      </c>
    </row>
    <row r="975" spans="24:33">
      <c r="X975">
        <v>485.527</v>
      </c>
      <c r="Y975">
        <v>1.27641948027989</v>
      </c>
      <c r="Z975">
        <v>485.527</v>
      </c>
      <c r="AA975">
        <v>1.3227767331758</v>
      </c>
      <c r="AB975">
        <v>485.527</v>
      </c>
      <c r="AC975">
        <v>1.33707089158717</v>
      </c>
      <c r="AD975">
        <v>485.527</v>
      </c>
      <c r="AE975">
        <v>1.26784386421005</v>
      </c>
      <c r="AF975">
        <v>485.527</v>
      </c>
      <c r="AG975">
        <v>1.34445696221354</v>
      </c>
    </row>
    <row r="976" spans="24:33">
      <c r="X976">
        <v>486.026</v>
      </c>
      <c r="Y976">
        <v>1.27003647367759</v>
      </c>
      <c r="Z976">
        <v>486.026</v>
      </c>
      <c r="AA976">
        <v>1.32221072682008</v>
      </c>
      <c r="AB976">
        <v>486.026</v>
      </c>
      <c r="AC976">
        <v>1.3375313379574</v>
      </c>
      <c r="AD976">
        <v>486.026</v>
      </c>
      <c r="AE976">
        <v>1.26811108744428</v>
      </c>
      <c r="AF976">
        <v>486.026</v>
      </c>
      <c r="AG976">
        <v>1.35236855417251</v>
      </c>
    </row>
    <row r="977" spans="24:33">
      <c r="X977">
        <v>486.525</v>
      </c>
      <c r="Y977">
        <v>1.27272535528443</v>
      </c>
      <c r="Z977">
        <v>486.525</v>
      </c>
      <c r="AA977">
        <v>1.31836221802826</v>
      </c>
      <c r="AB977">
        <v>486.525</v>
      </c>
      <c r="AC977">
        <v>1.33145490152109</v>
      </c>
      <c r="AD977">
        <v>486.525</v>
      </c>
      <c r="AE977">
        <v>1.26498840154921</v>
      </c>
      <c r="AF977">
        <v>486.525</v>
      </c>
      <c r="AG977">
        <v>1.3499987622878</v>
      </c>
    </row>
    <row r="978" spans="24:33">
      <c r="X978">
        <v>487.024</v>
      </c>
      <c r="Y978">
        <v>1.27854395140378</v>
      </c>
      <c r="Z978">
        <v>487.024</v>
      </c>
      <c r="AA978">
        <v>1.31619320561179</v>
      </c>
      <c r="AB978">
        <v>487.024</v>
      </c>
      <c r="AC978">
        <v>1.3304582308894</v>
      </c>
      <c r="AD978">
        <v>487.024</v>
      </c>
      <c r="AE978">
        <v>1.26666704093526</v>
      </c>
      <c r="AF978">
        <v>487.024</v>
      </c>
      <c r="AG978">
        <v>1.3411988035175</v>
      </c>
    </row>
    <row r="979" spans="24:33">
      <c r="X979">
        <v>487.523</v>
      </c>
      <c r="Y979">
        <v>1.26966214961573</v>
      </c>
      <c r="Z979">
        <v>487.523</v>
      </c>
      <c r="AA979">
        <v>1.32287263715143</v>
      </c>
      <c r="AB979">
        <v>487.523</v>
      </c>
      <c r="AC979">
        <v>1.34376597850848</v>
      </c>
      <c r="AD979">
        <v>487.523</v>
      </c>
      <c r="AE979">
        <v>1.26785180527236</v>
      </c>
      <c r="AF979">
        <v>487.523</v>
      </c>
      <c r="AG979">
        <v>1.34165071025935</v>
      </c>
    </row>
    <row r="980" spans="24:33">
      <c r="X980">
        <v>488.022</v>
      </c>
      <c r="Y980">
        <v>1.27735627762786</v>
      </c>
      <c r="Z980">
        <v>488.022</v>
      </c>
      <c r="AA980">
        <v>1.31995539871012</v>
      </c>
      <c r="AB980">
        <v>488.022</v>
      </c>
      <c r="AC980">
        <v>1.33958653460091</v>
      </c>
      <c r="AD980">
        <v>488.022</v>
      </c>
      <c r="AE980">
        <v>1.26707665642427</v>
      </c>
      <c r="AF980">
        <v>488.022</v>
      </c>
      <c r="AG980">
        <v>1.33472609908207</v>
      </c>
    </row>
    <row r="981" spans="24:33">
      <c r="X981">
        <v>488.521</v>
      </c>
      <c r="Y981">
        <v>1.26713481053008</v>
      </c>
      <c r="Z981">
        <v>488.521</v>
      </c>
      <c r="AA981">
        <v>1.32075258595366</v>
      </c>
      <c r="AB981">
        <v>488.521</v>
      </c>
      <c r="AC981">
        <v>1.33442060378194</v>
      </c>
      <c r="AD981">
        <v>488.521</v>
      </c>
      <c r="AE981">
        <v>1.27064569612214</v>
      </c>
      <c r="AF981">
        <v>488.521</v>
      </c>
      <c r="AG981">
        <v>1.34849956040961</v>
      </c>
    </row>
    <row r="982" spans="24:33">
      <c r="X982">
        <v>489.02</v>
      </c>
      <c r="Y982">
        <v>1.27577497784035</v>
      </c>
      <c r="Z982">
        <v>489.02</v>
      </c>
      <c r="AA982">
        <v>1.32465489666764</v>
      </c>
      <c r="AB982">
        <v>489.02</v>
      </c>
      <c r="AC982">
        <v>1.33445203464329</v>
      </c>
      <c r="AD982">
        <v>489.02</v>
      </c>
      <c r="AE982">
        <v>1.2584895428847</v>
      </c>
      <c r="AF982">
        <v>489.02</v>
      </c>
      <c r="AG982">
        <v>1.33371005970191</v>
      </c>
    </row>
    <row r="983" spans="24:33">
      <c r="X983">
        <v>489.519</v>
      </c>
      <c r="Y983">
        <v>1.2806693321458</v>
      </c>
      <c r="Z983">
        <v>489.519</v>
      </c>
      <c r="AA983">
        <v>1.3158300598633</v>
      </c>
      <c r="AB983">
        <v>489.519</v>
      </c>
      <c r="AC983">
        <v>1.33461089578888</v>
      </c>
      <c r="AD983">
        <v>489.519</v>
      </c>
      <c r="AE983">
        <v>1.26759954921092</v>
      </c>
      <c r="AF983">
        <v>489.519</v>
      </c>
      <c r="AG983">
        <v>1.33958218941496</v>
      </c>
    </row>
    <row r="984" spans="24:33">
      <c r="X984">
        <v>490.018</v>
      </c>
      <c r="Y984">
        <v>1.28111274388966</v>
      </c>
      <c r="Z984">
        <v>490.018</v>
      </c>
      <c r="AA984">
        <v>1.32430642799163</v>
      </c>
      <c r="AB984">
        <v>490.018</v>
      </c>
      <c r="AC984">
        <v>1.33524552046592</v>
      </c>
      <c r="AD984">
        <v>490.018</v>
      </c>
      <c r="AE984">
        <v>1.27076594130271</v>
      </c>
      <c r="AF984">
        <v>490.018</v>
      </c>
      <c r="AG984">
        <v>1.3350518412483</v>
      </c>
    </row>
    <row r="985" spans="24:33">
      <c r="X985">
        <v>490.517</v>
      </c>
      <c r="Y985">
        <v>1.2765703862912</v>
      </c>
      <c r="Z985">
        <v>490.517</v>
      </c>
      <c r="AA985">
        <v>1.32440903175665</v>
      </c>
      <c r="AB985">
        <v>490.517</v>
      </c>
      <c r="AC985">
        <v>1.34134987837788</v>
      </c>
      <c r="AD985">
        <v>490.517</v>
      </c>
      <c r="AE985">
        <v>1.26544001710806</v>
      </c>
      <c r="AF985">
        <v>490.517</v>
      </c>
      <c r="AG985">
        <v>1.33644266926964</v>
      </c>
    </row>
    <row r="986" spans="24:33">
      <c r="X986">
        <v>491.016</v>
      </c>
      <c r="Y986">
        <v>1.28320228446662</v>
      </c>
      <c r="Z986">
        <v>491.016</v>
      </c>
      <c r="AA986">
        <v>1.32117070169516</v>
      </c>
      <c r="AB986">
        <v>491.016</v>
      </c>
      <c r="AC986">
        <v>1.3466745164956</v>
      </c>
      <c r="AD986">
        <v>491.016</v>
      </c>
      <c r="AE986">
        <v>1.26854563478043</v>
      </c>
      <c r="AF986">
        <v>491.016</v>
      </c>
      <c r="AG986">
        <v>1.33268715386778</v>
      </c>
    </row>
    <row r="987" spans="24:33">
      <c r="X987">
        <v>491.515</v>
      </c>
      <c r="Y987">
        <v>1.28047962822744</v>
      </c>
      <c r="Z987">
        <v>491.515</v>
      </c>
      <c r="AA987">
        <v>1.3264033034513</v>
      </c>
      <c r="AB987">
        <v>491.515</v>
      </c>
      <c r="AC987">
        <v>1.3423854078496</v>
      </c>
      <c r="AD987">
        <v>491.515</v>
      </c>
      <c r="AE987">
        <v>1.26675448396332</v>
      </c>
      <c r="AF987">
        <v>491.515</v>
      </c>
      <c r="AG987">
        <v>1.32805260372604</v>
      </c>
    </row>
    <row r="988" spans="24:33">
      <c r="X988">
        <v>492.014</v>
      </c>
      <c r="Y988">
        <v>1.27754441434151</v>
      </c>
      <c r="Z988">
        <v>492.014</v>
      </c>
      <c r="AA988">
        <v>1.32337955716622</v>
      </c>
      <c r="AB988">
        <v>492.014</v>
      </c>
      <c r="AC988">
        <v>1.34017688434621</v>
      </c>
      <c r="AD988">
        <v>492.014</v>
      </c>
      <c r="AE988">
        <v>1.26570885387525</v>
      </c>
      <c r="AF988">
        <v>492.014</v>
      </c>
      <c r="AG988">
        <v>1.34125663953939</v>
      </c>
    </row>
    <row r="989" spans="24:33">
      <c r="X989">
        <v>492.513</v>
      </c>
      <c r="Y989">
        <v>1.27047236622504</v>
      </c>
      <c r="Z989">
        <v>492.513</v>
      </c>
      <c r="AA989">
        <v>1.32154807262731</v>
      </c>
      <c r="AB989">
        <v>492.513</v>
      </c>
      <c r="AC989">
        <v>1.33411423297452</v>
      </c>
      <c r="AD989">
        <v>492.513</v>
      </c>
      <c r="AE989">
        <v>1.27604654958592</v>
      </c>
      <c r="AF989">
        <v>492.513</v>
      </c>
      <c r="AG989">
        <v>1.32825902253355</v>
      </c>
    </row>
    <row r="990" spans="24:33">
      <c r="X990">
        <v>493.012</v>
      </c>
      <c r="Y990">
        <v>1.27515131657337</v>
      </c>
      <c r="Z990">
        <v>493.012</v>
      </c>
      <c r="AA990">
        <v>1.32887031537872</v>
      </c>
      <c r="AB990">
        <v>493.012</v>
      </c>
      <c r="AC990">
        <v>1.33428541839003</v>
      </c>
      <c r="AD990">
        <v>493.012</v>
      </c>
      <c r="AE990">
        <v>1.26617333383187</v>
      </c>
      <c r="AF990">
        <v>493.012</v>
      </c>
      <c r="AG990">
        <v>1.33844850633446</v>
      </c>
    </row>
    <row r="991" spans="24:33">
      <c r="X991">
        <v>493.511</v>
      </c>
      <c r="Y991">
        <v>1.27117752121292</v>
      </c>
      <c r="Z991">
        <v>493.511</v>
      </c>
      <c r="AA991">
        <v>1.324103196088</v>
      </c>
      <c r="AB991">
        <v>493.511</v>
      </c>
      <c r="AC991">
        <v>1.33097656174165</v>
      </c>
      <c r="AD991">
        <v>493.511</v>
      </c>
      <c r="AE991">
        <v>1.26826431626962</v>
      </c>
      <c r="AF991">
        <v>493.511</v>
      </c>
      <c r="AG991">
        <v>1.33297632284493</v>
      </c>
    </row>
    <row r="992" spans="24:33">
      <c r="X992">
        <v>494.01</v>
      </c>
      <c r="Y992">
        <v>1.26702277390058</v>
      </c>
      <c r="Z992">
        <v>494.01</v>
      </c>
      <c r="AA992">
        <v>1.32451890462227</v>
      </c>
      <c r="AB992">
        <v>494.01</v>
      </c>
      <c r="AC992">
        <v>1.33557715459183</v>
      </c>
      <c r="AD992">
        <v>494.01</v>
      </c>
      <c r="AE992">
        <v>1.27016432793837</v>
      </c>
      <c r="AF992">
        <v>494.01</v>
      </c>
      <c r="AG992">
        <v>1.33648056954153</v>
      </c>
    </row>
    <row r="993" spans="24:33">
      <c r="X993">
        <v>494.509</v>
      </c>
      <c r="Y993">
        <v>1.27142912606021</v>
      </c>
      <c r="Z993">
        <v>494.509</v>
      </c>
      <c r="AA993">
        <v>1.32890409790039</v>
      </c>
      <c r="AB993">
        <v>494.509</v>
      </c>
      <c r="AC993">
        <v>1.33751231579323</v>
      </c>
      <c r="AD993">
        <v>494.509</v>
      </c>
      <c r="AE993">
        <v>1.27016111572118</v>
      </c>
      <c r="AF993">
        <v>494.509</v>
      </c>
      <c r="AG993">
        <v>1.34164283682879</v>
      </c>
    </row>
    <row r="994" spans="24:33">
      <c r="X994">
        <v>495.008</v>
      </c>
      <c r="Y994">
        <v>1.26485689768953</v>
      </c>
      <c r="Z994">
        <v>495.008</v>
      </c>
      <c r="AA994">
        <v>1.32796953414504</v>
      </c>
      <c r="AB994">
        <v>495.008</v>
      </c>
      <c r="AC994">
        <v>1.3351614802338</v>
      </c>
      <c r="AD994">
        <v>495.008</v>
      </c>
      <c r="AE994">
        <v>1.26940468307418</v>
      </c>
      <c r="AF994">
        <v>495.008</v>
      </c>
      <c r="AG994">
        <v>1.34317894853195</v>
      </c>
    </row>
    <row r="995" spans="24:33">
      <c r="X995">
        <v>495.507</v>
      </c>
      <c r="Y995">
        <v>1.26761172000806</v>
      </c>
      <c r="Z995">
        <v>495.507</v>
      </c>
      <c r="AA995">
        <v>1.32600763060559</v>
      </c>
      <c r="AB995">
        <v>495.507</v>
      </c>
      <c r="AC995">
        <v>1.34331252425443</v>
      </c>
      <c r="AD995">
        <v>495.507</v>
      </c>
      <c r="AE995">
        <v>1.26858917546951</v>
      </c>
      <c r="AF995">
        <v>495.507</v>
      </c>
      <c r="AG995">
        <v>1.33465720208282</v>
      </c>
    </row>
    <row r="996" spans="24:33">
      <c r="X996">
        <v>496.006</v>
      </c>
      <c r="Y996">
        <v>1.2728860325683</v>
      </c>
      <c r="Z996">
        <v>496.006</v>
      </c>
      <c r="AA996">
        <v>1.32744656936172</v>
      </c>
      <c r="AB996">
        <v>496.006</v>
      </c>
      <c r="AC996">
        <v>1.32415313645215</v>
      </c>
      <c r="AD996">
        <v>496.006</v>
      </c>
      <c r="AE996">
        <v>1.27095524889219</v>
      </c>
      <c r="AF996">
        <v>496.006</v>
      </c>
      <c r="AG996">
        <v>1.33228559640216</v>
      </c>
    </row>
    <row r="997" spans="24:33">
      <c r="X997">
        <v>496.505</v>
      </c>
      <c r="Y997">
        <v>1.27151663538441</v>
      </c>
      <c r="Z997">
        <v>496.505</v>
      </c>
      <c r="AA997">
        <v>1.32687276283267</v>
      </c>
      <c r="AB997">
        <v>496.505</v>
      </c>
      <c r="AC997">
        <v>1.33478129400851</v>
      </c>
      <c r="AD997">
        <v>496.505</v>
      </c>
      <c r="AE997">
        <v>1.27326670088378</v>
      </c>
      <c r="AF997">
        <v>496.505</v>
      </c>
      <c r="AG997">
        <v>1.34190452132427</v>
      </c>
    </row>
    <row r="998" spans="24:33">
      <c r="X998">
        <v>497.004</v>
      </c>
      <c r="Y998">
        <v>1.25900634903215</v>
      </c>
      <c r="Z998">
        <v>497.004</v>
      </c>
      <c r="AA998">
        <v>1.32111036958571</v>
      </c>
      <c r="AB998">
        <v>497.004</v>
      </c>
      <c r="AC998">
        <v>1.33694406018348</v>
      </c>
      <c r="AD998">
        <v>497.004</v>
      </c>
      <c r="AE998">
        <v>1.27453868430716</v>
      </c>
      <c r="AF998">
        <v>497.004</v>
      </c>
      <c r="AG998">
        <v>1.343150873915</v>
      </c>
    </row>
    <row r="999" spans="24:33">
      <c r="X999">
        <v>497.503</v>
      </c>
      <c r="Y999">
        <v>1.27013735628964</v>
      </c>
      <c r="Z999">
        <v>497.503</v>
      </c>
      <c r="AA999">
        <v>1.32549645937327</v>
      </c>
      <c r="AB999">
        <v>497.503</v>
      </c>
      <c r="AC999">
        <v>1.34706742458971</v>
      </c>
      <c r="AD999">
        <v>497.503</v>
      </c>
      <c r="AE999">
        <v>1.26863449262981</v>
      </c>
      <c r="AF999">
        <v>497.503</v>
      </c>
      <c r="AG999">
        <v>1.34555820867467</v>
      </c>
    </row>
    <row r="1000" spans="24:33">
      <c r="X1000">
        <v>498.002</v>
      </c>
      <c r="Y1000">
        <v>1.26478141076248</v>
      </c>
      <c r="Z1000">
        <v>498.002</v>
      </c>
      <c r="AA1000">
        <v>1.32341665922445</v>
      </c>
      <c r="AB1000">
        <v>498.002</v>
      </c>
      <c r="AC1000">
        <v>1.33771392930984</v>
      </c>
      <c r="AD1000">
        <v>498.002</v>
      </c>
      <c r="AE1000">
        <v>1.26996658813985</v>
      </c>
      <c r="AF1000">
        <v>498.002</v>
      </c>
      <c r="AG1000">
        <v>1.3452263454565</v>
      </c>
    </row>
    <row r="1001" spans="24:33">
      <c r="X1001">
        <v>498.501</v>
      </c>
      <c r="Y1001">
        <v>1.27431868230906</v>
      </c>
      <c r="Z1001">
        <v>498.501</v>
      </c>
      <c r="AA1001">
        <v>1.33042185195323</v>
      </c>
      <c r="AB1001">
        <v>498.501</v>
      </c>
      <c r="AC1001">
        <v>1.3456935693391</v>
      </c>
      <c r="AD1001">
        <v>498.501</v>
      </c>
      <c r="AE1001">
        <v>1.2651189385011</v>
      </c>
      <c r="AF1001">
        <v>498.501</v>
      </c>
      <c r="AG1001">
        <v>1.34158500073613</v>
      </c>
    </row>
    <row r="1002" spans="24:33">
      <c r="X1002">
        <v>499</v>
      </c>
      <c r="Y1002">
        <v>1.26545664695761</v>
      </c>
      <c r="Z1002">
        <v>499</v>
      </c>
      <c r="AA1002">
        <v>1.32552942410237</v>
      </c>
      <c r="AB1002">
        <v>499</v>
      </c>
      <c r="AC1002">
        <v>1.34658047349239</v>
      </c>
      <c r="AD1002">
        <v>499</v>
      </c>
      <c r="AE1002">
        <v>1.25939914617911</v>
      </c>
      <c r="AF1002">
        <v>499</v>
      </c>
      <c r="AG1002">
        <v>1.33859035769607</v>
      </c>
    </row>
    <row r="1003" spans="24:33">
      <c r="X1003">
        <v>499.499</v>
      </c>
      <c r="Y1003">
        <v>1.26756087830562</v>
      </c>
      <c r="Z1003">
        <v>499.499</v>
      </c>
      <c r="AA1003">
        <v>1.33585102928848</v>
      </c>
      <c r="AB1003">
        <v>499.499</v>
      </c>
      <c r="AC1003">
        <v>1.33892475954226</v>
      </c>
      <c r="AD1003">
        <v>499.499</v>
      </c>
      <c r="AE1003">
        <v>1.26994299447533</v>
      </c>
      <c r="AF1003">
        <v>499.499</v>
      </c>
      <c r="AG1003">
        <v>1.34217034935793</v>
      </c>
    </row>
    <row r="1004" spans="24:33">
      <c r="X1004">
        <v>499.998</v>
      </c>
      <c r="Y1004">
        <v>1.26392091335532</v>
      </c>
      <c r="Z1004">
        <v>499.998</v>
      </c>
      <c r="AA1004">
        <v>1.32695410690307</v>
      </c>
      <c r="AB1004">
        <v>499.998</v>
      </c>
      <c r="AC1004">
        <v>1.33754614074079</v>
      </c>
      <c r="AD1004">
        <v>499.998</v>
      </c>
      <c r="AE1004">
        <v>1.26359123247542</v>
      </c>
      <c r="AF1004">
        <v>499.998</v>
      </c>
      <c r="AG1004">
        <v>1.33397245240286</v>
      </c>
    </row>
    <row r="1005" spans="24:33">
      <c r="X1005">
        <v>500</v>
      </c>
      <c r="Y1005">
        <v>1.26365547250064</v>
      </c>
      <c r="Z1005">
        <v>500</v>
      </c>
      <c r="AA1005">
        <v>1.32673897295531</v>
      </c>
      <c r="AB1005">
        <v>500</v>
      </c>
      <c r="AC1005">
        <v>1.33771660289711</v>
      </c>
      <c r="AD1005">
        <v>500</v>
      </c>
      <c r="AE1005">
        <v>1.26381498906269</v>
      </c>
      <c r="AF1005">
        <v>500</v>
      </c>
      <c r="AG1005">
        <v>1.33401039483333</v>
      </c>
    </row>
    <row r="1007" spans="24:33">
      <c r="Y1007">
        <f>AVEDEV(Y904:Y1005)</f>
        <v>0.00419548407348253</v>
      </c>
      <c r="AA1007">
        <f t="shared" ref="AA1007:AG1007" si="22">AVEDEV(AA904:AA1005)</f>
        <v>0.0065871552229798</v>
      </c>
      <c r="AC1007">
        <f t="shared" si="22"/>
        <v>0.00542858496246342</v>
      </c>
      <c r="AE1007">
        <f t="shared" si="22"/>
        <v>0.00395812202427916</v>
      </c>
      <c r="AG1007">
        <f t="shared" si="22"/>
        <v>0.00534632971634358</v>
      </c>
    </row>
    <row r="1008" spans="24:33">
      <c r="Y1008">
        <f>AVERAGE(Y904:Y1005)</f>
        <v>1.27170505401378</v>
      </c>
      <c r="AA1008">
        <f t="shared" ref="AA1008:AG1008" si="23">AVERAGE(AA904:AA1005)</f>
        <v>1.31622373417206</v>
      </c>
      <c r="AC1008">
        <f t="shared" si="23"/>
        <v>1.33553932587235</v>
      </c>
      <c r="AE1008">
        <f t="shared" si="23"/>
        <v>1.26659332346727</v>
      </c>
      <c r="AG1008">
        <f t="shared" si="23"/>
        <v>1.33578016773473</v>
      </c>
    </row>
    <row r="1011" spans="25:33">
      <c r="Y1011">
        <v>0.00419548407348253</v>
      </c>
      <c r="AA1011">
        <v>0.0065871552229798</v>
      </c>
      <c r="AC1011">
        <v>0.00542858496246342</v>
      </c>
      <c r="AE1011">
        <v>0.00395812202427916</v>
      </c>
      <c r="AG1011">
        <v>0.00534632971634358</v>
      </c>
    </row>
    <row r="1012" spans="25:33">
      <c r="Y1012">
        <v>1.27170505401378</v>
      </c>
      <c r="AA1012">
        <v>1.31622373417206</v>
      </c>
      <c r="AC1012">
        <v>1.33553932587235</v>
      </c>
      <c r="AE1012">
        <v>1.26659332346727</v>
      </c>
      <c r="AG1012">
        <v>1.33578016773473</v>
      </c>
    </row>
  </sheetData>
  <mergeCells count="4">
    <mergeCell ref="AW1:BF1"/>
    <mergeCell ref="BG1:BI1"/>
    <mergeCell ref="F2:Q2"/>
    <mergeCell ref="BK3:BK8"/>
  </mergeCells>
  <pageMargins left="0.7" right="0.7" top="0.75" bottom="0.75" header="0.3" footer="0.3"/>
  <pageSetup paperSize="9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G1:EK1007"/>
  <sheetViews>
    <sheetView workbookViewId="0">
      <selection activeCell="O25" sqref="O25"/>
    </sheetView>
  </sheetViews>
  <sheetFormatPr defaultColWidth="9" defaultRowHeight="13.8"/>
  <sheetData>
    <row r="1" spans="7:135">
      <c r="W1" s="2" t="s">
        <v>152</v>
      </c>
      <c r="X1" s="2"/>
      <c r="Y1" s="2"/>
      <c r="Z1" s="2"/>
      <c r="AA1" s="2"/>
      <c r="AB1" s="2"/>
      <c r="AC1" s="2"/>
      <c r="AD1" s="2"/>
      <c r="AE1" s="2"/>
      <c r="AF1" s="2"/>
      <c r="AJ1" s="2" t="s">
        <v>102</v>
      </c>
      <c r="AK1" t="s">
        <v>70</v>
      </c>
      <c r="AL1" t="s">
        <v>64</v>
      </c>
      <c r="AM1" t="s">
        <v>70</v>
      </c>
      <c r="AN1" t="s">
        <v>64</v>
      </c>
      <c r="AO1" t="s">
        <v>70</v>
      </c>
      <c r="AP1" t="s">
        <v>64</v>
      </c>
      <c r="AQ1" t="s">
        <v>70</v>
      </c>
      <c r="AR1" t="s">
        <v>64</v>
      </c>
      <c r="AS1" t="s">
        <v>70</v>
      </c>
      <c r="AT1" t="s">
        <v>64</v>
      </c>
      <c r="BN1" s="4" t="s">
        <v>157</v>
      </c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K1" s="2" t="s">
        <v>157</v>
      </c>
      <c r="CL1" s="2" t="s">
        <v>190</v>
      </c>
      <c r="CM1" s="2"/>
      <c r="CN1" s="2"/>
      <c r="CO1" s="2"/>
      <c r="CP1" s="2"/>
      <c r="CQ1" s="2"/>
      <c r="CR1" s="2" t="s">
        <v>157</v>
      </c>
      <c r="CS1" s="2" t="s">
        <v>191</v>
      </c>
      <c r="CT1" s="2"/>
      <c r="CU1" s="2"/>
      <c r="DZ1" s="2" t="s">
        <v>161</v>
      </c>
      <c r="EA1" s="2"/>
      <c r="EB1" s="2"/>
    </row>
    <row r="2" spans="7:135">
      <c r="AJ2" t="s">
        <v>99</v>
      </c>
      <c r="AK2" t="s">
        <v>102</v>
      </c>
      <c r="AL2" t="s">
        <v>102</v>
      </c>
      <c r="AM2" t="s">
        <v>102</v>
      </c>
      <c r="AN2" t="s">
        <v>102</v>
      </c>
      <c r="AO2" t="s">
        <v>102</v>
      </c>
      <c r="AP2" t="s">
        <v>102</v>
      </c>
      <c r="AQ2" t="s">
        <v>102</v>
      </c>
      <c r="AR2" t="s">
        <v>102</v>
      </c>
      <c r="AS2" t="s">
        <v>102</v>
      </c>
      <c r="AT2" t="s">
        <v>102</v>
      </c>
      <c r="BN2">
        <v>1</v>
      </c>
      <c r="BO2" t="s">
        <v>192</v>
      </c>
      <c r="BQ2" t="s">
        <v>193</v>
      </c>
      <c r="BR2">
        <v>2</v>
      </c>
      <c r="BS2" t="s">
        <v>192</v>
      </c>
      <c r="BU2" t="s">
        <v>193</v>
      </c>
      <c r="BV2">
        <v>3</v>
      </c>
      <c r="BW2" t="s">
        <v>192</v>
      </c>
      <c r="BY2" t="s">
        <v>193</v>
      </c>
      <c r="BZ2">
        <v>4</v>
      </c>
      <c r="CA2" t="s">
        <v>192</v>
      </c>
      <c r="CC2" t="s">
        <v>193</v>
      </c>
      <c r="CD2">
        <v>5</v>
      </c>
      <c r="CE2" t="s">
        <v>192</v>
      </c>
      <c r="CG2" t="s">
        <v>193</v>
      </c>
      <c r="CZ2" s="2" t="s">
        <v>156</v>
      </c>
      <c r="DA2" s="2"/>
      <c r="DB2" s="2"/>
      <c r="DC2" s="2"/>
    </row>
    <row r="3" spans="7:135">
      <c r="G3" s="5" t="s">
        <v>159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W3">
        <v>0.499</v>
      </c>
      <c r="X3">
        <v>1.04754207110886</v>
      </c>
      <c r="Y3">
        <v>0.499</v>
      </c>
      <c r="Z3">
        <v>1.05482579609482</v>
      </c>
      <c r="AA3">
        <v>0.499</v>
      </c>
      <c r="AB3">
        <v>1.04822752266596</v>
      </c>
      <c r="AC3">
        <v>0.499</v>
      </c>
      <c r="AD3">
        <v>1.05337073535311</v>
      </c>
      <c r="AE3">
        <v>0.499</v>
      </c>
      <c r="AF3">
        <v>1.03631366371013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W3" t="s">
        <v>73</v>
      </c>
      <c r="AX3" s="6" t="s">
        <v>63</v>
      </c>
      <c r="AY3" s="6"/>
      <c r="AZ3" s="6"/>
      <c r="BA3" s="6"/>
      <c r="BB3" s="6"/>
      <c r="BC3" s="6"/>
      <c r="BD3" s="6"/>
      <c r="BE3" s="6"/>
      <c r="BF3" s="6"/>
      <c r="BG3" s="6"/>
      <c r="BH3" s="7" t="s">
        <v>64</v>
      </c>
      <c r="BI3" s="7"/>
      <c r="BJ3" s="7"/>
      <c r="BN3" t="s">
        <v>104</v>
      </c>
      <c r="BO3" t="s">
        <v>105</v>
      </c>
      <c r="BP3" t="s">
        <v>104</v>
      </c>
      <c r="BQ3" t="s">
        <v>105</v>
      </c>
      <c r="BR3" t="s">
        <v>104</v>
      </c>
      <c r="BS3" t="s">
        <v>105</v>
      </c>
      <c r="BT3" t="s">
        <v>104</v>
      </c>
      <c r="BU3" t="s">
        <v>105</v>
      </c>
      <c r="BV3" t="s">
        <v>104</v>
      </c>
      <c r="BW3" t="s">
        <v>105</v>
      </c>
      <c r="BX3" t="s">
        <v>104</v>
      </c>
      <c r="BY3" t="s">
        <v>105</v>
      </c>
      <c r="BZ3" t="s">
        <v>104</v>
      </c>
      <c r="CA3" t="s">
        <v>105</v>
      </c>
      <c r="CB3" t="s">
        <v>104</v>
      </c>
      <c r="CC3" t="s">
        <v>105</v>
      </c>
      <c r="CD3" t="s">
        <v>104</v>
      </c>
      <c r="CE3" t="s">
        <v>105</v>
      </c>
      <c r="CF3" t="s">
        <v>104</v>
      </c>
      <c r="CG3" t="s">
        <v>105</v>
      </c>
      <c r="CK3" t="s">
        <v>104</v>
      </c>
      <c r="CL3" t="s">
        <v>105</v>
      </c>
      <c r="CM3" t="s">
        <v>105</v>
      </c>
      <c r="CN3" t="s">
        <v>105</v>
      </c>
      <c r="CO3" t="s">
        <v>105</v>
      </c>
      <c r="CP3" t="s">
        <v>105</v>
      </c>
      <c r="CR3" t="s">
        <v>104</v>
      </c>
      <c r="CS3" t="s">
        <v>105</v>
      </c>
      <c r="CT3" t="s">
        <v>105</v>
      </c>
      <c r="CU3" t="s">
        <v>105</v>
      </c>
      <c r="CV3" t="s">
        <v>105</v>
      </c>
      <c r="CW3" t="s">
        <v>105</v>
      </c>
      <c r="DA3" t="s">
        <v>79</v>
      </c>
      <c r="DB3" t="s">
        <v>162</v>
      </c>
      <c r="DC3" t="s">
        <v>163</v>
      </c>
      <c r="DD3" t="s">
        <v>164</v>
      </c>
      <c r="DE3" t="s">
        <v>4</v>
      </c>
      <c r="DJ3" s="4" t="s">
        <v>179</v>
      </c>
      <c r="DK3" s="4" t="s">
        <v>180</v>
      </c>
      <c r="DL3" s="4" t="s">
        <v>164</v>
      </c>
      <c r="DM3" s="4" t="s">
        <v>70</v>
      </c>
      <c r="DN3" s="4" t="s">
        <v>4</v>
      </c>
      <c r="DO3" s="4"/>
      <c r="DP3" s="4" t="s">
        <v>181</v>
      </c>
      <c r="DQ3" s="4"/>
      <c r="DR3" s="4"/>
      <c r="DS3" s="4"/>
      <c r="DT3" s="4" t="s">
        <v>180</v>
      </c>
      <c r="DU3" s="4" t="s">
        <v>186</v>
      </c>
      <c r="DV3" s="4" t="s">
        <v>187</v>
      </c>
      <c r="DW3" s="4" t="s">
        <v>188</v>
      </c>
      <c r="DZ3" t="s">
        <v>99</v>
      </c>
      <c r="EA3" t="s">
        <v>155</v>
      </c>
      <c r="EB3" t="s">
        <v>155</v>
      </c>
      <c r="EC3" t="s">
        <v>155</v>
      </c>
      <c r="ED3" t="s">
        <v>155</v>
      </c>
      <c r="EE3" t="s">
        <v>155</v>
      </c>
    </row>
    <row r="4" ht="27.6" spans="7:135">
      <c r="G4" s="8"/>
      <c r="H4" s="8" t="s">
        <v>194</v>
      </c>
      <c r="I4" s="5" t="s">
        <v>69</v>
      </c>
      <c r="J4" s="5" t="s">
        <v>20</v>
      </c>
      <c r="K4" s="5" t="s">
        <v>42</v>
      </c>
      <c r="L4" s="5" t="s">
        <v>70</v>
      </c>
      <c r="M4" s="5" t="s">
        <v>43</v>
      </c>
      <c r="N4" s="5" t="s">
        <v>21</v>
      </c>
      <c r="O4" s="5" t="s">
        <v>14</v>
      </c>
      <c r="P4" s="5" t="s">
        <v>22</v>
      </c>
      <c r="Q4" s="5" t="s">
        <v>7</v>
      </c>
      <c r="R4" s="5" t="s">
        <v>44</v>
      </c>
      <c r="S4" s="8" t="s">
        <v>71</v>
      </c>
      <c r="T4" s="8" t="s">
        <v>184</v>
      </c>
      <c r="W4">
        <v>0.998</v>
      </c>
      <c r="X4">
        <v>1.05610519119166</v>
      </c>
      <c r="Y4">
        <v>0.998</v>
      </c>
      <c r="Z4">
        <v>1.0711503946843</v>
      </c>
      <c r="AA4">
        <v>0.998</v>
      </c>
      <c r="AB4">
        <v>1.06155821962788</v>
      </c>
      <c r="AC4">
        <v>0.998</v>
      </c>
      <c r="AD4">
        <v>1.0648486752165</v>
      </c>
      <c r="AE4">
        <v>0.998</v>
      </c>
      <c r="AF4">
        <v>1.04793174203721</v>
      </c>
      <c r="AJ4">
        <v>5</v>
      </c>
      <c r="AK4">
        <v>0.43996683</v>
      </c>
      <c r="AL4">
        <v>0.69123031</v>
      </c>
      <c r="AM4">
        <v>0.44217208</v>
      </c>
      <c r="AN4">
        <v>0.6968152</v>
      </c>
      <c r="AO4">
        <v>0.44644413</v>
      </c>
      <c r="AP4">
        <v>0.70482501</v>
      </c>
      <c r="AQ4">
        <v>0.4191827</v>
      </c>
      <c r="AR4">
        <v>0.68708812</v>
      </c>
      <c r="AS4">
        <v>0.46384324</v>
      </c>
      <c r="AT4">
        <v>0.71826871</v>
      </c>
      <c r="AW4" t="s">
        <v>43</v>
      </c>
      <c r="AX4" t="s">
        <v>80</v>
      </c>
      <c r="AY4" t="s">
        <v>81</v>
      </c>
      <c r="AZ4" t="s">
        <v>82</v>
      </c>
      <c r="BA4" t="s">
        <v>83</v>
      </c>
      <c r="BB4" t="s">
        <v>84</v>
      </c>
      <c r="BC4" t="s">
        <v>85</v>
      </c>
      <c r="BD4" t="s">
        <v>86</v>
      </c>
      <c r="BE4" t="s">
        <v>87</v>
      </c>
      <c r="BF4" t="s">
        <v>88</v>
      </c>
      <c r="BG4" t="s">
        <v>89</v>
      </c>
      <c r="BH4" t="s">
        <v>80</v>
      </c>
      <c r="BI4" t="s">
        <v>81</v>
      </c>
      <c r="BJ4" t="s">
        <v>82</v>
      </c>
      <c r="BK4" t="s">
        <v>90</v>
      </c>
      <c r="BN4">
        <v>0.03</v>
      </c>
      <c r="BO4">
        <v>0</v>
      </c>
      <c r="BP4">
        <v>0.03</v>
      </c>
      <c r="BQ4">
        <v>0</v>
      </c>
      <c r="BR4">
        <v>0.03</v>
      </c>
      <c r="BS4">
        <v>0</v>
      </c>
      <c r="BT4">
        <v>0.03</v>
      </c>
      <c r="BU4">
        <v>0</v>
      </c>
      <c r="BV4">
        <v>0.03</v>
      </c>
      <c r="BW4">
        <v>0</v>
      </c>
      <c r="BX4">
        <v>0.03</v>
      </c>
      <c r="BY4">
        <v>0</v>
      </c>
      <c r="BZ4">
        <v>0.03</v>
      </c>
      <c r="CA4">
        <v>0</v>
      </c>
      <c r="CB4">
        <v>0.03</v>
      </c>
      <c r="CC4">
        <v>0</v>
      </c>
      <c r="CD4">
        <v>0.03</v>
      </c>
      <c r="CE4">
        <v>0</v>
      </c>
      <c r="CF4">
        <v>0.03</v>
      </c>
      <c r="CG4">
        <v>0</v>
      </c>
      <c r="CK4">
        <v>0.03</v>
      </c>
      <c r="CL4">
        <v>0</v>
      </c>
      <c r="CM4">
        <v>0</v>
      </c>
      <c r="CN4">
        <v>0</v>
      </c>
      <c r="CO4">
        <v>0</v>
      </c>
      <c r="CP4">
        <v>0</v>
      </c>
      <c r="CR4">
        <v>0.03</v>
      </c>
      <c r="CS4">
        <v>0</v>
      </c>
      <c r="CT4">
        <v>0</v>
      </c>
      <c r="CU4">
        <v>0</v>
      </c>
      <c r="CV4">
        <v>0</v>
      </c>
      <c r="CW4">
        <v>0</v>
      </c>
      <c r="CZ4">
        <v>1</v>
      </c>
      <c r="DA4">
        <v>-2882.15086</v>
      </c>
      <c r="DB4">
        <v>1754.697998</v>
      </c>
      <c r="DC4">
        <v>-621.573347</v>
      </c>
      <c r="DD4">
        <v>-2853.758005</v>
      </c>
      <c r="DE4">
        <f>DA4-DB4-DC4-DD4</f>
        <v>-1161.517506</v>
      </c>
      <c r="DF4">
        <f>(DE4-DE4)/DE4*100</f>
        <v>0</v>
      </c>
      <c r="DJ4">
        <v>1</v>
      </c>
      <c r="DK4">
        <v>-2886.097359</v>
      </c>
      <c r="DL4">
        <v>-2853.758005</v>
      </c>
      <c r="DM4">
        <v>-11.809739</v>
      </c>
      <c r="DN4">
        <f>DK4-DL4-DM4</f>
        <v>-20.5296149999997</v>
      </c>
      <c r="DO4">
        <v>1</v>
      </c>
      <c r="DP4">
        <f>DN4/DO4</f>
        <v>-20.5296149999997</v>
      </c>
      <c r="DS4">
        <v>1</v>
      </c>
      <c r="DT4">
        <v>-20.5296149999997</v>
      </c>
      <c r="DU4">
        <v>-579.928984</v>
      </c>
      <c r="DV4">
        <v>-1295.605234</v>
      </c>
      <c r="DW4">
        <v>-1330.787199</v>
      </c>
      <c r="DZ4">
        <v>0</v>
      </c>
      <c r="EA4">
        <v>4.30011681</v>
      </c>
      <c r="EB4">
        <v>4.50084327</v>
      </c>
      <c r="EC4">
        <v>5.24073746</v>
      </c>
      <c r="ED4">
        <v>4.31866816</v>
      </c>
      <c r="EE4">
        <v>5.08601066</v>
      </c>
    </row>
    <row r="5" spans="7:135">
      <c r="G5" s="5"/>
      <c r="H5" s="5">
        <v>1</v>
      </c>
      <c r="I5" s="5">
        <v>32.688136</v>
      </c>
      <c r="J5" s="5">
        <v>1056</v>
      </c>
      <c r="K5" s="5">
        <v>2030</v>
      </c>
      <c r="L5" s="5">
        <v>10</v>
      </c>
      <c r="M5" s="5">
        <v>10</v>
      </c>
      <c r="N5" s="5">
        <v>569</v>
      </c>
      <c r="O5" s="5">
        <v>60</v>
      </c>
      <c r="P5" s="5">
        <v>20</v>
      </c>
      <c r="Q5" s="5">
        <v>2</v>
      </c>
      <c r="R5" s="5">
        <v>25950.9</v>
      </c>
      <c r="S5">
        <v>1.22818681519957</v>
      </c>
      <c r="T5">
        <v>0.00365557645363905</v>
      </c>
      <c r="W5">
        <v>1.497</v>
      </c>
      <c r="X5">
        <v>1.06528482419108</v>
      </c>
      <c r="Y5">
        <v>1.497</v>
      </c>
      <c r="Z5">
        <v>1.07464360193336</v>
      </c>
      <c r="AA5">
        <v>1.497</v>
      </c>
      <c r="AB5">
        <v>1.06658831844258</v>
      </c>
      <c r="AC5">
        <v>1.497</v>
      </c>
      <c r="AD5">
        <v>1.07700980191278</v>
      </c>
      <c r="AE5">
        <v>1.497</v>
      </c>
      <c r="AF5">
        <v>1.06641729969765</v>
      </c>
      <c r="AJ5">
        <v>10</v>
      </c>
      <c r="AK5">
        <v>0.51541087</v>
      </c>
      <c r="AL5">
        <v>0.81078349</v>
      </c>
      <c r="AM5">
        <v>0.46815153</v>
      </c>
      <c r="AN5">
        <v>0.7768928</v>
      </c>
      <c r="AO5">
        <v>0.52785368</v>
      </c>
      <c r="AP5">
        <v>0.82570635</v>
      </c>
      <c r="AQ5">
        <v>0.48441848</v>
      </c>
      <c r="AR5">
        <v>0.77836526</v>
      </c>
      <c r="AS5">
        <v>0.49739223</v>
      </c>
      <c r="AT5">
        <v>0.81996923</v>
      </c>
      <c r="AW5">
        <v>1</v>
      </c>
      <c r="AX5">
        <v>0.01109</v>
      </c>
      <c r="AY5">
        <f>AX5/6*10000</f>
        <v>18.4833333333333</v>
      </c>
      <c r="AZ5">
        <v>0.9969</v>
      </c>
      <c r="BA5">
        <v>10</v>
      </c>
      <c r="BB5" s="5">
        <v>32.688136</v>
      </c>
      <c r="BC5" s="5">
        <f>BB5^3*10^-30</f>
        <v>3.49277386366662e-26</v>
      </c>
      <c r="BD5" s="5">
        <f>BA5/BC5</f>
        <v>2.86305394804526e+26</v>
      </c>
      <c r="BE5" s="9">
        <v>2.567e-38</v>
      </c>
      <c r="BF5" s="5">
        <f>1.3806E-23*298</f>
        <v>4.114188e-21</v>
      </c>
      <c r="BG5" s="10">
        <f>BD5*BE5*AY5/BF5*0.00000000000001</f>
        <v>0.000330180607872768</v>
      </c>
      <c r="BH5">
        <v>0.01332</v>
      </c>
      <c r="BI5">
        <f>BH5/6*10000</f>
        <v>22.2</v>
      </c>
      <c r="BJ5">
        <v>0.9965</v>
      </c>
      <c r="BK5">
        <f>AY5/(AY5+BI5)</f>
        <v>0.454321999180664</v>
      </c>
      <c r="BL5" s="5" t="s">
        <v>135</v>
      </c>
      <c r="BN5">
        <v>0.09</v>
      </c>
      <c r="BO5">
        <v>0</v>
      </c>
      <c r="BP5">
        <v>0.09</v>
      </c>
      <c r="BQ5">
        <v>0</v>
      </c>
      <c r="BR5">
        <v>0.09</v>
      </c>
      <c r="BS5">
        <v>0</v>
      </c>
      <c r="BT5">
        <v>0.09</v>
      </c>
      <c r="BU5">
        <v>0</v>
      </c>
      <c r="BV5">
        <v>0.09</v>
      </c>
      <c r="BW5">
        <v>0</v>
      </c>
      <c r="BX5">
        <v>0.09</v>
      </c>
      <c r="BY5">
        <v>0</v>
      </c>
      <c r="BZ5">
        <v>0.09</v>
      </c>
      <c r="CA5">
        <v>0</v>
      </c>
      <c r="CB5">
        <v>0.09</v>
      </c>
      <c r="CC5">
        <v>0</v>
      </c>
      <c r="CD5">
        <v>0.09</v>
      </c>
      <c r="CE5">
        <v>0</v>
      </c>
      <c r="CF5">
        <v>0.09</v>
      </c>
      <c r="CG5">
        <v>0</v>
      </c>
      <c r="CK5">
        <v>0.09</v>
      </c>
      <c r="CL5">
        <v>0</v>
      </c>
      <c r="CM5">
        <v>0</v>
      </c>
      <c r="CN5">
        <v>0</v>
      </c>
      <c r="CO5">
        <v>0</v>
      </c>
      <c r="CP5">
        <v>0</v>
      </c>
      <c r="CR5">
        <v>0.09</v>
      </c>
      <c r="CS5">
        <v>0</v>
      </c>
      <c r="CT5">
        <v>0</v>
      </c>
      <c r="CU5">
        <v>0</v>
      </c>
      <c r="CV5">
        <v>0</v>
      </c>
      <c r="CW5">
        <v>0</v>
      </c>
      <c r="CZ5">
        <v>2</v>
      </c>
      <c r="DA5">
        <v>-6317.813842</v>
      </c>
      <c r="DB5">
        <v>1650.744658</v>
      </c>
      <c r="DC5">
        <v>-527.032895</v>
      </c>
      <c r="DD5">
        <v>-5723.112779</v>
      </c>
      <c r="DE5">
        <f t="shared" ref="DE5:DE8" si="0">DA5-DB5-DC5-DD5</f>
        <v>-1718.412826</v>
      </c>
      <c r="DF5">
        <f>(DE5-DE4)/DE5*100</f>
        <v>32.4075397700738</v>
      </c>
      <c r="DJ5">
        <v>2</v>
      </c>
      <c r="DK5">
        <v>-5735.139748</v>
      </c>
      <c r="DL5">
        <v>-5723.112779</v>
      </c>
      <c r="DM5">
        <v>40.785971</v>
      </c>
      <c r="DN5">
        <f t="shared" ref="DN5:DN8" si="1">DK5-DL5-DM5</f>
        <v>-52.8129399999996</v>
      </c>
      <c r="DO5">
        <v>2</v>
      </c>
      <c r="DP5">
        <f t="shared" ref="DP5:DP8" si="2">DN5/DO5</f>
        <v>-26.4064699999998</v>
      </c>
      <c r="DS5">
        <v>2</v>
      </c>
      <c r="DT5">
        <v>-52.8129399999996</v>
      </c>
      <c r="DU5">
        <v>-763.616857</v>
      </c>
      <c r="DV5">
        <v>-1169.541134</v>
      </c>
      <c r="DW5">
        <v>-1134.55434</v>
      </c>
      <c r="DZ5">
        <v>5</v>
      </c>
      <c r="EA5">
        <v>4.18679533</v>
      </c>
      <c r="EB5">
        <v>4.39948894</v>
      </c>
      <c r="EC5">
        <v>5.1398177</v>
      </c>
      <c r="ED5">
        <v>4.22170461</v>
      </c>
      <c r="EE5">
        <v>5.01037003</v>
      </c>
    </row>
    <row r="6" spans="7:135">
      <c r="G6" s="5"/>
      <c r="H6" s="5">
        <v>2</v>
      </c>
      <c r="I6" s="5">
        <v>32.971783</v>
      </c>
      <c r="J6" s="5">
        <v>1092</v>
      </c>
      <c r="K6" s="5">
        <v>2050</v>
      </c>
      <c r="L6" s="5">
        <v>10</v>
      </c>
      <c r="M6" s="5">
        <v>10</v>
      </c>
      <c r="N6" s="5">
        <v>593</v>
      </c>
      <c r="O6" s="5">
        <v>60</v>
      </c>
      <c r="P6" s="5">
        <v>20</v>
      </c>
      <c r="Q6" s="5">
        <v>4</v>
      </c>
      <c r="R6" s="5">
        <v>26914.6</v>
      </c>
      <c r="S6">
        <v>1.25115999290162</v>
      </c>
      <c r="T6">
        <v>0.00394192596278113</v>
      </c>
      <c r="W6">
        <v>1.996</v>
      </c>
      <c r="X6">
        <v>1.06228499898954</v>
      </c>
      <c r="Y6">
        <v>1.996</v>
      </c>
      <c r="Z6">
        <v>1.08053334306394</v>
      </c>
      <c r="AA6">
        <v>1.996</v>
      </c>
      <c r="AB6">
        <v>1.08040208887811</v>
      </c>
      <c r="AC6">
        <v>1.996</v>
      </c>
      <c r="AD6">
        <v>1.07774085779862</v>
      </c>
      <c r="AE6">
        <v>1.996</v>
      </c>
      <c r="AF6">
        <v>1.06520220078176</v>
      </c>
      <c r="AJ6">
        <v>15</v>
      </c>
      <c r="AK6">
        <v>0.59154637</v>
      </c>
      <c r="AL6">
        <v>0.93365954</v>
      </c>
      <c r="AM6">
        <v>0.54019374</v>
      </c>
      <c r="AN6">
        <v>0.88291276</v>
      </c>
      <c r="AO6">
        <v>0.5901142</v>
      </c>
      <c r="AP6">
        <v>0.91301834</v>
      </c>
      <c r="AQ6">
        <v>0.53706702</v>
      </c>
      <c r="AR6">
        <v>0.88307536</v>
      </c>
      <c r="AS6">
        <v>0.54726476</v>
      </c>
      <c r="AT6">
        <v>0.87320876</v>
      </c>
      <c r="AW6">
        <v>2</v>
      </c>
      <c r="AX6">
        <v>0.002272</v>
      </c>
      <c r="AY6">
        <f t="shared" ref="AY6:AY9" si="3">AX6/6*10000</f>
        <v>3.78666666666667</v>
      </c>
      <c r="AZ6">
        <v>0.9417</v>
      </c>
      <c r="BA6">
        <v>10</v>
      </c>
      <c r="BB6" s="5">
        <v>32.971783</v>
      </c>
      <c r="BC6" s="5">
        <f t="shared" ref="BC6:BC9" si="4">BB6^3*10^-30</f>
        <v>3.58448938622435e-26</v>
      </c>
      <c r="BD6" s="5">
        <f t="shared" ref="BD6:BD9" si="5">BA6/BC6</f>
        <v>2.78979763154866e+26</v>
      </c>
      <c r="BE6" s="9">
        <v>2.567e-38</v>
      </c>
      <c r="BF6" s="5">
        <f t="shared" ref="BF6:BF9" si="6">1.3806E-23*298</f>
        <v>4.114188e-21</v>
      </c>
      <c r="BG6" s="10">
        <f t="shared" ref="BG6:BG9" si="7">BD6*BE6*AY6/BF6*0.00000000000001</f>
        <v>6.59130659636898e-5</v>
      </c>
      <c r="BH6">
        <v>0.007414</v>
      </c>
      <c r="BI6">
        <f t="shared" ref="BI6:BI9" si="8">BH6/6*10000</f>
        <v>12.3566666666667</v>
      </c>
      <c r="BJ6">
        <v>0.9924</v>
      </c>
      <c r="BK6">
        <f t="shared" ref="BK6:BK9" si="9">AY6/(AY6+BI6)</f>
        <v>0.234565352054512</v>
      </c>
      <c r="BL6" s="5"/>
      <c r="BN6">
        <v>0.15</v>
      </c>
      <c r="BO6">
        <v>0</v>
      </c>
      <c r="BP6">
        <v>0.15</v>
      </c>
      <c r="BQ6">
        <v>0</v>
      </c>
      <c r="BR6">
        <v>0.15</v>
      </c>
      <c r="BS6">
        <v>0</v>
      </c>
      <c r="BT6">
        <v>0.15</v>
      </c>
      <c r="BU6">
        <v>0</v>
      </c>
      <c r="BV6">
        <v>0.15</v>
      </c>
      <c r="BW6">
        <v>0</v>
      </c>
      <c r="BX6">
        <v>0.15</v>
      </c>
      <c r="BY6">
        <v>0</v>
      </c>
      <c r="BZ6">
        <v>0.15</v>
      </c>
      <c r="CA6">
        <v>0</v>
      </c>
      <c r="CB6">
        <v>0.15</v>
      </c>
      <c r="CC6">
        <v>0</v>
      </c>
      <c r="CD6">
        <v>0.15</v>
      </c>
      <c r="CE6">
        <v>0</v>
      </c>
      <c r="CF6">
        <v>0.15</v>
      </c>
      <c r="CG6">
        <v>0</v>
      </c>
      <c r="CK6">
        <v>0.15</v>
      </c>
      <c r="CL6">
        <v>0</v>
      </c>
      <c r="CM6">
        <v>0</v>
      </c>
      <c r="CN6">
        <v>0</v>
      </c>
      <c r="CO6">
        <v>0</v>
      </c>
      <c r="CP6">
        <v>0</v>
      </c>
      <c r="CR6">
        <v>0.15</v>
      </c>
      <c r="CS6">
        <v>0</v>
      </c>
      <c r="CT6">
        <v>0</v>
      </c>
      <c r="CU6">
        <v>0</v>
      </c>
      <c r="CV6">
        <v>0</v>
      </c>
      <c r="CW6">
        <v>0</v>
      </c>
      <c r="CZ6">
        <v>3</v>
      </c>
      <c r="DA6">
        <v>-9336.248187</v>
      </c>
      <c r="DB6">
        <v>1642.180269</v>
      </c>
      <c r="DC6">
        <v>-504.416167</v>
      </c>
      <c r="DD6">
        <v>-8629.032282</v>
      </c>
      <c r="DE6">
        <f t="shared" si="0"/>
        <v>-1844.980007</v>
      </c>
      <c r="DF6">
        <f t="shared" ref="DF6:DF8" si="10">(DE6-DE5)/DE6*100</f>
        <v>6.86008414832656</v>
      </c>
      <c r="DJ6">
        <v>3</v>
      </c>
      <c r="DK6">
        <v>-8874.783813</v>
      </c>
      <c r="DL6">
        <v>-8629.032282</v>
      </c>
      <c r="DM6">
        <v>-41.587657</v>
      </c>
      <c r="DN6">
        <f t="shared" si="1"/>
        <v>-204.163874</v>
      </c>
      <c r="DO6">
        <v>3</v>
      </c>
      <c r="DP6">
        <f t="shared" si="2"/>
        <v>-68.0546246666666</v>
      </c>
      <c r="DS6">
        <v>3</v>
      </c>
      <c r="DT6">
        <v>-204.163874</v>
      </c>
      <c r="DU6">
        <v>-504.310272</v>
      </c>
      <c r="DV6">
        <v>-1066.32746</v>
      </c>
      <c r="DW6">
        <v>-78.2638299999999</v>
      </c>
      <c r="DZ6">
        <v>10</v>
      </c>
      <c r="EA6">
        <v>4.17142762</v>
      </c>
      <c r="EB6">
        <v>4.40028706</v>
      </c>
      <c r="EC6">
        <v>5.12621017</v>
      </c>
      <c r="ED6">
        <v>4.23603574</v>
      </c>
      <c r="EE6">
        <v>5.00039131</v>
      </c>
    </row>
    <row r="7" spans="7:135">
      <c r="G7" s="5"/>
      <c r="H7" s="5">
        <v>3</v>
      </c>
      <c r="I7" s="5">
        <v>33.400135</v>
      </c>
      <c r="J7" s="5">
        <v>1128</v>
      </c>
      <c r="K7" s="5">
        <v>2070</v>
      </c>
      <c r="L7" s="5">
        <v>10</v>
      </c>
      <c r="M7" s="5">
        <v>10</v>
      </c>
      <c r="N7" s="5">
        <v>617</v>
      </c>
      <c r="O7" s="5">
        <v>60</v>
      </c>
      <c r="P7" s="5">
        <v>20</v>
      </c>
      <c r="Q7" s="5">
        <v>6</v>
      </c>
      <c r="R7" s="5">
        <v>27878.2</v>
      </c>
      <c r="S7">
        <v>1.25508188437959</v>
      </c>
      <c r="T7">
        <v>0.00409008170554644</v>
      </c>
      <c r="W7">
        <v>2.495</v>
      </c>
      <c r="X7">
        <v>1.06757563514098</v>
      </c>
      <c r="Y7">
        <v>2.495</v>
      </c>
      <c r="Z7">
        <v>1.07033151022794</v>
      </c>
      <c r="AA7">
        <v>2.495</v>
      </c>
      <c r="AB7">
        <v>1.0867110496877</v>
      </c>
      <c r="AC7">
        <v>2.495</v>
      </c>
      <c r="AD7">
        <v>1.08672478221197</v>
      </c>
      <c r="AE7">
        <v>2.495</v>
      </c>
      <c r="AF7">
        <v>1.0660507625135</v>
      </c>
      <c r="AJ7">
        <v>20</v>
      </c>
      <c r="AK7">
        <v>0.63835767</v>
      </c>
      <c r="AL7">
        <v>1.00908028</v>
      </c>
      <c r="AM7">
        <v>0.59811985</v>
      </c>
      <c r="AN7">
        <v>0.94409517</v>
      </c>
      <c r="AO7">
        <v>0.64135777</v>
      </c>
      <c r="AP7">
        <v>0.99302714</v>
      </c>
      <c r="AQ7">
        <v>0.56603028</v>
      </c>
      <c r="AR7">
        <v>0.9417863</v>
      </c>
      <c r="AS7">
        <v>0.60128494</v>
      </c>
      <c r="AT7">
        <v>0.94253848</v>
      </c>
      <c r="AW7">
        <v>3</v>
      </c>
      <c r="AX7">
        <v>0.01036</v>
      </c>
      <c r="AY7">
        <f t="shared" si="3"/>
        <v>17.2666666666667</v>
      </c>
      <c r="AZ7">
        <v>0.9981</v>
      </c>
      <c r="BA7">
        <v>10</v>
      </c>
      <c r="BB7" s="5">
        <v>33.400135</v>
      </c>
      <c r="BC7" s="5">
        <f t="shared" si="4"/>
        <v>3.72601558036261e-26</v>
      </c>
      <c r="BD7" s="5">
        <f t="shared" si="5"/>
        <v>2.6838320410423e+26</v>
      </c>
      <c r="BE7" s="9">
        <v>2.567e-38</v>
      </c>
      <c r="BF7" s="5">
        <f t="shared" si="6"/>
        <v>4.114188e-21</v>
      </c>
      <c r="BG7" s="10">
        <f t="shared" si="7"/>
        <v>0.000289138267216292</v>
      </c>
      <c r="BH7">
        <v>0.01511</v>
      </c>
      <c r="BI7">
        <f t="shared" si="8"/>
        <v>25.1833333333333</v>
      </c>
      <c r="BJ7">
        <v>0.987</v>
      </c>
      <c r="BK7">
        <f t="shared" si="9"/>
        <v>0.406753042795446</v>
      </c>
      <c r="BL7" s="5"/>
      <c r="BN7">
        <v>0.21</v>
      </c>
      <c r="BO7">
        <v>0</v>
      </c>
      <c r="BP7">
        <v>0.21</v>
      </c>
      <c r="BQ7">
        <v>0</v>
      </c>
      <c r="BR7">
        <v>0.21</v>
      </c>
      <c r="BS7">
        <v>0</v>
      </c>
      <c r="BT7">
        <v>0.21</v>
      </c>
      <c r="BU7">
        <v>0</v>
      </c>
      <c r="BV7">
        <v>0.21</v>
      </c>
      <c r="BW7">
        <v>0</v>
      </c>
      <c r="BX7">
        <v>0.21</v>
      </c>
      <c r="BY7">
        <v>0</v>
      </c>
      <c r="BZ7">
        <v>0.21</v>
      </c>
      <c r="CA7">
        <v>0</v>
      </c>
      <c r="CB7">
        <v>0.21</v>
      </c>
      <c r="CC7">
        <v>0</v>
      </c>
      <c r="CD7">
        <v>0.21</v>
      </c>
      <c r="CE7">
        <v>0</v>
      </c>
      <c r="CF7">
        <v>0.21</v>
      </c>
      <c r="CG7">
        <v>0</v>
      </c>
      <c r="CK7">
        <v>0.21</v>
      </c>
      <c r="CL7">
        <v>0</v>
      </c>
      <c r="CM7">
        <v>0</v>
      </c>
      <c r="CN7">
        <v>0</v>
      </c>
      <c r="CO7">
        <v>0</v>
      </c>
      <c r="CP7">
        <v>0</v>
      </c>
      <c r="CR7">
        <v>0.21</v>
      </c>
      <c r="CS7">
        <v>0</v>
      </c>
      <c r="CT7">
        <v>0</v>
      </c>
      <c r="CU7">
        <v>0</v>
      </c>
      <c r="CV7">
        <v>0</v>
      </c>
      <c r="CW7">
        <v>0</v>
      </c>
      <c r="CZ7">
        <v>4</v>
      </c>
      <c r="DA7">
        <v>-12369.880019</v>
      </c>
      <c r="DB7">
        <v>1899.393834</v>
      </c>
      <c r="DC7">
        <v>-429.379723</v>
      </c>
      <c r="DD7">
        <v>-11508.794281</v>
      </c>
      <c r="DE7">
        <f t="shared" si="0"/>
        <v>-2331.099849</v>
      </c>
      <c r="DF7">
        <f t="shared" si="10"/>
        <v>20.8536688039569</v>
      </c>
      <c r="DJ7">
        <v>4</v>
      </c>
      <c r="DK7">
        <v>-11707.917594</v>
      </c>
      <c r="DL7">
        <v>-11508.794281</v>
      </c>
      <c r="DM7">
        <v>-112.000449</v>
      </c>
      <c r="DN7">
        <f t="shared" si="1"/>
        <v>-87.122864</v>
      </c>
      <c r="DO7">
        <v>4</v>
      </c>
      <c r="DP7">
        <f t="shared" si="2"/>
        <v>-21.780716</v>
      </c>
      <c r="DS7">
        <v>4</v>
      </c>
      <c r="DT7">
        <v>-87.122864</v>
      </c>
      <c r="DU7">
        <v>-814.15301</v>
      </c>
      <c r="DV7">
        <v>-803.418652</v>
      </c>
      <c r="DW7">
        <v>-248.046360999999</v>
      </c>
      <c r="DZ7">
        <v>15</v>
      </c>
      <c r="EA7">
        <v>4.17381004</v>
      </c>
      <c r="EB7">
        <v>4.38362493</v>
      </c>
      <c r="EC7">
        <v>5.11455781</v>
      </c>
      <c r="ED7">
        <v>4.22527059</v>
      </c>
      <c r="EE7">
        <v>4.97300325</v>
      </c>
    </row>
    <row r="8" spans="7:135">
      <c r="G8" s="5"/>
      <c r="H8" s="5">
        <v>4</v>
      </c>
      <c r="I8" s="5">
        <v>33.554578</v>
      </c>
      <c r="J8" s="5">
        <v>1164</v>
      </c>
      <c r="K8" s="5">
        <v>2090</v>
      </c>
      <c r="L8" s="5">
        <v>10</v>
      </c>
      <c r="M8" s="5">
        <v>10</v>
      </c>
      <c r="N8" s="5">
        <v>641</v>
      </c>
      <c r="O8" s="5">
        <v>60</v>
      </c>
      <c r="P8" s="5">
        <v>20</v>
      </c>
      <c r="Q8" s="5">
        <v>8</v>
      </c>
      <c r="R8" s="5">
        <v>28841.8</v>
      </c>
      <c r="S8">
        <v>1.2711940187539</v>
      </c>
      <c r="T8">
        <v>0.00446116470434411</v>
      </c>
      <c r="W8">
        <v>2.994</v>
      </c>
      <c r="X8">
        <v>1.06767578916623</v>
      </c>
      <c r="Y8">
        <v>2.994</v>
      </c>
      <c r="Z8">
        <v>1.08222840154096</v>
      </c>
      <c r="AA8">
        <v>2.994</v>
      </c>
      <c r="AB8">
        <v>1.08430009924546</v>
      </c>
      <c r="AC8">
        <v>2.994</v>
      </c>
      <c r="AD8">
        <v>1.07463525735448</v>
      </c>
      <c r="AE8">
        <v>2.994</v>
      </c>
      <c r="AF8">
        <v>1.0654680953766</v>
      </c>
      <c r="AJ8">
        <v>25</v>
      </c>
      <c r="AK8">
        <v>0.6826555</v>
      </c>
      <c r="AL8">
        <v>1.0644859</v>
      </c>
      <c r="AM8">
        <v>0.64046516</v>
      </c>
      <c r="AN8">
        <v>1.02936311</v>
      </c>
      <c r="AO8">
        <v>0.67335662</v>
      </c>
      <c r="AP8">
        <v>1.05893062</v>
      </c>
      <c r="AQ8">
        <v>0.63873566</v>
      </c>
      <c r="AR8">
        <v>1.04742831</v>
      </c>
      <c r="AS8">
        <v>0.66279571</v>
      </c>
      <c r="AT8">
        <v>1.01402969</v>
      </c>
      <c r="AW8">
        <v>4</v>
      </c>
      <c r="AX8">
        <v>0.006074</v>
      </c>
      <c r="AY8">
        <f t="shared" si="3"/>
        <v>10.1233333333333</v>
      </c>
      <c r="AZ8">
        <v>0.9903</v>
      </c>
      <c r="BA8">
        <v>10</v>
      </c>
      <c r="BB8" s="5">
        <v>33.554578</v>
      </c>
      <c r="BC8" s="5">
        <f t="shared" si="4"/>
        <v>3.77794250092621e-26</v>
      </c>
      <c r="BD8" s="5">
        <f t="shared" si="5"/>
        <v>2.64694340836272e+26</v>
      </c>
      <c r="BE8" s="9">
        <v>2.567e-38</v>
      </c>
      <c r="BF8" s="5">
        <f t="shared" si="6"/>
        <v>4.114188e-21</v>
      </c>
      <c r="BG8" s="10">
        <f t="shared" si="7"/>
        <v>0.000167189858005064</v>
      </c>
      <c r="BH8">
        <v>0.007785</v>
      </c>
      <c r="BI8">
        <f t="shared" si="8"/>
        <v>12.975</v>
      </c>
      <c r="BJ8">
        <v>0.9918</v>
      </c>
      <c r="BK8">
        <f t="shared" si="9"/>
        <v>0.43827115953532</v>
      </c>
      <c r="BL8" s="5"/>
      <c r="BN8">
        <v>0.27</v>
      </c>
      <c r="BO8">
        <v>0</v>
      </c>
      <c r="BP8">
        <v>0.27</v>
      </c>
      <c r="BQ8">
        <v>0</v>
      </c>
      <c r="BR8">
        <v>0.27</v>
      </c>
      <c r="BS8">
        <v>0</v>
      </c>
      <c r="BT8">
        <v>0.27</v>
      </c>
      <c r="BU8">
        <v>0</v>
      </c>
      <c r="BV8">
        <v>0.27</v>
      </c>
      <c r="BW8">
        <v>0</v>
      </c>
      <c r="BX8">
        <v>0.27</v>
      </c>
      <c r="BY8">
        <v>0</v>
      </c>
      <c r="BZ8">
        <v>0.27</v>
      </c>
      <c r="CA8">
        <v>0</v>
      </c>
      <c r="CB8">
        <v>0.27</v>
      </c>
      <c r="CC8">
        <v>0</v>
      </c>
      <c r="CD8">
        <v>0.27</v>
      </c>
      <c r="CE8">
        <v>0</v>
      </c>
      <c r="CF8">
        <v>0.27</v>
      </c>
      <c r="CG8">
        <v>0</v>
      </c>
      <c r="CK8">
        <v>0.27</v>
      </c>
      <c r="CL8">
        <v>0</v>
      </c>
      <c r="CM8">
        <v>0</v>
      </c>
      <c r="CN8">
        <v>0</v>
      </c>
      <c r="CO8">
        <v>0</v>
      </c>
      <c r="CP8">
        <v>0</v>
      </c>
      <c r="CR8">
        <v>0.27</v>
      </c>
      <c r="CS8">
        <v>0</v>
      </c>
      <c r="CT8">
        <v>0</v>
      </c>
      <c r="CU8">
        <v>0</v>
      </c>
      <c r="CV8">
        <v>0</v>
      </c>
      <c r="CW8">
        <v>0</v>
      </c>
      <c r="CZ8">
        <v>5</v>
      </c>
      <c r="DA8">
        <v>-15306.920419</v>
      </c>
      <c r="DB8">
        <v>2019.848331</v>
      </c>
      <c r="DC8">
        <v>-455.058389</v>
      </c>
      <c r="DD8">
        <v>-14267.996176</v>
      </c>
      <c r="DE8">
        <f t="shared" si="0"/>
        <v>-2603.714185</v>
      </c>
      <c r="DF8">
        <f t="shared" si="10"/>
        <v>10.4702097323327</v>
      </c>
      <c r="DJ8">
        <v>5</v>
      </c>
      <c r="DK8">
        <v>-14488.05005</v>
      </c>
      <c r="DL8">
        <v>-14267.996176</v>
      </c>
      <c r="DM8">
        <v>-154.297973</v>
      </c>
      <c r="DN8">
        <f t="shared" si="1"/>
        <v>-65.7559009999993</v>
      </c>
      <c r="DO8">
        <v>5</v>
      </c>
      <c r="DP8">
        <f t="shared" si="2"/>
        <v>-13.1511801999999</v>
      </c>
      <c r="DS8">
        <v>5</v>
      </c>
      <c r="DT8">
        <v>-65.7559009999993</v>
      </c>
      <c r="DU8">
        <v>-742.563759</v>
      </c>
      <c r="DV8">
        <v>-799.109033</v>
      </c>
      <c r="DW8">
        <v>-58.668083999999</v>
      </c>
      <c r="DZ8">
        <v>20</v>
      </c>
      <c r="EA8">
        <v>4.1405774</v>
      </c>
      <c r="EB8">
        <v>4.3661196</v>
      </c>
      <c r="EC8">
        <v>5.11139186</v>
      </c>
      <c r="ED8">
        <v>4.24456066</v>
      </c>
      <c r="EE8">
        <v>4.98245174</v>
      </c>
    </row>
    <row r="9" spans="7:135">
      <c r="G9" s="5"/>
      <c r="H9" s="5">
        <v>5</v>
      </c>
      <c r="I9" s="5">
        <v>34.298762</v>
      </c>
      <c r="J9" s="5">
        <v>1200</v>
      </c>
      <c r="K9" s="5">
        <v>2110</v>
      </c>
      <c r="L9" s="5">
        <v>10</v>
      </c>
      <c r="M9" s="5">
        <v>10</v>
      </c>
      <c r="N9" s="5">
        <v>665</v>
      </c>
      <c r="O9" s="5">
        <v>60</v>
      </c>
      <c r="P9" s="5">
        <v>20</v>
      </c>
      <c r="Q9" s="5">
        <v>10</v>
      </c>
      <c r="R9" s="5">
        <v>29805.4</v>
      </c>
      <c r="S9">
        <v>1.22504460684337</v>
      </c>
      <c r="T9">
        <v>0.003799448556239</v>
      </c>
      <c r="W9">
        <v>3.493</v>
      </c>
      <c r="X9">
        <v>1.06538891361532</v>
      </c>
      <c r="Y9">
        <v>3.493</v>
      </c>
      <c r="Z9">
        <v>1.08327672405599</v>
      </c>
      <c r="AA9">
        <v>3.493</v>
      </c>
      <c r="AB9">
        <v>1.08271375521119</v>
      </c>
      <c r="AC9">
        <v>3.493</v>
      </c>
      <c r="AD9">
        <v>1.09085766332512</v>
      </c>
      <c r="AE9">
        <v>3.493</v>
      </c>
      <c r="AF9">
        <v>1.0710534070733</v>
      </c>
      <c r="AJ9">
        <v>30</v>
      </c>
      <c r="AK9">
        <v>0.71612745</v>
      </c>
      <c r="AL9">
        <v>1.11599918</v>
      </c>
      <c r="AM9">
        <v>0.69616414</v>
      </c>
      <c r="AN9">
        <v>1.06941331</v>
      </c>
      <c r="AO9">
        <v>0.73895688</v>
      </c>
      <c r="AP9">
        <v>1.11869676</v>
      </c>
      <c r="AQ9">
        <v>0.69582888</v>
      </c>
      <c r="AR9">
        <v>1.11153091</v>
      </c>
      <c r="AS9">
        <v>0.70616048</v>
      </c>
      <c r="AT9">
        <v>1.07157553</v>
      </c>
      <c r="AW9">
        <v>5</v>
      </c>
      <c r="AX9">
        <v>0.008785</v>
      </c>
      <c r="AY9">
        <f t="shared" si="3"/>
        <v>14.6416666666667</v>
      </c>
      <c r="AZ9">
        <v>0.9755</v>
      </c>
      <c r="BA9">
        <v>10</v>
      </c>
      <c r="BB9" s="5">
        <v>34.298762</v>
      </c>
      <c r="BC9" s="5">
        <f t="shared" si="4"/>
        <v>4.03492376738472e-26</v>
      </c>
      <c r="BD9" s="5">
        <f t="shared" si="5"/>
        <v>2.47836156926494e+26</v>
      </c>
      <c r="BE9" s="9">
        <v>2.567e-38</v>
      </c>
      <c r="BF9" s="5">
        <f t="shared" si="6"/>
        <v>4.114188e-21</v>
      </c>
      <c r="BG9" s="10">
        <f t="shared" si="7"/>
        <v>0.0002264106841692</v>
      </c>
      <c r="BH9">
        <v>0.01049</v>
      </c>
      <c r="BI9">
        <f t="shared" si="8"/>
        <v>17.4833333333333</v>
      </c>
      <c r="BJ9">
        <v>0.9902</v>
      </c>
      <c r="BK9">
        <f t="shared" si="9"/>
        <v>0.455771725032425</v>
      </c>
      <c r="BL9" s="5"/>
      <c r="BN9">
        <v>0.33</v>
      </c>
      <c r="BO9">
        <v>0</v>
      </c>
      <c r="BP9">
        <v>0.33</v>
      </c>
      <c r="BQ9">
        <v>0</v>
      </c>
      <c r="BR9">
        <v>0.33</v>
      </c>
      <c r="BS9">
        <v>0</v>
      </c>
      <c r="BT9">
        <v>0.33</v>
      </c>
      <c r="BU9">
        <v>0</v>
      </c>
      <c r="BV9">
        <v>0.33</v>
      </c>
      <c r="BW9">
        <v>0</v>
      </c>
      <c r="BX9">
        <v>0.33</v>
      </c>
      <c r="BY9">
        <v>0</v>
      </c>
      <c r="BZ9">
        <v>0.33</v>
      </c>
      <c r="CA9">
        <v>0</v>
      </c>
      <c r="CB9">
        <v>0.33</v>
      </c>
      <c r="CC9">
        <v>0</v>
      </c>
      <c r="CD9">
        <v>0.33</v>
      </c>
      <c r="CE9">
        <v>0</v>
      </c>
      <c r="CF9">
        <v>0.33</v>
      </c>
      <c r="CG9">
        <v>0</v>
      </c>
      <c r="CK9">
        <v>0.33</v>
      </c>
      <c r="CL9">
        <v>0</v>
      </c>
      <c r="CM9">
        <v>0</v>
      </c>
      <c r="CN9">
        <v>0</v>
      </c>
      <c r="CO9">
        <v>0</v>
      </c>
      <c r="CP9">
        <v>0</v>
      </c>
      <c r="CR9">
        <v>0.33</v>
      </c>
      <c r="CS9">
        <v>0</v>
      </c>
      <c r="CT9">
        <v>0</v>
      </c>
      <c r="CU9">
        <v>0</v>
      </c>
      <c r="CV9">
        <v>0</v>
      </c>
      <c r="CW9">
        <v>0</v>
      </c>
      <c r="DZ9">
        <v>25</v>
      </c>
      <c r="EA9">
        <v>4.13630306</v>
      </c>
      <c r="EB9">
        <v>4.34559448</v>
      </c>
      <c r="EC9">
        <v>5.09367181</v>
      </c>
      <c r="ED9">
        <v>4.2047576</v>
      </c>
      <c r="EE9">
        <v>4.9878147</v>
      </c>
    </row>
    <row r="10" spans="7:135">
      <c r="W10">
        <v>3.992</v>
      </c>
      <c r="X10">
        <v>1.08242669839426</v>
      </c>
      <c r="Y10">
        <v>3.992</v>
      </c>
      <c r="Z10">
        <v>1.08867159961451</v>
      </c>
      <c r="AA10">
        <v>3.992</v>
      </c>
      <c r="AB10">
        <v>1.09191431916545</v>
      </c>
      <c r="AC10">
        <v>3.992</v>
      </c>
      <c r="AD10">
        <v>1.09381122946715</v>
      </c>
      <c r="AE10">
        <v>3.992</v>
      </c>
      <c r="AF10">
        <v>1.07771148577135</v>
      </c>
      <c r="AJ10">
        <v>35</v>
      </c>
      <c r="AK10">
        <v>0.74610742</v>
      </c>
      <c r="AL10">
        <v>1.16205622</v>
      </c>
      <c r="AM10">
        <v>0.72868341</v>
      </c>
      <c r="AN10">
        <v>1.13426905</v>
      </c>
      <c r="AO10">
        <v>0.78123058</v>
      </c>
      <c r="AP10">
        <v>1.2058464</v>
      </c>
      <c r="AQ10">
        <v>0.72919912</v>
      </c>
      <c r="AR10">
        <v>1.15876533</v>
      </c>
      <c r="AS10">
        <v>0.73194527</v>
      </c>
      <c r="AT10">
        <v>1.10145945</v>
      </c>
      <c r="BB10" s="5"/>
      <c r="BC10" s="5"/>
      <c r="BD10" s="5"/>
      <c r="BE10" s="9"/>
      <c r="BF10" s="5"/>
      <c r="BG10" s="10"/>
      <c r="BL10" s="5"/>
      <c r="BN10">
        <v>0.39</v>
      </c>
      <c r="BO10">
        <v>0</v>
      </c>
      <c r="BP10">
        <v>0.39</v>
      </c>
      <c r="BQ10">
        <v>0</v>
      </c>
      <c r="BR10">
        <v>0.39</v>
      </c>
      <c r="BS10">
        <v>0</v>
      </c>
      <c r="BT10">
        <v>0.39</v>
      </c>
      <c r="BU10">
        <v>0</v>
      </c>
      <c r="BV10">
        <v>0.39</v>
      </c>
      <c r="BW10">
        <v>0</v>
      </c>
      <c r="BX10">
        <v>0.39</v>
      </c>
      <c r="BY10">
        <v>0</v>
      </c>
      <c r="BZ10">
        <v>0.39</v>
      </c>
      <c r="CA10">
        <v>0</v>
      </c>
      <c r="CB10">
        <v>0.39</v>
      </c>
      <c r="CC10">
        <v>0</v>
      </c>
      <c r="CD10">
        <v>0.39</v>
      </c>
      <c r="CE10">
        <v>0</v>
      </c>
      <c r="CF10">
        <v>0.39</v>
      </c>
      <c r="CG10">
        <v>0</v>
      </c>
      <c r="CK10">
        <v>0.39</v>
      </c>
      <c r="CL10">
        <v>0</v>
      </c>
      <c r="CM10">
        <v>0</v>
      </c>
      <c r="CN10">
        <v>0</v>
      </c>
      <c r="CO10">
        <v>0</v>
      </c>
      <c r="CP10">
        <v>0</v>
      </c>
      <c r="CR10">
        <v>0.39</v>
      </c>
      <c r="CS10">
        <v>0</v>
      </c>
      <c r="CT10">
        <v>0</v>
      </c>
      <c r="CU10">
        <v>0</v>
      </c>
      <c r="CV10">
        <v>0</v>
      </c>
      <c r="CW10">
        <v>0</v>
      </c>
      <c r="DZ10">
        <v>30</v>
      </c>
      <c r="EA10">
        <v>4.12792543</v>
      </c>
      <c r="EB10">
        <v>4.34063546</v>
      </c>
      <c r="EC10">
        <v>5.10935638</v>
      </c>
      <c r="ED10">
        <v>4.18360569</v>
      </c>
      <c r="EE10">
        <v>4.98661873</v>
      </c>
    </row>
    <row r="11" spans="7:135">
      <c r="W11">
        <v>4.491</v>
      </c>
      <c r="X11">
        <v>1.0808608723026</v>
      </c>
      <c r="Y11">
        <v>4.491</v>
      </c>
      <c r="Z11">
        <v>1.08808577125358</v>
      </c>
      <c r="AA11">
        <v>4.491</v>
      </c>
      <c r="AB11">
        <v>1.08507719663639</v>
      </c>
      <c r="AC11">
        <v>4.491</v>
      </c>
      <c r="AD11">
        <v>1.09563375611466</v>
      </c>
      <c r="AE11">
        <v>4.491</v>
      </c>
      <c r="AF11">
        <v>1.06891060577483</v>
      </c>
      <c r="AJ11">
        <v>40</v>
      </c>
      <c r="AK11">
        <v>0.76671492</v>
      </c>
      <c r="AL11">
        <v>1.20170781</v>
      </c>
      <c r="AM11">
        <v>0.7625642</v>
      </c>
      <c r="AN11">
        <v>1.17075843</v>
      </c>
      <c r="AO11">
        <v>0.8410447</v>
      </c>
      <c r="AP11">
        <v>1.27048534</v>
      </c>
      <c r="AQ11">
        <v>0.7826791</v>
      </c>
      <c r="AR11">
        <v>1.20940875</v>
      </c>
      <c r="AS11">
        <v>0.77978402</v>
      </c>
      <c r="AT11">
        <v>1.16567973</v>
      </c>
      <c r="BN11">
        <v>0.45</v>
      </c>
      <c r="BO11">
        <v>0</v>
      </c>
      <c r="BP11">
        <v>0.45</v>
      </c>
      <c r="BQ11">
        <v>0</v>
      </c>
      <c r="BR11">
        <v>0.45</v>
      </c>
      <c r="BS11">
        <v>0</v>
      </c>
      <c r="BT11">
        <v>0.45</v>
      </c>
      <c r="BU11">
        <v>0</v>
      </c>
      <c r="BV11">
        <v>0.45</v>
      </c>
      <c r="BW11">
        <v>0</v>
      </c>
      <c r="BX11">
        <v>0.45</v>
      </c>
      <c r="BY11">
        <v>0</v>
      </c>
      <c r="BZ11">
        <v>0.45</v>
      </c>
      <c r="CA11">
        <v>0</v>
      </c>
      <c r="CB11">
        <v>0.45</v>
      </c>
      <c r="CC11">
        <v>0</v>
      </c>
      <c r="CD11">
        <v>0.45</v>
      </c>
      <c r="CE11">
        <v>0</v>
      </c>
      <c r="CF11">
        <v>0.45</v>
      </c>
      <c r="CG11">
        <v>0</v>
      </c>
      <c r="CK11">
        <v>0.45</v>
      </c>
      <c r="CL11">
        <v>0</v>
      </c>
      <c r="CM11">
        <v>0</v>
      </c>
      <c r="CN11">
        <v>0</v>
      </c>
      <c r="CO11">
        <v>0</v>
      </c>
      <c r="CP11">
        <v>0</v>
      </c>
      <c r="CR11">
        <v>0.45</v>
      </c>
      <c r="CS11">
        <v>0</v>
      </c>
      <c r="CT11">
        <v>0</v>
      </c>
      <c r="CU11">
        <v>0</v>
      </c>
      <c r="CV11">
        <v>0</v>
      </c>
      <c r="CW11">
        <v>0</v>
      </c>
      <c r="DZ11">
        <v>35</v>
      </c>
      <c r="EA11">
        <v>4.12822325</v>
      </c>
      <c r="EB11">
        <v>4.34489735</v>
      </c>
      <c r="EC11">
        <v>5.08709158</v>
      </c>
      <c r="ED11">
        <v>4.18842249</v>
      </c>
      <c r="EE11">
        <v>4.97589292</v>
      </c>
    </row>
    <row r="12" spans="7:135">
      <c r="W12">
        <v>4.99</v>
      </c>
      <c r="X12">
        <v>1.09629516796925</v>
      </c>
      <c r="Y12">
        <v>4.99</v>
      </c>
      <c r="Z12">
        <v>1.09067042061544</v>
      </c>
      <c r="AA12">
        <v>4.99</v>
      </c>
      <c r="AB12">
        <v>1.08365473151001</v>
      </c>
      <c r="AC12">
        <v>4.99</v>
      </c>
      <c r="AD12">
        <v>1.1117538803264</v>
      </c>
      <c r="AE12">
        <v>4.99</v>
      </c>
      <c r="AF12">
        <v>1.07046972508953</v>
      </c>
      <c r="AJ12">
        <v>45</v>
      </c>
      <c r="AK12">
        <v>0.79771991</v>
      </c>
      <c r="AL12">
        <v>1.23572065</v>
      </c>
      <c r="AM12">
        <v>0.77016327</v>
      </c>
      <c r="AN12">
        <v>1.21292367</v>
      </c>
      <c r="AO12">
        <v>0.87919538</v>
      </c>
      <c r="AP12">
        <v>1.35526161</v>
      </c>
      <c r="AQ12">
        <v>0.8135373</v>
      </c>
      <c r="AR12">
        <v>1.25941323</v>
      </c>
      <c r="AS12">
        <v>0.83895571</v>
      </c>
      <c r="AT12">
        <v>1.21155253</v>
      </c>
      <c r="BN12">
        <v>0.51</v>
      </c>
      <c r="BO12">
        <v>0</v>
      </c>
      <c r="BP12">
        <v>0.51</v>
      </c>
      <c r="BQ12">
        <v>0</v>
      </c>
      <c r="BR12">
        <v>0.51</v>
      </c>
      <c r="BS12">
        <v>0</v>
      </c>
      <c r="BT12">
        <v>0.51</v>
      </c>
      <c r="BU12">
        <v>0</v>
      </c>
      <c r="BV12">
        <v>0.51</v>
      </c>
      <c r="BW12">
        <v>0</v>
      </c>
      <c r="BX12">
        <v>0.51</v>
      </c>
      <c r="BY12">
        <v>0</v>
      </c>
      <c r="BZ12">
        <v>0.51</v>
      </c>
      <c r="CA12">
        <v>0</v>
      </c>
      <c r="CB12">
        <v>0.51</v>
      </c>
      <c r="CC12">
        <v>0</v>
      </c>
      <c r="CD12">
        <v>0.51</v>
      </c>
      <c r="CE12">
        <v>0</v>
      </c>
      <c r="CF12">
        <v>0.51</v>
      </c>
      <c r="CG12">
        <v>0</v>
      </c>
      <c r="CK12">
        <v>0.51</v>
      </c>
      <c r="CL12">
        <v>0</v>
      </c>
      <c r="CM12">
        <v>0</v>
      </c>
      <c r="CN12">
        <v>0</v>
      </c>
      <c r="CO12">
        <v>0</v>
      </c>
      <c r="CP12">
        <v>0</v>
      </c>
      <c r="CR12">
        <v>0.51</v>
      </c>
      <c r="CS12">
        <v>0</v>
      </c>
      <c r="CT12">
        <v>0</v>
      </c>
      <c r="CU12">
        <v>0</v>
      </c>
      <c r="CV12">
        <v>0</v>
      </c>
      <c r="CW12">
        <v>0</v>
      </c>
      <c r="DJ12" t="s">
        <v>179</v>
      </c>
      <c r="DK12" t="s">
        <v>186</v>
      </c>
      <c r="DL12" t="s">
        <v>139</v>
      </c>
      <c r="DM12" t="s">
        <v>70</v>
      </c>
      <c r="DN12" t="s">
        <v>4</v>
      </c>
      <c r="DP12" t="s">
        <v>181</v>
      </c>
      <c r="DZ12">
        <v>40</v>
      </c>
      <c r="EA12">
        <v>4.1351981</v>
      </c>
      <c r="EB12">
        <v>4.33749482</v>
      </c>
      <c r="EC12">
        <v>5.10973809</v>
      </c>
      <c r="ED12">
        <v>4.20971276</v>
      </c>
      <c r="EE12">
        <v>4.97917595</v>
      </c>
    </row>
    <row r="13" spans="7:135">
      <c r="W13">
        <v>5.489</v>
      </c>
      <c r="X13">
        <v>1.10148636269523</v>
      </c>
      <c r="Y13">
        <v>5.489</v>
      </c>
      <c r="Z13">
        <v>1.0937158217309</v>
      </c>
      <c r="AA13">
        <v>5.489</v>
      </c>
      <c r="AB13">
        <v>1.0882156531572</v>
      </c>
      <c r="AC13">
        <v>5.489</v>
      </c>
      <c r="AD13">
        <v>1.11383598382925</v>
      </c>
      <c r="AE13">
        <v>5.489</v>
      </c>
      <c r="AF13">
        <v>1.07594463043516</v>
      </c>
      <c r="AJ13">
        <v>50</v>
      </c>
      <c r="AK13">
        <v>0.86559226</v>
      </c>
      <c r="AL13">
        <v>1.32901425</v>
      </c>
      <c r="AM13">
        <v>0.78976259</v>
      </c>
      <c r="AN13">
        <v>1.2397253</v>
      </c>
      <c r="AO13">
        <v>0.96328468</v>
      </c>
      <c r="AP13">
        <v>1.43640166</v>
      </c>
      <c r="AQ13">
        <v>0.85533628</v>
      </c>
      <c r="AR13">
        <v>1.33217422</v>
      </c>
      <c r="AS13">
        <v>0.85797273</v>
      </c>
      <c r="AT13">
        <v>1.25890541</v>
      </c>
      <c r="BN13">
        <v>0.57</v>
      </c>
      <c r="BO13">
        <v>0</v>
      </c>
      <c r="BP13">
        <v>0.57</v>
      </c>
      <c r="BQ13">
        <v>0</v>
      </c>
      <c r="BR13">
        <v>0.57</v>
      </c>
      <c r="BS13">
        <v>0</v>
      </c>
      <c r="BT13">
        <v>0.57</v>
      </c>
      <c r="BU13">
        <v>0</v>
      </c>
      <c r="BV13">
        <v>0.57</v>
      </c>
      <c r="BW13">
        <v>0</v>
      </c>
      <c r="BX13">
        <v>0.57</v>
      </c>
      <c r="BY13">
        <v>0</v>
      </c>
      <c r="BZ13">
        <v>0.57</v>
      </c>
      <c r="CA13">
        <v>0</v>
      </c>
      <c r="CB13">
        <v>0.57</v>
      </c>
      <c r="CC13">
        <v>0</v>
      </c>
      <c r="CD13">
        <v>0.57</v>
      </c>
      <c r="CE13">
        <v>0</v>
      </c>
      <c r="CF13">
        <v>0.57</v>
      </c>
      <c r="CG13">
        <v>0</v>
      </c>
      <c r="CK13">
        <v>0.57</v>
      </c>
      <c r="CL13">
        <v>0</v>
      </c>
      <c r="CM13">
        <v>0</v>
      </c>
      <c r="CN13">
        <v>0</v>
      </c>
      <c r="CO13">
        <v>0</v>
      </c>
      <c r="CP13">
        <v>0</v>
      </c>
      <c r="CR13">
        <v>0.57</v>
      </c>
      <c r="CS13">
        <v>0</v>
      </c>
      <c r="CT13">
        <v>0</v>
      </c>
      <c r="CU13">
        <v>0</v>
      </c>
      <c r="CV13">
        <v>0</v>
      </c>
      <c r="CW13">
        <v>0</v>
      </c>
      <c r="DJ13">
        <v>1</v>
      </c>
      <c r="DK13">
        <v>1162.959275</v>
      </c>
      <c r="DL13">
        <v>1754.697998</v>
      </c>
      <c r="DM13">
        <v>-11.809739</v>
      </c>
      <c r="DN13">
        <f t="shared" ref="DN13:DN17" si="11">DK13-DL13-DM13</f>
        <v>-579.928984</v>
      </c>
      <c r="DO13">
        <v>1</v>
      </c>
      <c r="DP13">
        <f>DN13/DO13</f>
        <v>-579.928984</v>
      </c>
      <c r="DZ13">
        <v>45</v>
      </c>
      <c r="EA13">
        <v>4.12116723</v>
      </c>
      <c r="EB13">
        <v>4.35290137</v>
      </c>
      <c r="EC13">
        <v>5.09741853</v>
      </c>
      <c r="ED13">
        <v>4.16889447</v>
      </c>
      <c r="EE13">
        <v>4.97786261</v>
      </c>
    </row>
    <row r="14" spans="7:135">
      <c r="W14">
        <v>5.988</v>
      </c>
      <c r="X14">
        <v>1.0941457355552</v>
      </c>
      <c r="Y14">
        <v>5.988</v>
      </c>
      <c r="Z14">
        <v>1.08736534751382</v>
      </c>
      <c r="AA14">
        <v>5.988</v>
      </c>
      <c r="AB14">
        <v>1.09152291720208</v>
      </c>
      <c r="AC14">
        <v>5.988</v>
      </c>
      <c r="AD14">
        <v>1.11283701233705</v>
      </c>
      <c r="AE14">
        <v>5.988</v>
      </c>
      <c r="AF14">
        <v>1.08255446908511</v>
      </c>
      <c r="AJ14">
        <v>55</v>
      </c>
      <c r="AK14">
        <v>0.90179174</v>
      </c>
      <c r="AL14">
        <v>1.41659461</v>
      </c>
      <c r="AM14">
        <v>0.79376328</v>
      </c>
      <c r="AN14">
        <v>1.28825509</v>
      </c>
      <c r="AO14">
        <v>1.01917861</v>
      </c>
      <c r="AP14">
        <v>1.50627583</v>
      </c>
      <c r="AQ14">
        <v>0.89159354</v>
      </c>
      <c r="AR14">
        <v>1.41252894</v>
      </c>
      <c r="AS14">
        <v>0.87635797</v>
      </c>
      <c r="AT14">
        <v>1.30091971</v>
      </c>
      <c r="BN14">
        <v>0.63</v>
      </c>
      <c r="BO14">
        <v>0</v>
      </c>
      <c r="BP14">
        <v>0.63</v>
      </c>
      <c r="BQ14">
        <v>0</v>
      </c>
      <c r="BR14">
        <v>0.63</v>
      </c>
      <c r="BS14">
        <v>0</v>
      </c>
      <c r="BT14">
        <v>0.63</v>
      </c>
      <c r="BU14">
        <v>0</v>
      </c>
      <c r="BV14">
        <v>0.63</v>
      </c>
      <c r="BW14">
        <v>0</v>
      </c>
      <c r="BX14">
        <v>0.63</v>
      </c>
      <c r="BY14">
        <v>0</v>
      </c>
      <c r="BZ14">
        <v>0.63</v>
      </c>
      <c r="CA14">
        <v>0</v>
      </c>
      <c r="CB14">
        <v>0.63</v>
      </c>
      <c r="CC14">
        <v>0</v>
      </c>
      <c r="CD14">
        <v>0.63</v>
      </c>
      <c r="CE14">
        <v>0</v>
      </c>
      <c r="CF14">
        <v>0.63</v>
      </c>
      <c r="CG14">
        <v>0</v>
      </c>
      <c r="CK14">
        <v>0.63</v>
      </c>
      <c r="CL14">
        <v>0</v>
      </c>
      <c r="CM14">
        <v>0</v>
      </c>
      <c r="CN14">
        <v>0</v>
      </c>
      <c r="CO14">
        <v>0</v>
      </c>
      <c r="CP14">
        <v>0</v>
      </c>
      <c r="CR14">
        <v>0.63</v>
      </c>
      <c r="CS14">
        <v>0</v>
      </c>
      <c r="CT14">
        <v>0</v>
      </c>
      <c r="CU14">
        <v>0</v>
      </c>
      <c r="CV14">
        <v>0</v>
      </c>
      <c r="CW14">
        <v>0</v>
      </c>
      <c r="DJ14">
        <v>2</v>
      </c>
      <c r="DK14">
        <v>927.913772</v>
      </c>
      <c r="DL14">
        <v>1650.744658</v>
      </c>
      <c r="DM14">
        <v>40.785971</v>
      </c>
      <c r="DN14">
        <f t="shared" si="11"/>
        <v>-763.616857</v>
      </c>
      <c r="DO14">
        <v>1</v>
      </c>
      <c r="DP14">
        <f>DN14/DO14</f>
        <v>-763.616857</v>
      </c>
      <c r="DZ14">
        <v>50</v>
      </c>
      <c r="EA14">
        <v>4.11514747</v>
      </c>
      <c r="EB14">
        <v>4.31961272</v>
      </c>
      <c r="EC14">
        <v>5.10376866</v>
      </c>
      <c r="ED14">
        <v>4.16879202</v>
      </c>
      <c r="EE14">
        <v>4.96879651</v>
      </c>
    </row>
    <row r="15" spans="7:135">
      <c r="W15">
        <v>6.487</v>
      </c>
      <c r="X15">
        <v>1.0973073074334</v>
      </c>
      <c r="Y15">
        <v>6.487</v>
      </c>
      <c r="Z15">
        <v>1.10355556714219</v>
      </c>
      <c r="AA15">
        <v>6.487</v>
      </c>
      <c r="AB15">
        <v>1.10083885438818</v>
      </c>
      <c r="AC15">
        <v>6.487</v>
      </c>
      <c r="AD15">
        <v>1.10011080212483</v>
      </c>
      <c r="AE15">
        <v>6.487</v>
      </c>
      <c r="AF15">
        <v>1.09165519717568</v>
      </c>
      <c r="AJ15">
        <v>60</v>
      </c>
      <c r="AK15">
        <v>0.93346507</v>
      </c>
      <c r="AL15">
        <v>1.45231323</v>
      </c>
      <c r="AM15">
        <v>0.80610088</v>
      </c>
      <c r="AN15">
        <v>1.26615755</v>
      </c>
      <c r="AO15">
        <v>1.08300715</v>
      </c>
      <c r="AP15">
        <v>1.58633255</v>
      </c>
      <c r="AQ15">
        <v>0.93000752</v>
      </c>
      <c r="AR15">
        <v>1.46759516</v>
      </c>
      <c r="AS15">
        <v>0.92866917</v>
      </c>
      <c r="AT15">
        <v>1.38665001</v>
      </c>
      <c r="BN15">
        <v>0.69</v>
      </c>
      <c r="BO15">
        <v>0</v>
      </c>
      <c r="BP15">
        <v>0.69</v>
      </c>
      <c r="BQ15">
        <v>0</v>
      </c>
      <c r="BR15">
        <v>0.69</v>
      </c>
      <c r="BS15">
        <v>0</v>
      </c>
      <c r="BT15">
        <v>0.69</v>
      </c>
      <c r="BU15">
        <v>0</v>
      </c>
      <c r="BV15">
        <v>0.69</v>
      </c>
      <c r="BW15">
        <v>0</v>
      </c>
      <c r="BX15">
        <v>0.69</v>
      </c>
      <c r="BY15">
        <v>0</v>
      </c>
      <c r="BZ15">
        <v>0.69</v>
      </c>
      <c r="CA15">
        <v>0</v>
      </c>
      <c r="CB15">
        <v>0.69</v>
      </c>
      <c r="CC15">
        <v>0</v>
      </c>
      <c r="CD15">
        <v>0.69</v>
      </c>
      <c r="CE15">
        <v>0</v>
      </c>
      <c r="CF15">
        <v>0.69</v>
      </c>
      <c r="CG15">
        <v>0</v>
      </c>
      <c r="CK15">
        <v>0.69</v>
      </c>
      <c r="CL15">
        <v>0</v>
      </c>
      <c r="CM15">
        <v>0</v>
      </c>
      <c r="CN15">
        <v>0</v>
      </c>
      <c r="CO15">
        <v>0</v>
      </c>
      <c r="CP15">
        <v>0</v>
      </c>
      <c r="CR15">
        <v>0.69</v>
      </c>
      <c r="CS15">
        <v>0</v>
      </c>
      <c r="CT15">
        <v>0</v>
      </c>
      <c r="CU15">
        <v>0</v>
      </c>
      <c r="CV15">
        <v>0</v>
      </c>
      <c r="CW15">
        <v>0</v>
      </c>
      <c r="DJ15">
        <v>3</v>
      </c>
      <c r="DK15">
        <v>1096.28234</v>
      </c>
      <c r="DL15">
        <v>1642.180269</v>
      </c>
      <c r="DM15">
        <v>-41.587657</v>
      </c>
      <c r="DN15">
        <f t="shared" si="11"/>
        <v>-504.310272</v>
      </c>
      <c r="DO15">
        <v>1</v>
      </c>
      <c r="DP15">
        <f>DN15/DO15</f>
        <v>-504.310272</v>
      </c>
      <c r="DZ15">
        <v>55</v>
      </c>
      <c r="EA15">
        <v>4.11426244</v>
      </c>
      <c r="EB15">
        <v>4.33418059</v>
      </c>
      <c r="EC15">
        <v>5.10089616</v>
      </c>
      <c r="ED15">
        <v>4.17761178</v>
      </c>
      <c r="EE15">
        <v>4.96937266</v>
      </c>
    </row>
    <row r="16" spans="7:135">
      <c r="W16">
        <v>6.986</v>
      </c>
      <c r="X16">
        <v>1.10304239691816</v>
      </c>
      <c r="Y16">
        <v>6.986</v>
      </c>
      <c r="Z16">
        <v>1.08919880591467</v>
      </c>
      <c r="AA16">
        <v>6.986</v>
      </c>
      <c r="AB16">
        <v>1.09936327194687</v>
      </c>
      <c r="AC16">
        <v>6.986</v>
      </c>
      <c r="AD16">
        <v>1.11006507360328</v>
      </c>
      <c r="AE16">
        <v>6.986</v>
      </c>
      <c r="AF16">
        <v>1.0920138462201</v>
      </c>
      <c r="AJ16">
        <v>65</v>
      </c>
      <c r="AK16">
        <v>0.96699154</v>
      </c>
      <c r="AL16">
        <v>1.52254343</v>
      </c>
      <c r="AM16">
        <v>0.82731707</v>
      </c>
      <c r="AN16">
        <v>1.3090711</v>
      </c>
      <c r="AO16">
        <v>1.12863265</v>
      </c>
      <c r="AP16">
        <v>1.67803164</v>
      </c>
      <c r="AQ16">
        <v>0.96156346</v>
      </c>
      <c r="AR16">
        <v>1.51254106</v>
      </c>
      <c r="AS16">
        <v>0.96008549</v>
      </c>
      <c r="AT16">
        <v>1.42282893</v>
      </c>
      <c r="BN16">
        <v>0.75</v>
      </c>
      <c r="BO16">
        <v>0</v>
      </c>
      <c r="BP16">
        <v>0.75</v>
      </c>
      <c r="BQ16">
        <v>0</v>
      </c>
      <c r="BR16">
        <v>0.75</v>
      </c>
      <c r="BS16">
        <v>0</v>
      </c>
      <c r="BT16">
        <v>0.75</v>
      </c>
      <c r="BU16">
        <v>0</v>
      </c>
      <c r="BV16">
        <v>0.75</v>
      </c>
      <c r="BW16">
        <v>0</v>
      </c>
      <c r="BX16">
        <v>0.75</v>
      </c>
      <c r="BY16">
        <v>0</v>
      </c>
      <c r="BZ16">
        <v>0.75</v>
      </c>
      <c r="CA16">
        <v>0</v>
      </c>
      <c r="CB16">
        <v>0.75</v>
      </c>
      <c r="CC16">
        <v>0</v>
      </c>
      <c r="CD16">
        <v>0.75</v>
      </c>
      <c r="CE16">
        <v>0</v>
      </c>
      <c r="CF16">
        <v>0.75</v>
      </c>
      <c r="CG16">
        <v>0</v>
      </c>
      <c r="CK16">
        <v>0.75</v>
      </c>
      <c r="CL16">
        <v>0</v>
      </c>
      <c r="CM16">
        <v>0</v>
      </c>
      <c r="CN16">
        <v>0</v>
      </c>
      <c r="CO16">
        <v>0</v>
      </c>
      <c r="CP16">
        <v>0</v>
      </c>
      <c r="CR16">
        <v>0.75</v>
      </c>
      <c r="CS16">
        <v>0</v>
      </c>
      <c r="CT16">
        <v>0</v>
      </c>
      <c r="CU16">
        <v>0</v>
      </c>
      <c r="CV16">
        <v>0</v>
      </c>
      <c r="CW16">
        <v>0</v>
      </c>
      <c r="DJ16">
        <v>4</v>
      </c>
      <c r="DK16">
        <v>973.240375</v>
      </c>
      <c r="DL16">
        <v>1899.393834</v>
      </c>
      <c r="DM16">
        <v>-112.000449</v>
      </c>
      <c r="DN16">
        <f t="shared" si="11"/>
        <v>-814.15301</v>
      </c>
      <c r="DO16">
        <v>1</v>
      </c>
      <c r="DP16">
        <f>DN16/DO16</f>
        <v>-814.15301</v>
      </c>
      <c r="DZ16">
        <v>60</v>
      </c>
      <c r="EA16">
        <v>4.1013439</v>
      </c>
      <c r="EB16">
        <v>4.31403522</v>
      </c>
      <c r="EC16">
        <v>5.093839</v>
      </c>
      <c r="ED16">
        <v>4.15123952</v>
      </c>
      <c r="EE16">
        <v>4.96314182</v>
      </c>
    </row>
    <row r="17" spans="23:135">
      <c r="W17">
        <v>7.485</v>
      </c>
      <c r="X17">
        <v>1.09722767970738</v>
      </c>
      <c r="Y17">
        <v>7.485</v>
      </c>
      <c r="Z17">
        <v>1.09685776996154</v>
      </c>
      <c r="AA17">
        <v>7.485</v>
      </c>
      <c r="AB17">
        <v>1.10176684500212</v>
      </c>
      <c r="AC17">
        <v>7.485</v>
      </c>
      <c r="AD17">
        <v>1.11264919087402</v>
      </c>
      <c r="AE17">
        <v>7.485</v>
      </c>
      <c r="AF17">
        <v>1.0951458733203</v>
      </c>
      <c r="AJ17">
        <v>70</v>
      </c>
      <c r="AK17">
        <v>1.00958701</v>
      </c>
      <c r="AL17">
        <v>1.5791267</v>
      </c>
      <c r="AM17">
        <v>0.83662756</v>
      </c>
      <c r="AN17">
        <v>1.30570959</v>
      </c>
      <c r="AO17">
        <v>1.19995886</v>
      </c>
      <c r="AP17">
        <v>1.78246738</v>
      </c>
      <c r="AQ17">
        <v>1.00466324</v>
      </c>
      <c r="AR17">
        <v>1.57927742</v>
      </c>
      <c r="AS17">
        <v>1.0066878</v>
      </c>
      <c r="AT17">
        <v>1.46608245</v>
      </c>
      <c r="BN17">
        <v>0.81</v>
      </c>
      <c r="BO17">
        <v>0</v>
      </c>
      <c r="BP17">
        <v>0.81</v>
      </c>
      <c r="BQ17">
        <v>0</v>
      </c>
      <c r="BR17">
        <v>0.81</v>
      </c>
      <c r="BS17">
        <v>0</v>
      </c>
      <c r="BT17">
        <v>0.81</v>
      </c>
      <c r="BU17">
        <v>0</v>
      </c>
      <c r="BV17">
        <v>0.81</v>
      </c>
      <c r="BW17">
        <v>0</v>
      </c>
      <c r="BX17">
        <v>0.81</v>
      </c>
      <c r="BY17">
        <v>0</v>
      </c>
      <c r="BZ17">
        <v>0.81</v>
      </c>
      <c r="CA17">
        <v>0</v>
      </c>
      <c r="CB17">
        <v>0.81</v>
      </c>
      <c r="CC17">
        <v>0</v>
      </c>
      <c r="CD17">
        <v>0.81</v>
      </c>
      <c r="CE17">
        <v>0</v>
      </c>
      <c r="CF17">
        <v>0.81</v>
      </c>
      <c r="CG17">
        <v>0</v>
      </c>
      <c r="CK17">
        <v>0.81</v>
      </c>
      <c r="CL17">
        <v>0</v>
      </c>
      <c r="CM17">
        <v>0</v>
      </c>
      <c r="CN17">
        <v>0</v>
      </c>
      <c r="CO17">
        <v>0</v>
      </c>
      <c r="CP17">
        <v>0</v>
      </c>
      <c r="CR17">
        <v>0.81</v>
      </c>
      <c r="CS17">
        <v>0</v>
      </c>
      <c r="CT17">
        <v>0</v>
      </c>
      <c r="CU17">
        <v>0</v>
      </c>
      <c r="CV17">
        <v>0</v>
      </c>
      <c r="CW17">
        <v>0</v>
      </c>
      <c r="DJ17">
        <v>5</v>
      </c>
      <c r="DK17">
        <v>1122.986599</v>
      </c>
      <c r="DL17">
        <v>2019.848331</v>
      </c>
      <c r="DM17">
        <v>-154.297973</v>
      </c>
      <c r="DN17">
        <f t="shared" si="11"/>
        <v>-742.563759</v>
      </c>
      <c r="DO17">
        <v>1</v>
      </c>
      <c r="DP17">
        <f>DN17/DO17</f>
        <v>-742.563759</v>
      </c>
      <c r="DZ17">
        <v>65</v>
      </c>
      <c r="EA17">
        <v>4.10765173</v>
      </c>
      <c r="EB17">
        <v>4.31244032</v>
      </c>
      <c r="EC17">
        <v>5.08568684</v>
      </c>
      <c r="ED17">
        <v>4.1415115</v>
      </c>
      <c r="EE17">
        <v>4.97431223</v>
      </c>
    </row>
    <row r="18" spans="23:135">
      <c r="W18">
        <v>7.984</v>
      </c>
      <c r="X18">
        <v>1.09813396353469</v>
      </c>
      <c r="Y18">
        <v>7.984</v>
      </c>
      <c r="Z18">
        <v>1.1004212928709</v>
      </c>
      <c r="AA18">
        <v>7.984</v>
      </c>
      <c r="AB18">
        <v>1.11226054391171</v>
      </c>
      <c r="AC18">
        <v>7.984</v>
      </c>
      <c r="AD18">
        <v>1.1093604283663</v>
      </c>
      <c r="AE18">
        <v>7.984</v>
      </c>
      <c r="AF18">
        <v>1.09400447215813</v>
      </c>
      <c r="AJ18">
        <v>75</v>
      </c>
      <c r="AK18">
        <v>1.06086185</v>
      </c>
      <c r="AL18">
        <v>1.63552511</v>
      </c>
      <c r="AM18">
        <v>0.83026409</v>
      </c>
      <c r="AN18">
        <v>1.33050278</v>
      </c>
      <c r="AO18">
        <v>1.26143655</v>
      </c>
      <c r="AP18">
        <v>1.85065015</v>
      </c>
      <c r="AQ18">
        <v>1.03329064</v>
      </c>
      <c r="AR18">
        <v>1.65609589</v>
      </c>
      <c r="AS18">
        <v>1.02537576</v>
      </c>
      <c r="AT18">
        <v>1.48862582</v>
      </c>
      <c r="BN18">
        <v>0.87</v>
      </c>
      <c r="BO18">
        <v>0</v>
      </c>
      <c r="BP18">
        <v>0.87</v>
      </c>
      <c r="BQ18">
        <v>0</v>
      </c>
      <c r="BR18">
        <v>0.87</v>
      </c>
      <c r="BS18">
        <v>0</v>
      </c>
      <c r="BT18">
        <v>0.87</v>
      </c>
      <c r="BU18">
        <v>0</v>
      </c>
      <c r="BV18">
        <v>0.87</v>
      </c>
      <c r="BW18">
        <v>0</v>
      </c>
      <c r="BX18">
        <v>0.87</v>
      </c>
      <c r="BY18">
        <v>0</v>
      </c>
      <c r="BZ18">
        <v>0.87</v>
      </c>
      <c r="CA18">
        <v>0</v>
      </c>
      <c r="CB18">
        <v>0.87</v>
      </c>
      <c r="CC18">
        <v>0</v>
      </c>
      <c r="CD18">
        <v>0.87</v>
      </c>
      <c r="CE18">
        <v>0</v>
      </c>
      <c r="CF18">
        <v>0.87</v>
      </c>
      <c r="CG18">
        <v>0</v>
      </c>
      <c r="CK18">
        <v>0.87</v>
      </c>
      <c r="CL18">
        <v>0</v>
      </c>
      <c r="CM18">
        <v>0</v>
      </c>
      <c r="CN18">
        <v>0</v>
      </c>
      <c r="CO18">
        <v>0</v>
      </c>
      <c r="CP18">
        <v>0</v>
      </c>
      <c r="CR18">
        <v>0.87</v>
      </c>
      <c r="CS18">
        <v>0</v>
      </c>
      <c r="CT18">
        <v>0</v>
      </c>
      <c r="CU18">
        <v>0</v>
      </c>
      <c r="CV18">
        <v>0</v>
      </c>
      <c r="CW18">
        <v>0</v>
      </c>
      <c r="DZ18">
        <v>70</v>
      </c>
      <c r="EA18">
        <v>4.1271816</v>
      </c>
      <c r="EB18">
        <v>4.3004301</v>
      </c>
      <c r="EC18">
        <v>5.0731877</v>
      </c>
      <c r="ED18">
        <v>4.16167398</v>
      </c>
      <c r="EE18">
        <v>4.97043529</v>
      </c>
    </row>
    <row r="19" spans="23:135">
      <c r="W19">
        <v>8.483</v>
      </c>
      <c r="X19">
        <v>1.09783082670426</v>
      </c>
      <c r="Y19">
        <v>8.483</v>
      </c>
      <c r="Z19">
        <v>1.10232200954339</v>
      </c>
      <c r="AA19">
        <v>8.483</v>
      </c>
      <c r="AB19">
        <v>1.11869187536925</v>
      </c>
      <c r="AC19">
        <v>8.483</v>
      </c>
      <c r="AD19">
        <v>1.10800887234135</v>
      </c>
      <c r="AE19">
        <v>8.483</v>
      </c>
      <c r="AF19">
        <v>1.09183971034636</v>
      </c>
      <c r="AJ19">
        <v>80</v>
      </c>
      <c r="AK19">
        <v>1.08362016</v>
      </c>
      <c r="AL19">
        <v>1.64813686</v>
      </c>
      <c r="AM19">
        <v>0.84471776</v>
      </c>
      <c r="AN19">
        <v>1.35684467</v>
      </c>
      <c r="AO19">
        <v>1.33228141</v>
      </c>
      <c r="AP19">
        <v>1.94326668</v>
      </c>
      <c r="AQ19">
        <v>1.08844896</v>
      </c>
      <c r="AR19">
        <v>1.70620664</v>
      </c>
      <c r="AS19">
        <v>1.07773067</v>
      </c>
      <c r="AT19">
        <v>1.54955819</v>
      </c>
      <c r="BN19">
        <v>0.93</v>
      </c>
      <c r="BO19">
        <v>0</v>
      </c>
      <c r="BP19">
        <v>0.93</v>
      </c>
      <c r="BQ19">
        <v>0</v>
      </c>
      <c r="BR19">
        <v>0.93</v>
      </c>
      <c r="BS19">
        <v>0</v>
      </c>
      <c r="BT19">
        <v>0.93</v>
      </c>
      <c r="BU19">
        <v>0</v>
      </c>
      <c r="BV19">
        <v>0.93</v>
      </c>
      <c r="BW19">
        <v>0</v>
      </c>
      <c r="BX19">
        <v>0.93</v>
      </c>
      <c r="BY19">
        <v>0</v>
      </c>
      <c r="BZ19">
        <v>0.93</v>
      </c>
      <c r="CA19">
        <v>0</v>
      </c>
      <c r="CB19">
        <v>0.93</v>
      </c>
      <c r="CC19">
        <v>0</v>
      </c>
      <c r="CD19">
        <v>0.93</v>
      </c>
      <c r="CE19">
        <v>0</v>
      </c>
      <c r="CF19">
        <v>0.93</v>
      </c>
      <c r="CG19">
        <v>0</v>
      </c>
      <c r="CK19">
        <v>0.93</v>
      </c>
      <c r="CL19">
        <v>0</v>
      </c>
      <c r="CM19">
        <v>0</v>
      </c>
      <c r="CN19">
        <v>0</v>
      </c>
      <c r="CO19">
        <v>0</v>
      </c>
      <c r="CP19">
        <v>0</v>
      </c>
      <c r="CR19">
        <v>0.93</v>
      </c>
      <c r="CS19">
        <v>0</v>
      </c>
      <c r="CT19">
        <v>0</v>
      </c>
      <c r="CU19">
        <v>0</v>
      </c>
      <c r="CV19">
        <v>0</v>
      </c>
      <c r="CW19">
        <v>0</v>
      </c>
      <c r="DZ19">
        <v>75</v>
      </c>
      <c r="EA19">
        <v>4.0888923</v>
      </c>
      <c r="EB19">
        <v>4.30824659</v>
      </c>
      <c r="EC19">
        <v>5.08273831</v>
      </c>
      <c r="ED19">
        <v>4.15710276</v>
      </c>
      <c r="EE19">
        <v>4.97279408</v>
      </c>
    </row>
    <row r="20" spans="23:135">
      <c r="W20">
        <v>8.982</v>
      </c>
      <c r="X20">
        <v>1.1014447874998</v>
      </c>
      <c r="Y20">
        <v>8.982</v>
      </c>
      <c r="Z20">
        <v>1.10766994395738</v>
      </c>
      <c r="AA20">
        <v>8.982</v>
      </c>
      <c r="AB20">
        <v>1.1143933730454</v>
      </c>
      <c r="AC20">
        <v>8.982</v>
      </c>
      <c r="AD20">
        <v>1.10980225480132</v>
      </c>
      <c r="AE20">
        <v>8.982</v>
      </c>
      <c r="AF20">
        <v>1.09151114375748</v>
      </c>
      <c r="AJ20">
        <v>85</v>
      </c>
      <c r="AK20">
        <v>1.11693659</v>
      </c>
      <c r="AL20">
        <v>1.70375337</v>
      </c>
      <c r="AM20">
        <v>0.88692169</v>
      </c>
      <c r="AN20">
        <v>1.4056327</v>
      </c>
      <c r="AO20">
        <v>1.3865467</v>
      </c>
      <c r="AP20">
        <v>2.04302746</v>
      </c>
      <c r="AQ20">
        <v>1.10070622</v>
      </c>
      <c r="AR20">
        <v>1.76968158</v>
      </c>
      <c r="AS20">
        <v>1.09948881</v>
      </c>
      <c r="AT20">
        <v>1.60358681</v>
      </c>
      <c r="BN20">
        <v>0.99</v>
      </c>
      <c r="BO20">
        <v>0</v>
      </c>
      <c r="BP20">
        <v>0.99</v>
      </c>
      <c r="BQ20">
        <v>0</v>
      </c>
      <c r="BR20">
        <v>0.99</v>
      </c>
      <c r="BS20">
        <v>0</v>
      </c>
      <c r="BT20">
        <v>0.99</v>
      </c>
      <c r="BU20">
        <v>0</v>
      </c>
      <c r="BV20">
        <v>0.99</v>
      </c>
      <c r="BW20">
        <v>0</v>
      </c>
      <c r="BX20">
        <v>0.99</v>
      </c>
      <c r="BY20">
        <v>0</v>
      </c>
      <c r="BZ20">
        <v>0.99</v>
      </c>
      <c r="CA20">
        <v>0</v>
      </c>
      <c r="CB20">
        <v>0.99</v>
      </c>
      <c r="CC20">
        <v>0</v>
      </c>
      <c r="CD20">
        <v>0.99</v>
      </c>
      <c r="CE20">
        <v>0</v>
      </c>
      <c r="CF20">
        <v>0.99</v>
      </c>
      <c r="CG20">
        <v>0</v>
      </c>
      <c r="CK20">
        <v>0.99</v>
      </c>
      <c r="CL20">
        <v>0</v>
      </c>
      <c r="CM20">
        <v>0</v>
      </c>
      <c r="CN20">
        <v>0</v>
      </c>
      <c r="CO20">
        <v>0</v>
      </c>
      <c r="CP20">
        <v>0</v>
      </c>
      <c r="CR20">
        <v>0.99</v>
      </c>
      <c r="CS20">
        <v>0</v>
      </c>
      <c r="CT20">
        <v>0</v>
      </c>
      <c r="CU20">
        <v>0</v>
      </c>
      <c r="CV20">
        <v>0</v>
      </c>
      <c r="CW20">
        <v>0</v>
      </c>
      <c r="DZ20">
        <v>80</v>
      </c>
      <c r="EA20">
        <v>4.10371796</v>
      </c>
      <c r="EB20">
        <v>4.29911401</v>
      </c>
      <c r="EC20">
        <v>5.06311411</v>
      </c>
      <c r="ED20">
        <v>4.15255456</v>
      </c>
      <c r="EE20">
        <v>4.96259831</v>
      </c>
    </row>
    <row r="21" spans="23:135">
      <c r="W21">
        <v>9.481</v>
      </c>
      <c r="X21">
        <v>1.09937746225668</v>
      </c>
      <c r="Y21">
        <v>9.481</v>
      </c>
      <c r="Z21">
        <v>1.1064374664964</v>
      </c>
      <c r="AA21">
        <v>9.481</v>
      </c>
      <c r="AB21">
        <v>1.11165907912962</v>
      </c>
      <c r="AC21">
        <v>9.481</v>
      </c>
      <c r="AD21">
        <v>1.10704149928294</v>
      </c>
      <c r="AE21">
        <v>9.481</v>
      </c>
      <c r="AF21">
        <v>1.08817420941749</v>
      </c>
      <c r="AJ21">
        <v>90</v>
      </c>
      <c r="AK21">
        <v>1.15840835</v>
      </c>
      <c r="AL21">
        <v>1.77136926</v>
      </c>
      <c r="AM21">
        <v>0.89382558</v>
      </c>
      <c r="AN21">
        <v>1.43071471</v>
      </c>
      <c r="AO21">
        <v>1.44036205</v>
      </c>
      <c r="AP21">
        <v>2.10250991</v>
      </c>
      <c r="AQ21">
        <v>1.15614941</v>
      </c>
      <c r="AR21">
        <v>1.8093936</v>
      </c>
      <c r="AS21">
        <v>1.11999391</v>
      </c>
      <c r="AT21">
        <v>1.60959506</v>
      </c>
      <c r="BN21">
        <v>1.05</v>
      </c>
      <c r="BO21">
        <v>0</v>
      </c>
      <c r="BP21">
        <v>1.05</v>
      </c>
      <c r="BQ21">
        <v>0</v>
      </c>
      <c r="BR21">
        <v>1.05</v>
      </c>
      <c r="BS21">
        <v>0</v>
      </c>
      <c r="BT21">
        <v>1.05</v>
      </c>
      <c r="BU21">
        <v>0</v>
      </c>
      <c r="BV21">
        <v>1.05</v>
      </c>
      <c r="BW21">
        <v>0</v>
      </c>
      <c r="BX21">
        <v>1.05</v>
      </c>
      <c r="BY21">
        <v>0</v>
      </c>
      <c r="BZ21">
        <v>1.05</v>
      </c>
      <c r="CA21">
        <v>0</v>
      </c>
      <c r="CB21">
        <v>1.05</v>
      </c>
      <c r="CC21">
        <v>0</v>
      </c>
      <c r="CD21">
        <v>1.05</v>
      </c>
      <c r="CE21">
        <v>0</v>
      </c>
      <c r="CF21">
        <v>1.05</v>
      </c>
      <c r="CG21">
        <v>0</v>
      </c>
      <c r="CK21">
        <v>1.05</v>
      </c>
      <c r="CL21">
        <v>0</v>
      </c>
      <c r="CM21">
        <v>0</v>
      </c>
      <c r="CN21">
        <v>0</v>
      </c>
      <c r="CO21">
        <v>0</v>
      </c>
      <c r="CP21">
        <v>0</v>
      </c>
      <c r="CR21">
        <v>1.05</v>
      </c>
      <c r="CS21">
        <v>0</v>
      </c>
      <c r="CT21">
        <v>0</v>
      </c>
      <c r="CU21">
        <v>0</v>
      </c>
      <c r="CV21">
        <v>0</v>
      </c>
      <c r="CW21">
        <v>0</v>
      </c>
      <c r="DJ21" t="s">
        <v>179</v>
      </c>
      <c r="DK21" t="s">
        <v>187</v>
      </c>
      <c r="DL21" t="s">
        <v>78</v>
      </c>
      <c r="DM21" t="s">
        <v>70</v>
      </c>
      <c r="DN21" t="s">
        <v>4</v>
      </c>
      <c r="DP21" t="s">
        <v>181</v>
      </c>
      <c r="DZ21">
        <v>85</v>
      </c>
      <c r="EA21">
        <v>4.07790428</v>
      </c>
      <c r="EB21">
        <v>4.31274408</v>
      </c>
      <c r="EC21">
        <v>5.07143211</v>
      </c>
      <c r="ED21">
        <v>4.15035268</v>
      </c>
      <c r="EE21">
        <v>4.96778543</v>
      </c>
    </row>
    <row r="22" spans="23:135">
      <c r="W22">
        <v>9.98</v>
      </c>
      <c r="X22">
        <v>1.10290752258233</v>
      </c>
      <c r="Y22">
        <v>9.98</v>
      </c>
      <c r="Z22">
        <v>1.10259401977301</v>
      </c>
      <c r="AA22">
        <v>9.98</v>
      </c>
      <c r="AB22">
        <v>1.11436292407017</v>
      </c>
      <c r="AC22">
        <v>9.98</v>
      </c>
      <c r="AD22">
        <v>1.11041944491638</v>
      </c>
      <c r="AE22">
        <v>9.98</v>
      </c>
      <c r="AF22">
        <v>1.07577053841032</v>
      </c>
      <c r="AJ22">
        <v>95</v>
      </c>
      <c r="AK22">
        <v>1.18588913</v>
      </c>
      <c r="AL22">
        <v>1.83029505</v>
      </c>
      <c r="AM22">
        <v>0.91293546</v>
      </c>
      <c r="AN22">
        <v>1.46769653</v>
      </c>
      <c r="AO22">
        <v>1.52818966</v>
      </c>
      <c r="AP22">
        <v>2.19688796</v>
      </c>
      <c r="AQ22">
        <v>1.18222634</v>
      </c>
      <c r="AR22">
        <v>1.81681466</v>
      </c>
      <c r="AS22">
        <v>1.17367072</v>
      </c>
      <c r="AT22">
        <v>1.69036314</v>
      </c>
      <c r="BN22">
        <v>1.11</v>
      </c>
      <c r="BO22">
        <v>0</v>
      </c>
      <c r="BP22">
        <v>1.11</v>
      </c>
      <c r="BQ22">
        <v>0</v>
      </c>
      <c r="BR22">
        <v>1.11</v>
      </c>
      <c r="BS22">
        <v>0</v>
      </c>
      <c r="BT22">
        <v>1.11</v>
      </c>
      <c r="BU22">
        <v>0</v>
      </c>
      <c r="BV22">
        <v>1.11</v>
      </c>
      <c r="BW22">
        <v>0</v>
      </c>
      <c r="BX22">
        <v>1.11</v>
      </c>
      <c r="BY22">
        <v>0</v>
      </c>
      <c r="BZ22">
        <v>1.11</v>
      </c>
      <c r="CA22">
        <v>0</v>
      </c>
      <c r="CB22">
        <v>1.11</v>
      </c>
      <c r="CC22">
        <v>0</v>
      </c>
      <c r="CD22">
        <v>1.11</v>
      </c>
      <c r="CE22">
        <v>0</v>
      </c>
      <c r="CF22">
        <v>1.11</v>
      </c>
      <c r="CG22">
        <v>0</v>
      </c>
      <c r="CK22">
        <v>1.11</v>
      </c>
      <c r="CL22">
        <v>0</v>
      </c>
      <c r="CM22">
        <v>0</v>
      </c>
      <c r="CN22">
        <v>0</v>
      </c>
      <c r="CO22">
        <v>0</v>
      </c>
      <c r="CP22">
        <v>0</v>
      </c>
      <c r="CR22">
        <v>1.11</v>
      </c>
      <c r="CS22">
        <v>0</v>
      </c>
      <c r="CT22">
        <v>0</v>
      </c>
      <c r="CU22">
        <v>0</v>
      </c>
      <c r="CV22">
        <v>0</v>
      </c>
      <c r="CW22">
        <v>0</v>
      </c>
      <c r="DJ22">
        <v>1</v>
      </c>
      <c r="DK22">
        <v>-621.573347</v>
      </c>
      <c r="DL22">
        <v>685.841626</v>
      </c>
      <c r="DM22">
        <v>-11.809739</v>
      </c>
      <c r="DN22">
        <f t="shared" ref="DN22:DN26" si="12">DK22-DL22-DM22</f>
        <v>-1295.605234</v>
      </c>
      <c r="DO22">
        <v>1</v>
      </c>
      <c r="DP22">
        <f>DN22/DO22</f>
        <v>-1295.605234</v>
      </c>
      <c r="DZ22">
        <v>90</v>
      </c>
      <c r="EA22">
        <v>4.08827957</v>
      </c>
      <c r="EB22">
        <v>4.29486628</v>
      </c>
      <c r="EC22">
        <v>5.07463638</v>
      </c>
      <c r="ED22">
        <v>4.14032528</v>
      </c>
      <c r="EE22">
        <v>4.96197128</v>
      </c>
    </row>
    <row r="23" spans="23:135">
      <c r="W23">
        <v>10.479</v>
      </c>
      <c r="X23">
        <v>1.11118906571193</v>
      </c>
      <c r="Y23">
        <v>10.479</v>
      </c>
      <c r="Z23">
        <v>1.10908115454497</v>
      </c>
      <c r="AA23">
        <v>10.479</v>
      </c>
      <c r="AB23">
        <v>1.12019436462495</v>
      </c>
      <c r="AC23">
        <v>10.479</v>
      </c>
      <c r="AD23">
        <v>1.10578740260458</v>
      </c>
      <c r="AE23">
        <v>10.479</v>
      </c>
      <c r="AF23">
        <v>1.09351969198648</v>
      </c>
      <c r="AJ23">
        <v>100</v>
      </c>
      <c r="AK23">
        <v>1.24822595</v>
      </c>
      <c r="AL23">
        <v>1.89544784</v>
      </c>
      <c r="AM23">
        <v>0.93527488</v>
      </c>
      <c r="AN23">
        <v>1.47457077</v>
      </c>
      <c r="AO23">
        <v>1.57527144</v>
      </c>
      <c r="AP23">
        <v>2.27339453</v>
      </c>
      <c r="AQ23">
        <v>1.20019518</v>
      </c>
      <c r="AR23">
        <v>1.87449632</v>
      </c>
      <c r="AS23">
        <v>1.23371784</v>
      </c>
      <c r="AT23">
        <v>1.73632691</v>
      </c>
      <c r="BN23">
        <v>1.17</v>
      </c>
      <c r="BO23">
        <v>0</v>
      </c>
      <c r="BP23">
        <v>1.17</v>
      </c>
      <c r="BQ23">
        <v>0</v>
      </c>
      <c r="BR23">
        <v>1.17</v>
      </c>
      <c r="BS23">
        <v>0</v>
      </c>
      <c r="BT23">
        <v>1.17</v>
      </c>
      <c r="BU23">
        <v>0</v>
      </c>
      <c r="BV23">
        <v>1.17</v>
      </c>
      <c r="BW23">
        <v>0</v>
      </c>
      <c r="BX23">
        <v>1.17</v>
      </c>
      <c r="BY23">
        <v>0</v>
      </c>
      <c r="BZ23">
        <v>1.17</v>
      </c>
      <c r="CA23">
        <v>0</v>
      </c>
      <c r="CB23">
        <v>1.17</v>
      </c>
      <c r="CC23">
        <v>0</v>
      </c>
      <c r="CD23">
        <v>1.17</v>
      </c>
      <c r="CE23">
        <v>0</v>
      </c>
      <c r="CF23">
        <v>1.17</v>
      </c>
      <c r="CG23">
        <v>0</v>
      </c>
      <c r="CK23">
        <v>1.17</v>
      </c>
      <c r="CL23">
        <v>0</v>
      </c>
      <c r="CM23">
        <v>0</v>
      </c>
      <c r="CN23">
        <v>0</v>
      </c>
      <c r="CO23">
        <v>0</v>
      </c>
      <c r="CP23">
        <v>0</v>
      </c>
      <c r="CR23">
        <v>1.17</v>
      </c>
      <c r="CS23">
        <v>0</v>
      </c>
      <c r="CT23">
        <v>0</v>
      </c>
      <c r="CU23">
        <v>0</v>
      </c>
      <c r="CV23">
        <v>0</v>
      </c>
      <c r="CW23">
        <v>0</v>
      </c>
      <c r="DJ23">
        <v>2</v>
      </c>
      <c r="DK23">
        <v>-527.03289</v>
      </c>
      <c r="DL23">
        <v>601.722273</v>
      </c>
      <c r="DM23">
        <v>40.785971</v>
      </c>
      <c r="DN23">
        <f t="shared" si="12"/>
        <v>-1169.541134</v>
      </c>
      <c r="DO23">
        <v>1</v>
      </c>
      <c r="DP23">
        <f>DN23/DO23</f>
        <v>-1169.541134</v>
      </c>
      <c r="DZ23">
        <v>95</v>
      </c>
      <c r="EA23">
        <v>4.07082594</v>
      </c>
      <c r="EB23">
        <v>4.30099956</v>
      </c>
      <c r="EC23">
        <v>5.04169693</v>
      </c>
      <c r="ED23">
        <v>4.14711314</v>
      </c>
      <c r="EE23">
        <v>4.95207685</v>
      </c>
    </row>
    <row r="24" spans="23:135">
      <c r="W24">
        <v>10.978</v>
      </c>
      <c r="X24">
        <v>1.10398894715339</v>
      </c>
      <c r="Y24">
        <v>10.978</v>
      </c>
      <c r="Z24">
        <v>1.11389055113753</v>
      </c>
      <c r="AA24">
        <v>10.978</v>
      </c>
      <c r="AB24">
        <v>1.1123102756514</v>
      </c>
      <c r="AC24">
        <v>10.978</v>
      </c>
      <c r="AD24">
        <v>1.11086262477049</v>
      </c>
      <c r="AE24">
        <v>10.978</v>
      </c>
      <c r="AF24">
        <v>1.10228899781435</v>
      </c>
      <c r="AJ24">
        <v>105</v>
      </c>
      <c r="AK24">
        <v>1.26474593</v>
      </c>
      <c r="AL24">
        <v>1.90175831</v>
      </c>
      <c r="AM24">
        <v>0.94526672</v>
      </c>
      <c r="AN24">
        <v>1.49043304</v>
      </c>
      <c r="AO24">
        <v>1.62697694</v>
      </c>
      <c r="AP24">
        <v>2.36272397</v>
      </c>
      <c r="AQ24">
        <v>1.26389878</v>
      </c>
      <c r="AR24">
        <v>1.91621415</v>
      </c>
      <c r="AS24">
        <v>1.24386554</v>
      </c>
      <c r="AT24">
        <v>1.76771778</v>
      </c>
      <c r="BN24">
        <v>1.23</v>
      </c>
      <c r="BO24">
        <v>0</v>
      </c>
      <c r="BP24">
        <v>1.23</v>
      </c>
      <c r="BQ24">
        <v>0</v>
      </c>
      <c r="BR24">
        <v>1.23</v>
      </c>
      <c r="BS24">
        <v>0</v>
      </c>
      <c r="BT24">
        <v>1.23</v>
      </c>
      <c r="BU24">
        <v>0</v>
      </c>
      <c r="BV24">
        <v>1.23</v>
      </c>
      <c r="BW24">
        <v>0</v>
      </c>
      <c r="BX24">
        <v>1.23</v>
      </c>
      <c r="BY24">
        <v>0</v>
      </c>
      <c r="BZ24">
        <v>1.23</v>
      </c>
      <c r="CA24">
        <v>0</v>
      </c>
      <c r="CB24">
        <v>1.23</v>
      </c>
      <c r="CC24">
        <v>0</v>
      </c>
      <c r="CD24">
        <v>1.23</v>
      </c>
      <c r="CE24">
        <v>0</v>
      </c>
      <c r="CF24">
        <v>1.23</v>
      </c>
      <c r="CG24">
        <v>0</v>
      </c>
      <c r="CK24">
        <v>1.23</v>
      </c>
      <c r="CL24">
        <v>0</v>
      </c>
      <c r="CM24">
        <v>0</v>
      </c>
      <c r="CN24">
        <v>0</v>
      </c>
      <c r="CO24">
        <v>0</v>
      </c>
      <c r="CP24">
        <v>0</v>
      </c>
      <c r="CR24">
        <v>1.23</v>
      </c>
      <c r="CS24">
        <v>0</v>
      </c>
      <c r="CT24">
        <v>0</v>
      </c>
      <c r="CU24">
        <v>0</v>
      </c>
      <c r="CV24">
        <v>0</v>
      </c>
      <c r="CW24">
        <v>0</v>
      </c>
      <c r="DJ24">
        <v>3</v>
      </c>
      <c r="DK24">
        <v>-504.416167</v>
      </c>
      <c r="DL24">
        <v>603.49895</v>
      </c>
      <c r="DM24">
        <v>-41.587657</v>
      </c>
      <c r="DN24">
        <f t="shared" si="12"/>
        <v>-1066.32746</v>
      </c>
      <c r="DO24">
        <v>1</v>
      </c>
      <c r="DP24">
        <f>DN24/DO24</f>
        <v>-1066.32746</v>
      </c>
      <c r="DZ24">
        <v>100</v>
      </c>
      <c r="EA24">
        <v>4.0894578</v>
      </c>
      <c r="EB24">
        <v>4.27766166</v>
      </c>
      <c r="EC24">
        <v>5.05596332</v>
      </c>
      <c r="ED24">
        <v>4.15272592</v>
      </c>
      <c r="EE24">
        <v>4.96664574</v>
      </c>
    </row>
    <row r="25" spans="23:135">
      <c r="W25">
        <v>11.477</v>
      </c>
      <c r="X25">
        <v>1.10310926732991</v>
      </c>
      <c r="Y25">
        <v>11.477</v>
      </c>
      <c r="Z25">
        <v>1.11780918932628</v>
      </c>
      <c r="AA25">
        <v>11.477</v>
      </c>
      <c r="AB25">
        <v>1.11834806123243</v>
      </c>
      <c r="AC25">
        <v>11.477</v>
      </c>
      <c r="AD25">
        <v>1.11150304516243</v>
      </c>
      <c r="AE25">
        <v>11.477</v>
      </c>
      <c r="AF25">
        <v>1.10122097490379</v>
      </c>
      <c r="AJ25">
        <v>110</v>
      </c>
      <c r="AK25">
        <v>1.29921923</v>
      </c>
      <c r="AL25">
        <v>1.96060597</v>
      </c>
      <c r="AM25">
        <v>0.96598784</v>
      </c>
      <c r="AN25">
        <v>1.51898882</v>
      </c>
      <c r="AO25">
        <v>1.70686965</v>
      </c>
      <c r="AP25">
        <v>2.47150297</v>
      </c>
      <c r="AQ25">
        <v>1.29175609</v>
      </c>
      <c r="AR25">
        <v>1.92880887</v>
      </c>
      <c r="AS25">
        <v>1.28701887</v>
      </c>
      <c r="AT25">
        <v>1.81562164</v>
      </c>
      <c r="BN25">
        <v>1.29</v>
      </c>
      <c r="BO25">
        <v>0</v>
      </c>
      <c r="BP25">
        <v>1.29</v>
      </c>
      <c r="BQ25">
        <v>0</v>
      </c>
      <c r="BR25">
        <v>1.29</v>
      </c>
      <c r="BS25">
        <v>0</v>
      </c>
      <c r="BT25">
        <v>1.29</v>
      </c>
      <c r="BU25">
        <v>0</v>
      </c>
      <c r="BV25">
        <v>1.29</v>
      </c>
      <c r="BW25">
        <v>0</v>
      </c>
      <c r="BX25">
        <v>1.29</v>
      </c>
      <c r="BY25">
        <v>0</v>
      </c>
      <c r="BZ25">
        <v>1.29</v>
      </c>
      <c r="CA25">
        <v>0</v>
      </c>
      <c r="CB25">
        <v>1.29</v>
      </c>
      <c r="CC25">
        <v>0</v>
      </c>
      <c r="CD25">
        <v>1.29</v>
      </c>
      <c r="CE25">
        <v>0</v>
      </c>
      <c r="CF25">
        <v>1.29</v>
      </c>
      <c r="CG25">
        <v>0</v>
      </c>
      <c r="CK25">
        <v>1.29</v>
      </c>
      <c r="CL25">
        <v>0</v>
      </c>
      <c r="CM25">
        <v>0</v>
      </c>
      <c r="CN25">
        <v>0</v>
      </c>
      <c r="CO25">
        <v>0</v>
      </c>
      <c r="CP25">
        <v>0</v>
      </c>
      <c r="CR25">
        <v>1.29</v>
      </c>
      <c r="CS25">
        <v>0</v>
      </c>
      <c r="CT25">
        <v>0</v>
      </c>
      <c r="CU25">
        <v>0</v>
      </c>
      <c r="CV25">
        <v>0</v>
      </c>
      <c r="CW25">
        <v>0</v>
      </c>
      <c r="DJ25">
        <v>4</v>
      </c>
      <c r="DK25">
        <v>-429.379723</v>
      </c>
      <c r="DL25">
        <v>486.039378</v>
      </c>
      <c r="DM25">
        <v>-112.000449</v>
      </c>
      <c r="DN25">
        <f t="shared" si="12"/>
        <v>-803.418652</v>
      </c>
      <c r="DO25">
        <v>1</v>
      </c>
      <c r="DP25">
        <f>DN25/DO25</f>
        <v>-803.418652</v>
      </c>
      <c r="DZ25">
        <v>105</v>
      </c>
      <c r="EA25">
        <v>4.11176387</v>
      </c>
      <c r="EB25">
        <v>4.29064074</v>
      </c>
      <c r="EC25">
        <v>5.05833481</v>
      </c>
      <c r="ED25">
        <v>4.13876184</v>
      </c>
      <c r="EE25">
        <v>4.9630596</v>
      </c>
    </row>
    <row r="26" spans="23:135">
      <c r="W26">
        <v>11.976</v>
      </c>
      <c r="X26">
        <v>1.10455190396512</v>
      </c>
      <c r="Y26">
        <v>11.976</v>
      </c>
      <c r="Z26">
        <v>1.11395461730815</v>
      </c>
      <c r="AA26">
        <v>11.976</v>
      </c>
      <c r="AB26">
        <v>1.12374221375141</v>
      </c>
      <c r="AC26">
        <v>11.976</v>
      </c>
      <c r="AD26">
        <v>1.1113796388752</v>
      </c>
      <c r="AE26">
        <v>11.976</v>
      </c>
      <c r="AF26">
        <v>1.09590758942446</v>
      </c>
      <c r="AJ26">
        <v>115</v>
      </c>
      <c r="AK26">
        <v>1.32403432</v>
      </c>
      <c r="AL26">
        <v>1.9927564</v>
      </c>
      <c r="AM26">
        <v>0.97930208</v>
      </c>
      <c r="AN26">
        <v>1.54789328</v>
      </c>
      <c r="AO26">
        <v>1.76164627</v>
      </c>
      <c r="AP26">
        <v>2.5437901</v>
      </c>
      <c r="AQ26">
        <v>1.30867198</v>
      </c>
      <c r="AR26">
        <v>1.98752945</v>
      </c>
      <c r="AS26">
        <v>1.31151026</v>
      </c>
      <c r="AT26">
        <v>1.87244265</v>
      </c>
      <c r="BN26">
        <v>1.35</v>
      </c>
      <c r="BO26">
        <v>0</v>
      </c>
      <c r="BP26">
        <v>1.35</v>
      </c>
      <c r="BQ26">
        <v>0</v>
      </c>
      <c r="BR26">
        <v>1.35</v>
      </c>
      <c r="BS26">
        <v>0</v>
      </c>
      <c r="BT26">
        <v>1.35</v>
      </c>
      <c r="BU26">
        <v>0</v>
      </c>
      <c r="BV26">
        <v>1.35</v>
      </c>
      <c r="BW26">
        <v>0</v>
      </c>
      <c r="BX26">
        <v>1.35</v>
      </c>
      <c r="BY26">
        <v>0</v>
      </c>
      <c r="BZ26">
        <v>1.35</v>
      </c>
      <c r="CA26">
        <v>0</v>
      </c>
      <c r="CB26">
        <v>1.35</v>
      </c>
      <c r="CC26">
        <v>0</v>
      </c>
      <c r="CD26">
        <v>1.35</v>
      </c>
      <c r="CE26">
        <v>0</v>
      </c>
      <c r="CF26">
        <v>1.35</v>
      </c>
      <c r="CG26">
        <v>0</v>
      </c>
      <c r="CK26">
        <v>1.35</v>
      </c>
      <c r="CL26">
        <v>0</v>
      </c>
      <c r="CM26">
        <v>0</v>
      </c>
      <c r="CN26">
        <v>0</v>
      </c>
      <c r="CO26">
        <v>0</v>
      </c>
      <c r="CP26">
        <v>0</v>
      </c>
      <c r="CR26">
        <v>1.35</v>
      </c>
      <c r="CS26">
        <v>0</v>
      </c>
      <c r="CT26">
        <v>0</v>
      </c>
      <c r="CU26">
        <v>0</v>
      </c>
      <c r="CV26">
        <v>0</v>
      </c>
      <c r="CW26">
        <v>0</v>
      </c>
      <c r="DJ26">
        <v>5</v>
      </c>
      <c r="DK26">
        <v>-455.058389</v>
      </c>
      <c r="DL26">
        <v>498.348617</v>
      </c>
      <c r="DM26">
        <v>-154.297973</v>
      </c>
      <c r="DN26">
        <f t="shared" si="12"/>
        <v>-799.109033</v>
      </c>
      <c r="DO26">
        <v>1</v>
      </c>
      <c r="DP26">
        <f>DN26/DO26</f>
        <v>-799.109033</v>
      </c>
      <c r="DZ26">
        <v>110</v>
      </c>
      <c r="EA26">
        <v>4.08731742</v>
      </c>
      <c r="EB26">
        <v>4.28030364</v>
      </c>
      <c r="EC26">
        <v>5.03385587</v>
      </c>
      <c r="ED26">
        <v>4.12931587</v>
      </c>
      <c r="EE26">
        <v>4.94392436</v>
      </c>
    </row>
    <row r="27" spans="23:135">
      <c r="W27">
        <v>12.475</v>
      </c>
      <c r="X27">
        <v>1.11072284009142</v>
      </c>
      <c r="Y27">
        <v>12.475</v>
      </c>
      <c r="Z27">
        <v>1.12266005678662</v>
      </c>
      <c r="AA27">
        <v>12.475</v>
      </c>
      <c r="AB27">
        <v>1.12729461104855</v>
      </c>
      <c r="AC27">
        <v>12.475</v>
      </c>
      <c r="AD27">
        <v>1.11190277398892</v>
      </c>
      <c r="AE27">
        <v>12.475</v>
      </c>
      <c r="AF27">
        <v>1.10324658647999</v>
      </c>
      <c r="AJ27">
        <v>120</v>
      </c>
      <c r="AK27">
        <v>1.34433156</v>
      </c>
      <c r="AL27">
        <v>2.01158575</v>
      </c>
      <c r="AM27">
        <v>1.00155373</v>
      </c>
      <c r="AN27">
        <v>1.57354385</v>
      </c>
      <c r="AO27">
        <v>1.78588763</v>
      </c>
      <c r="AP27">
        <v>2.60842583</v>
      </c>
      <c r="AQ27">
        <v>1.33639919</v>
      </c>
      <c r="AR27">
        <v>1.98755722</v>
      </c>
      <c r="AS27">
        <v>1.33236475</v>
      </c>
      <c r="AT27">
        <v>1.92807387</v>
      </c>
      <c r="BN27">
        <v>1.41</v>
      </c>
      <c r="BO27">
        <v>0</v>
      </c>
      <c r="BP27">
        <v>1.41</v>
      </c>
      <c r="BQ27">
        <v>0</v>
      </c>
      <c r="BR27">
        <v>1.41</v>
      </c>
      <c r="BS27">
        <v>0</v>
      </c>
      <c r="BT27">
        <v>1.41</v>
      </c>
      <c r="BU27">
        <v>0</v>
      </c>
      <c r="BV27">
        <v>1.41</v>
      </c>
      <c r="BW27">
        <v>0</v>
      </c>
      <c r="BX27">
        <v>1.41</v>
      </c>
      <c r="BY27">
        <v>0</v>
      </c>
      <c r="BZ27">
        <v>1.41</v>
      </c>
      <c r="CA27">
        <v>0</v>
      </c>
      <c r="CB27">
        <v>1.41</v>
      </c>
      <c r="CC27">
        <v>0</v>
      </c>
      <c r="CD27">
        <v>1.41</v>
      </c>
      <c r="CE27">
        <v>0</v>
      </c>
      <c r="CF27">
        <v>1.41</v>
      </c>
      <c r="CG27">
        <v>0</v>
      </c>
      <c r="CK27">
        <v>1.41</v>
      </c>
      <c r="CL27">
        <v>0</v>
      </c>
      <c r="CM27">
        <v>0</v>
      </c>
      <c r="CN27">
        <v>0</v>
      </c>
      <c r="CO27">
        <v>0</v>
      </c>
      <c r="CP27">
        <v>0</v>
      </c>
      <c r="CR27">
        <v>1.41</v>
      </c>
      <c r="CS27">
        <v>0</v>
      </c>
      <c r="CT27">
        <v>0</v>
      </c>
      <c r="CU27">
        <v>0</v>
      </c>
      <c r="CV27">
        <v>0</v>
      </c>
      <c r="CW27">
        <v>0</v>
      </c>
      <c r="DZ27">
        <v>115</v>
      </c>
      <c r="EA27">
        <v>4.08626036</v>
      </c>
      <c r="EB27">
        <v>4.2825488</v>
      </c>
      <c r="EC27">
        <v>5.04737783</v>
      </c>
      <c r="ED27">
        <v>4.14061258</v>
      </c>
      <c r="EE27">
        <v>4.94047821</v>
      </c>
    </row>
    <row r="28" spans="23:135">
      <c r="W28">
        <v>12.974</v>
      </c>
      <c r="X28">
        <v>1.10989347862825</v>
      </c>
      <c r="Y28">
        <v>12.974</v>
      </c>
      <c r="Z28">
        <v>1.12238816750656</v>
      </c>
      <c r="AA28">
        <v>12.974</v>
      </c>
      <c r="AB28">
        <v>1.12732363109427</v>
      </c>
      <c r="AC28">
        <v>12.974</v>
      </c>
      <c r="AD28">
        <v>1.10369762902155</v>
      </c>
      <c r="AE28">
        <v>12.974</v>
      </c>
      <c r="AF28">
        <v>1.10447986916649</v>
      </c>
      <c r="AJ28">
        <v>125</v>
      </c>
      <c r="AK28">
        <v>1.37240813</v>
      </c>
      <c r="AL28">
        <v>2.03389776</v>
      </c>
      <c r="AM28">
        <v>1.00886145</v>
      </c>
      <c r="AN28">
        <v>1.61318332</v>
      </c>
      <c r="AO28">
        <v>1.83164285</v>
      </c>
      <c r="AP28">
        <v>2.67632543</v>
      </c>
      <c r="AQ28">
        <v>1.35345026</v>
      </c>
      <c r="AR28">
        <v>2.05422559</v>
      </c>
      <c r="AS28">
        <v>1.34240746</v>
      </c>
      <c r="AT28">
        <v>1.92934083</v>
      </c>
      <c r="BN28">
        <v>1.47</v>
      </c>
      <c r="BO28">
        <v>0</v>
      </c>
      <c r="BP28">
        <v>1.47</v>
      </c>
      <c r="BQ28">
        <v>0</v>
      </c>
      <c r="BR28">
        <v>1.47</v>
      </c>
      <c r="BS28">
        <v>0</v>
      </c>
      <c r="BT28">
        <v>1.47</v>
      </c>
      <c r="BU28">
        <v>0</v>
      </c>
      <c r="BV28">
        <v>1.47</v>
      </c>
      <c r="BW28">
        <v>0</v>
      </c>
      <c r="BX28">
        <v>1.47</v>
      </c>
      <c r="BY28">
        <v>0</v>
      </c>
      <c r="BZ28">
        <v>1.47</v>
      </c>
      <c r="CA28">
        <v>0</v>
      </c>
      <c r="CB28">
        <v>1.47</v>
      </c>
      <c r="CC28">
        <v>0</v>
      </c>
      <c r="CD28">
        <v>1.47</v>
      </c>
      <c r="CE28">
        <v>0</v>
      </c>
      <c r="CF28">
        <v>1.47</v>
      </c>
      <c r="CG28">
        <v>0</v>
      </c>
      <c r="CK28">
        <v>1.47</v>
      </c>
      <c r="CL28">
        <v>0</v>
      </c>
      <c r="CM28">
        <v>0</v>
      </c>
      <c r="CN28">
        <v>0</v>
      </c>
      <c r="CO28">
        <v>0</v>
      </c>
      <c r="CP28">
        <v>0</v>
      </c>
      <c r="CR28">
        <v>1.47</v>
      </c>
      <c r="CS28">
        <v>0</v>
      </c>
      <c r="CT28">
        <v>0</v>
      </c>
      <c r="CU28">
        <v>0</v>
      </c>
      <c r="CV28">
        <v>0</v>
      </c>
      <c r="CW28">
        <v>0</v>
      </c>
      <c r="DZ28">
        <v>120</v>
      </c>
      <c r="EA28">
        <v>4.07597725</v>
      </c>
      <c r="EB28">
        <v>4.29276526</v>
      </c>
      <c r="EC28">
        <v>5.06421565</v>
      </c>
      <c r="ED28">
        <v>4.13857473</v>
      </c>
      <c r="EE28">
        <v>4.94700027</v>
      </c>
    </row>
    <row r="29" spans="23:135">
      <c r="W29">
        <v>13.473</v>
      </c>
      <c r="X29">
        <v>1.11499351897411</v>
      </c>
      <c r="Y29">
        <v>13.473</v>
      </c>
      <c r="Z29">
        <v>1.1308677672003</v>
      </c>
      <c r="AA29">
        <v>13.473</v>
      </c>
      <c r="AB29">
        <v>1.13310118331774</v>
      </c>
      <c r="AC29">
        <v>13.473</v>
      </c>
      <c r="AD29">
        <v>1.10683086000697</v>
      </c>
      <c r="AE29">
        <v>13.473</v>
      </c>
      <c r="AF29">
        <v>1.09919246606231</v>
      </c>
      <c r="AJ29">
        <v>130</v>
      </c>
      <c r="AK29">
        <v>1.40318066</v>
      </c>
      <c r="AL29">
        <v>2.0984806</v>
      </c>
      <c r="AM29">
        <v>0.98597622</v>
      </c>
      <c r="AN29">
        <v>1.62197524</v>
      </c>
      <c r="AO29">
        <v>1.88937584</v>
      </c>
      <c r="AP29">
        <v>2.756679</v>
      </c>
      <c r="AQ29">
        <v>1.38871641</v>
      </c>
      <c r="AR29">
        <v>2.08047621</v>
      </c>
      <c r="AS29">
        <v>1.37896956</v>
      </c>
      <c r="AT29">
        <v>1.97098546</v>
      </c>
      <c r="BN29">
        <v>1.53</v>
      </c>
      <c r="BO29">
        <v>0</v>
      </c>
      <c r="BP29">
        <v>1.53</v>
      </c>
      <c r="BQ29">
        <v>0</v>
      </c>
      <c r="BR29">
        <v>1.53</v>
      </c>
      <c r="BS29">
        <v>0</v>
      </c>
      <c r="BT29">
        <v>1.53</v>
      </c>
      <c r="BU29">
        <v>0</v>
      </c>
      <c r="BV29">
        <v>1.53</v>
      </c>
      <c r="BW29">
        <v>0</v>
      </c>
      <c r="BX29">
        <v>1.53</v>
      </c>
      <c r="BY29">
        <v>0</v>
      </c>
      <c r="BZ29">
        <v>1.53</v>
      </c>
      <c r="CA29">
        <v>0</v>
      </c>
      <c r="CB29">
        <v>1.53</v>
      </c>
      <c r="CC29">
        <v>0</v>
      </c>
      <c r="CD29">
        <v>1.53</v>
      </c>
      <c r="CE29">
        <v>0</v>
      </c>
      <c r="CF29">
        <v>1.53</v>
      </c>
      <c r="CG29">
        <v>0</v>
      </c>
      <c r="CK29">
        <v>1.53</v>
      </c>
      <c r="CL29">
        <v>0</v>
      </c>
      <c r="CM29">
        <v>0</v>
      </c>
      <c r="CN29">
        <v>0</v>
      </c>
      <c r="CO29">
        <v>0</v>
      </c>
      <c r="CP29">
        <v>0</v>
      </c>
      <c r="CR29">
        <v>1.53</v>
      </c>
      <c r="CS29">
        <v>0</v>
      </c>
      <c r="CT29">
        <v>0</v>
      </c>
      <c r="CU29">
        <v>0</v>
      </c>
      <c r="CV29">
        <v>0</v>
      </c>
      <c r="CW29">
        <v>0</v>
      </c>
      <c r="DZ29">
        <v>125</v>
      </c>
      <c r="EA29">
        <v>4.0841275</v>
      </c>
      <c r="EB29">
        <v>4.27715665</v>
      </c>
      <c r="EC29">
        <v>5.05848669</v>
      </c>
      <c r="ED29">
        <v>4.13308036</v>
      </c>
      <c r="EE29">
        <v>4.95268346</v>
      </c>
    </row>
    <row r="30" spans="23:135">
      <c r="W30">
        <v>13.972</v>
      </c>
      <c r="X30">
        <v>1.11434283590789</v>
      </c>
      <c r="Y30">
        <v>13.972</v>
      </c>
      <c r="Z30">
        <v>1.13381666481594</v>
      </c>
      <c r="AA30">
        <v>13.972</v>
      </c>
      <c r="AB30">
        <v>1.12893298626417</v>
      </c>
      <c r="AC30">
        <v>13.972</v>
      </c>
      <c r="AD30">
        <v>1.12398810619997</v>
      </c>
      <c r="AE30">
        <v>13.972</v>
      </c>
      <c r="AF30">
        <v>1.0901117310214</v>
      </c>
      <c r="AJ30">
        <v>135</v>
      </c>
      <c r="AK30">
        <v>1.43903592</v>
      </c>
      <c r="AL30">
        <v>2.16206128</v>
      </c>
      <c r="AM30">
        <v>1.00568399</v>
      </c>
      <c r="AN30">
        <v>1.64354613</v>
      </c>
      <c r="AO30">
        <v>1.95397153</v>
      </c>
      <c r="AP30">
        <v>2.84131707</v>
      </c>
      <c r="AQ30">
        <v>1.38203758</v>
      </c>
      <c r="AR30">
        <v>2.06626833</v>
      </c>
      <c r="AS30">
        <v>1.40835617</v>
      </c>
      <c r="AT30">
        <v>2.03014204</v>
      </c>
      <c r="BN30">
        <v>1.59</v>
      </c>
      <c r="BO30">
        <v>0</v>
      </c>
      <c r="BP30">
        <v>1.59</v>
      </c>
      <c r="BQ30">
        <v>0</v>
      </c>
      <c r="BR30">
        <v>1.59</v>
      </c>
      <c r="BS30">
        <v>0</v>
      </c>
      <c r="BT30">
        <v>1.59</v>
      </c>
      <c r="BU30">
        <v>0</v>
      </c>
      <c r="BV30">
        <v>1.59</v>
      </c>
      <c r="BW30">
        <v>0</v>
      </c>
      <c r="BX30">
        <v>1.59</v>
      </c>
      <c r="BY30">
        <v>0</v>
      </c>
      <c r="BZ30">
        <v>1.59</v>
      </c>
      <c r="CA30">
        <v>0</v>
      </c>
      <c r="CB30">
        <v>1.59</v>
      </c>
      <c r="CC30">
        <v>0</v>
      </c>
      <c r="CD30">
        <v>1.59</v>
      </c>
      <c r="CE30">
        <v>0</v>
      </c>
      <c r="CF30">
        <v>1.59</v>
      </c>
      <c r="CG30">
        <v>0</v>
      </c>
      <c r="CK30">
        <v>1.59</v>
      </c>
      <c r="CL30">
        <v>0</v>
      </c>
      <c r="CM30">
        <v>0</v>
      </c>
      <c r="CN30">
        <v>0</v>
      </c>
      <c r="CO30">
        <v>0</v>
      </c>
      <c r="CP30">
        <v>0</v>
      </c>
      <c r="CR30">
        <v>1.59</v>
      </c>
      <c r="CS30">
        <v>0</v>
      </c>
      <c r="CT30">
        <v>0</v>
      </c>
      <c r="CU30">
        <v>0</v>
      </c>
      <c r="CV30">
        <v>0</v>
      </c>
      <c r="CW30">
        <v>0</v>
      </c>
      <c r="DJ30" t="s">
        <v>179</v>
      </c>
      <c r="DK30" t="s">
        <v>188</v>
      </c>
      <c r="DL30" t="s">
        <v>78</v>
      </c>
      <c r="DM30" t="s">
        <v>93</v>
      </c>
      <c r="DN30" t="s">
        <v>4</v>
      </c>
      <c r="DP30" t="s">
        <v>181</v>
      </c>
      <c r="DZ30">
        <v>130</v>
      </c>
      <c r="EA30">
        <v>4.09543909</v>
      </c>
      <c r="EB30">
        <v>4.29416084</v>
      </c>
      <c r="EC30">
        <v>5.03806101</v>
      </c>
      <c r="ED30">
        <v>4.13891466</v>
      </c>
      <c r="EE30">
        <v>4.94606436</v>
      </c>
    </row>
    <row r="31" spans="23:135">
      <c r="W31">
        <v>14.471</v>
      </c>
      <c r="X31">
        <v>1.11165362370454</v>
      </c>
      <c r="Y31">
        <v>14.471</v>
      </c>
      <c r="Z31">
        <v>1.13775963693274</v>
      </c>
      <c r="AA31">
        <v>14.471</v>
      </c>
      <c r="AB31">
        <v>1.1315442949525</v>
      </c>
      <c r="AC31">
        <v>14.471</v>
      </c>
      <c r="AD31">
        <v>1.12610373323476</v>
      </c>
      <c r="AE31">
        <v>14.471</v>
      </c>
      <c r="AF31">
        <v>1.10538958758998</v>
      </c>
      <c r="AJ31">
        <v>140</v>
      </c>
      <c r="AK31">
        <v>1.49576048</v>
      </c>
      <c r="AL31">
        <v>2.20325184</v>
      </c>
      <c r="AM31">
        <v>0.98892875</v>
      </c>
      <c r="AN31">
        <v>1.67217211</v>
      </c>
      <c r="AO31">
        <v>2.00615227</v>
      </c>
      <c r="AP31">
        <v>2.89554134</v>
      </c>
      <c r="AQ31">
        <v>1.40011672</v>
      </c>
      <c r="AR31">
        <v>2.05753398</v>
      </c>
      <c r="AS31">
        <v>1.43181682</v>
      </c>
      <c r="AT31">
        <v>2.09203653</v>
      </c>
      <c r="BN31">
        <v>1.65</v>
      </c>
      <c r="BO31">
        <v>0.06830185</v>
      </c>
      <c r="BP31">
        <v>1.65</v>
      </c>
      <c r="BQ31">
        <v>0</v>
      </c>
      <c r="BR31">
        <v>1.65</v>
      </c>
      <c r="BS31">
        <v>0.03486059</v>
      </c>
      <c r="BT31">
        <v>1.65</v>
      </c>
      <c r="BU31">
        <v>0</v>
      </c>
      <c r="BV31">
        <v>1.65</v>
      </c>
      <c r="BW31">
        <v>0</v>
      </c>
      <c r="BX31">
        <v>1.65</v>
      </c>
      <c r="BY31">
        <v>0</v>
      </c>
      <c r="BZ31">
        <v>1.65</v>
      </c>
      <c r="CA31">
        <v>0.03683758</v>
      </c>
      <c r="CB31">
        <v>1.65</v>
      </c>
      <c r="CC31">
        <v>0</v>
      </c>
      <c r="CD31">
        <v>1.65</v>
      </c>
      <c r="CE31">
        <v>0</v>
      </c>
      <c r="CF31">
        <v>1.65</v>
      </c>
      <c r="CG31">
        <v>0</v>
      </c>
      <c r="CK31">
        <v>1.65</v>
      </c>
      <c r="CL31">
        <v>0</v>
      </c>
      <c r="CM31">
        <v>0</v>
      </c>
      <c r="CN31">
        <v>0</v>
      </c>
      <c r="CO31">
        <v>0</v>
      </c>
      <c r="CP31">
        <v>0</v>
      </c>
      <c r="CR31">
        <v>1.65</v>
      </c>
      <c r="CS31">
        <v>0</v>
      </c>
      <c r="CT31">
        <v>0</v>
      </c>
      <c r="CU31">
        <v>0</v>
      </c>
      <c r="CV31">
        <v>0</v>
      </c>
      <c r="CW31">
        <v>0</v>
      </c>
      <c r="DJ31">
        <v>1</v>
      </c>
      <c r="DK31">
        <v>-3498.703578</v>
      </c>
      <c r="DL31">
        <v>685.841626</v>
      </c>
      <c r="DM31">
        <v>-2853.758005</v>
      </c>
      <c r="DN31">
        <f t="shared" ref="DN31:DN35" si="13">DK31-DL31-DM31</f>
        <v>-1330.787199</v>
      </c>
      <c r="DO31">
        <v>1</v>
      </c>
      <c r="DP31">
        <f>DN31/DO31</f>
        <v>-1330.787199</v>
      </c>
      <c r="DZ31">
        <v>135</v>
      </c>
      <c r="EA31">
        <v>4.08820365</v>
      </c>
      <c r="EB31">
        <v>4.31494838</v>
      </c>
      <c r="EC31">
        <v>5.0432609</v>
      </c>
      <c r="ED31">
        <v>4.12984277</v>
      </c>
      <c r="EE31">
        <v>4.96049479</v>
      </c>
    </row>
    <row r="32" spans="23:135">
      <c r="W32">
        <v>14.97</v>
      </c>
      <c r="X32">
        <v>1.11009938225953</v>
      </c>
      <c r="Y32">
        <v>14.97</v>
      </c>
      <c r="Z32">
        <v>1.13671169916586</v>
      </c>
      <c r="AA32">
        <v>14.97</v>
      </c>
      <c r="AB32">
        <v>1.13360904381674</v>
      </c>
      <c r="AC32">
        <v>14.97</v>
      </c>
      <c r="AD32">
        <v>1.12649352525431</v>
      </c>
      <c r="AE32">
        <v>14.97</v>
      </c>
      <c r="AF32">
        <v>1.10441856708344</v>
      </c>
      <c r="AJ32">
        <v>145</v>
      </c>
      <c r="AK32">
        <v>1.53152407</v>
      </c>
      <c r="AL32">
        <v>2.24574117</v>
      </c>
      <c r="AM32">
        <v>1.04054335</v>
      </c>
      <c r="AN32">
        <v>1.70939869</v>
      </c>
      <c r="AO32">
        <v>2.05737771</v>
      </c>
      <c r="AP32">
        <v>2.95903703</v>
      </c>
      <c r="AQ32">
        <v>1.43986845</v>
      </c>
      <c r="AR32">
        <v>2.09884312</v>
      </c>
      <c r="AS32">
        <v>1.46362711</v>
      </c>
      <c r="AT32">
        <v>2.10916347</v>
      </c>
      <c r="BN32">
        <v>1.71</v>
      </c>
      <c r="BO32">
        <v>0.34976322</v>
      </c>
      <c r="BP32">
        <v>1.71</v>
      </c>
      <c r="BQ32">
        <v>1.60573115</v>
      </c>
      <c r="BR32">
        <v>1.71</v>
      </c>
      <c r="BS32">
        <v>0.45440363</v>
      </c>
      <c r="BT32">
        <v>1.71</v>
      </c>
      <c r="BU32">
        <v>1.2293241</v>
      </c>
      <c r="BV32">
        <v>1.71</v>
      </c>
      <c r="BW32">
        <v>0.40296301</v>
      </c>
      <c r="BX32">
        <v>1.71</v>
      </c>
      <c r="BY32">
        <v>0.84790134</v>
      </c>
      <c r="BZ32">
        <v>1.71</v>
      </c>
      <c r="CA32">
        <v>0.5144715</v>
      </c>
      <c r="CB32">
        <v>1.71</v>
      </c>
      <c r="CC32">
        <v>1.29904054</v>
      </c>
      <c r="CD32">
        <v>1.71</v>
      </c>
      <c r="CE32">
        <v>0.85197374</v>
      </c>
      <c r="CF32">
        <v>1.71</v>
      </c>
      <c r="CG32">
        <v>0</v>
      </c>
      <c r="CK32">
        <v>1.71</v>
      </c>
      <c r="CL32">
        <v>0</v>
      </c>
      <c r="CM32">
        <v>0</v>
      </c>
      <c r="CN32">
        <v>0</v>
      </c>
      <c r="CO32">
        <v>0</v>
      </c>
      <c r="CP32">
        <v>0</v>
      </c>
      <c r="CR32">
        <v>1.71</v>
      </c>
      <c r="CS32">
        <v>0</v>
      </c>
      <c r="CT32">
        <v>0</v>
      </c>
      <c r="CU32">
        <v>0</v>
      </c>
      <c r="CV32">
        <v>0</v>
      </c>
      <c r="CW32">
        <v>0</v>
      </c>
      <c r="DJ32">
        <v>2</v>
      </c>
      <c r="DK32">
        <v>-6255.944846</v>
      </c>
      <c r="DL32">
        <v>601.722273</v>
      </c>
      <c r="DM32">
        <v>-5723.112779</v>
      </c>
      <c r="DN32">
        <f t="shared" si="13"/>
        <v>-1134.55434</v>
      </c>
      <c r="DO32">
        <v>2</v>
      </c>
      <c r="DP32">
        <f>DN32/DO32</f>
        <v>-567.27717</v>
      </c>
      <c r="DZ32">
        <v>140</v>
      </c>
      <c r="EA32">
        <v>4.10079319</v>
      </c>
      <c r="EB32">
        <v>4.29948267</v>
      </c>
      <c r="EC32">
        <v>5.04240348</v>
      </c>
      <c r="ED32">
        <v>4.13052799</v>
      </c>
      <c r="EE32">
        <v>4.94321769</v>
      </c>
    </row>
    <row r="33" spans="23:135">
      <c r="W33">
        <v>15.469</v>
      </c>
      <c r="X33">
        <v>1.11160258066832</v>
      </c>
      <c r="Y33">
        <v>15.469</v>
      </c>
      <c r="Z33">
        <v>1.13882558684594</v>
      </c>
      <c r="AA33">
        <v>15.469</v>
      </c>
      <c r="AB33">
        <v>1.13131506316033</v>
      </c>
      <c r="AC33">
        <v>15.469</v>
      </c>
      <c r="AD33">
        <v>1.12755619330627</v>
      </c>
      <c r="AE33">
        <v>15.469</v>
      </c>
      <c r="AF33">
        <v>1.10048029077066</v>
      </c>
      <c r="AJ33">
        <v>150</v>
      </c>
      <c r="AK33">
        <v>1.55910825</v>
      </c>
      <c r="AL33">
        <v>2.28769945</v>
      </c>
      <c r="AM33">
        <v>1.02365484</v>
      </c>
      <c r="AN33">
        <v>1.7247625</v>
      </c>
      <c r="AO33">
        <v>2.09598184</v>
      </c>
      <c r="AP33">
        <v>3.04264959</v>
      </c>
      <c r="AQ33">
        <v>1.48905245</v>
      </c>
      <c r="AR33">
        <v>2.17469146</v>
      </c>
      <c r="AS33">
        <v>1.49102859</v>
      </c>
      <c r="AT33">
        <v>2.15732814</v>
      </c>
      <c r="BN33">
        <v>1.77</v>
      </c>
      <c r="BO33">
        <v>1.95872761</v>
      </c>
      <c r="BP33">
        <v>1.77</v>
      </c>
      <c r="BQ33">
        <v>19.48340423</v>
      </c>
      <c r="BR33">
        <v>1.77</v>
      </c>
      <c r="BS33">
        <v>2.81737957</v>
      </c>
      <c r="BT33">
        <v>1.77</v>
      </c>
      <c r="BU33">
        <v>15.298674</v>
      </c>
      <c r="BV33">
        <v>1.77</v>
      </c>
      <c r="BW33">
        <v>2.85216067</v>
      </c>
      <c r="BX33">
        <v>1.77</v>
      </c>
      <c r="BY33">
        <v>18.2021133</v>
      </c>
      <c r="BZ33">
        <v>1.77</v>
      </c>
      <c r="CA33">
        <v>2.72105703</v>
      </c>
      <c r="CB33">
        <v>1.77</v>
      </c>
      <c r="CC33">
        <v>9.69976801</v>
      </c>
      <c r="CD33">
        <v>1.77</v>
      </c>
      <c r="CE33">
        <v>3.94141244</v>
      </c>
      <c r="CF33">
        <v>1.77</v>
      </c>
      <c r="CG33">
        <v>10.03936525</v>
      </c>
      <c r="CK33">
        <v>1.77</v>
      </c>
      <c r="CL33">
        <v>0</v>
      </c>
      <c r="CM33">
        <v>0</v>
      </c>
      <c r="CN33">
        <v>3.94718169</v>
      </c>
      <c r="CO33">
        <v>3.78542875</v>
      </c>
      <c r="CP33">
        <v>0.64872802</v>
      </c>
      <c r="CR33">
        <v>1.77</v>
      </c>
      <c r="CS33">
        <v>0</v>
      </c>
      <c r="CT33">
        <v>0</v>
      </c>
      <c r="CU33">
        <v>0</v>
      </c>
      <c r="CV33">
        <v>0</v>
      </c>
      <c r="CW33">
        <v>0</v>
      </c>
      <c r="DJ33">
        <v>3</v>
      </c>
      <c r="DK33">
        <v>-8103.797162</v>
      </c>
      <c r="DL33">
        <v>603.49895</v>
      </c>
      <c r="DM33">
        <v>-8629.032282</v>
      </c>
      <c r="DN33">
        <f t="shared" si="13"/>
        <v>-78.2638299999999</v>
      </c>
      <c r="DO33">
        <v>3</v>
      </c>
      <c r="DP33">
        <f>DN33/DO33</f>
        <v>-26.0879433333333</v>
      </c>
      <c r="DZ33">
        <v>145</v>
      </c>
      <c r="EA33">
        <v>4.08464195</v>
      </c>
      <c r="EB33">
        <v>4.2904761</v>
      </c>
      <c r="EC33">
        <v>5.04891489</v>
      </c>
      <c r="ED33">
        <v>4.12408369</v>
      </c>
      <c r="EE33">
        <v>4.95152672</v>
      </c>
    </row>
    <row r="34" spans="23:135">
      <c r="W34">
        <v>15.968</v>
      </c>
      <c r="X34">
        <v>1.12000153733961</v>
      </c>
      <c r="Y34">
        <v>15.968</v>
      </c>
      <c r="Z34">
        <v>1.14151794508862</v>
      </c>
      <c r="AA34">
        <v>15.968</v>
      </c>
      <c r="AB34">
        <v>1.12912485699234</v>
      </c>
      <c r="AC34">
        <v>15.968</v>
      </c>
      <c r="AD34">
        <v>1.12259412630715</v>
      </c>
      <c r="AE34">
        <v>15.968</v>
      </c>
      <c r="AF34">
        <v>1.09672107920182</v>
      </c>
      <c r="AJ34">
        <v>155</v>
      </c>
      <c r="AK34">
        <v>1.63397577</v>
      </c>
      <c r="AL34">
        <v>2.38927011</v>
      </c>
      <c r="AM34">
        <v>1.04400698</v>
      </c>
      <c r="AN34">
        <v>1.77996502</v>
      </c>
      <c r="AO34">
        <v>2.15616212</v>
      </c>
      <c r="AP34">
        <v>3.10314712</v>
      </c>
      <c r="AQ34">
        <v>1.48406087</v>
      </c>
      <c r="AR34">
        <v>2.11187009</v>
      </c>
      <c r="AS34">
        <v>1.53713414</v>
      </c>
      <c r="AT34">
        <v>2.20226946</v>
      </c>
      <c r="BN34">
        <v>1.83</v>
      </c>
      <c r="BO34">
        <v>6.19130229</v>
      </c>
      <c r="BP34">
        <v>1.83</v>
      </c>
      <c r="BQ34">
        <v>74.66002589</v>
      </c>
      <c r="BR34">
        <v>1.83</v>
      </c>
      <c r="BS34">
        <v>8.44550671</v>
      </c>
      <c r="BT34">
        <v>1.83</v>
      </c>
      <c r="BU34">
        <v>47.22965416</v>
      </c>
      <c r="BV34">
        <v>1.83</v>
      </c>
      <c r="BW34">
        <v>6.06945891</v>
      </c>
      <c r="BX34">
        <v>1.83</v>
      </c>
      <c r="BY34">
        <v>64.41103316</v>
      </c>
      <c r="BZ34">
        <v>1.83</v>
      </c>
      <c r="CA34">
        <v>7.18748574</v>
      </c>
      <c r="CB34">
        <v>1.83</v>
      </c>
      <c r="CC34">
        <v>44.99291202</v>
      </c>
      <c r="CD34">
        <v>1.83</v>
      </c>
      <c r="CE34">
        <v>8.82991889</v>
      </c>
      <c r="CF34">
        <v>1.83</v>
      </c>
      <c r="CG34">
        <v>54.71800472</v>
      </c>
      <c r="CK34">
        <v>1.83</v>
      </c>
      <c r="CL34">
        <v>0</v>
      </c>
      <c r="CM34">
        <v>0</v>
      </c>
      <c r="CN34">
        <v>28.61777435</v>
      </c>
      <c r="CO34">
        <v>9.91562612</v>
      </c>
      <c r="CP34">
        <v>1.21377919</v>
      </c>
      <c r="CR34">
        <v>1.83</v>
      </c>
      <c r="CS34">
        <v>0</v>
      </c>
      <c r="CT34">
        <v>0</v>
      </c>
      <c r="CU34">
        <v>0</v>
      </c>
      <c r="CV34">
        <v>0</v>
      </c>
      <c r="CW34">
        <v>0</v>
      </c>
      <c r="DJ34">
        <v>4</v>
      </c>
      <c r="DK34">
        <v>-11270.801264</v>
      </c>
      <c r="DL34">
        <v>486.039378</v>
      </c>
      <c r="DM34">
        <v>-11508.794281</v>
      </c>
      <c r="DN34">
        <f t="shared" si="13"/>
        <v>-248.046360999999</v>
      </c>
      <c r="DO34">
        <v>4</v>
      </c>
      <c r="DP34">
        <f>DN34/DO34</f>
        <v>-62.0115902499997</v>
      </c>
      <c r="DZ34">
        <v>150</v>
      </c>
      <c r="EA34">
        <v>4.09313315</v>
      </c>
      <c r="EB34">
        <v>4.2864897</v>
      </c>
      <c r="EC34">
        <v>5.04917231</v>
      </c>
      <c r="ED34">
        <v>4.131286</v>
      </c>
      <c r="EE34">
        <v>4.94610214</v>
      </c>
    </row>
    <row r="35" spans="23:135">
      <c r="W35">
        <v>16.467</v>
      </c>
      <c r="X35">
        <v>1.120223220187</v>
      </c>
      <c r="Y35">
        <v>16.467</v>
      </c>
      <c r="Z35">
        <v>1.1419292311584</v>
      </c>
      <c r="AA35">
        <v>16.467</v>
      </c>
      <c r="AB35">
        <v>1.12742281696903</v>
      </c>
      <c r="AC35">
        <v>16.467</v>
      </c>
      <c r="AD35">
        <v>1.11691464051271</v>
      </c>
      <c r="AE35">
        <v>16.467</v>
      </c>
      <c r="AF35">
        <v>1.0866865127719</v>
      </c>
      <c r="AJ35">
        <v>160</v>
      </c>
      <c r="AK35">
        <v>1.65899189</v>
      </c>
      <c r="AL35">
        <v>2.41919779</v>
      </c>
      <c r="AM35">
        <v>1.02881858</v>
      </c>
      <c r="AN35">
        <v>1.78710973</v>
      </c>
      <c r="AO35">
        <v>2.20894801</v>
      </c>
      <c r="AP35">
        <v>3.18183889</v>
      </c>
      <c r="AQ35">
        <v>1.48965713</v>
      </c>
      <c r="AR35">
        <v>2.13804888</v>
      </c>
      <c r="AS35">
        <v>1.56098093</v>
      </c>
      <c r="AT35">
        <v>2.22202134</v>
      </c>
      <c r="BN35">
        <v>1.89</v>
      </c>
      <c r="BO35">
        <v>9.83897705</v>
      </c>
      <c r="BP35">
        <v>1.89</v>
      </c>
      <c r="BQ35">
        <v>117.64475273</v>
      </c>
      <c r="BR35">
        <v>1.89</v>
      </c>
      <c r="BS35">
        <v>13.01926687</v>
      </c>
      <c r="BT35">
        <v>1.89</v>
      </c>
      <c r="BU35">
        <v>94.93104719</v>
      </c>
      <c r="BV35">
        <v>1.89</v>
      </c>
      <c r="BW35">
        <v>10.33590424</v>
      </c>
      <c r="BX35">
        <v>1.89</v>
      </c>
      <c r="BY35">
        <v>107.23844264</v>
      </c>
      <c r="BZ35">
        <v>1.89</v>
      </c>
      <c r="CA35">
        <v>11.03416074</v>
      </c>
      <c r="CB35">
        <v>1.89</v>
      </c>
      <c r="CC35">
        <v>80.81891018</v>
      </c>
      <c r="CD35">
        <v>1.89</v>
      </c>
      <c r="CE35">
        <v>14.5551373</v>
      </c>
      <c r="CF35">
        <v>1.89</v>
      </c>
      <c r="CG35">
        <v>106.42686072</v>
      </c>
      <c r="CK35">
        <v>1.89</v>
      </c>
      <c r="CL35">
        <v>0</v>
      </c>
      <c r="CM35">
        <v>0</v>
      </c>
      <c r="CN35">
        <v>24.23333546</v>
      </c>
      <c r="CO35">
        <v>18.59221532</v>
      </c>
      <c r="CP35">
        <v>1.13794347</v>
      </c>
      <c r="CR35">
        <v>1.89</v>
      </c>
      <c r="CS35">
        <v>0</v>
      </c>
      <c r="CT35">
        <v>0</v>
      </c>
      <c r="CU35">
        <v>0</v>
      </c>
      <c r="CV35">
        <v>0</v>
      </c>
      <c r="CW35">
        <v>0</v>
      </c>
      <c r="DJ35">
        <v>5</v>
      </c>
      <c r="DK35">
        <v>-13828.315643</v>
      </c>
      <c r="DL35">
        <v>498.348617</v>
      </c>
      <c r="DM35">
        <v>-14267.996176</v>
      </c>
      <c r="DN35">
        <f t="shared" si="13"/>
        <v>-58.668083999999</v>
      </c>
      <c r="DO35">
        <v>5</v>
      </c>
      <c r="DP35">
        <f>DN35/DO35</f>
        <v>-11.7336167999998</v>
      </c>
      <c r="DZ35">
        <v>155</v>
      </c>
      <c r="EA35">
        <v>4.09393298</v>
      </c>
      <c r="EB35">
        <v>4.2949615</v>
      </c>
      <c r="EC35">
        <v>5.02419122</v>
      </c>
      <c r="ED35">
        <v>4.13383838</v>
      </c>
      <c r="EE35">
        <v>4.93588464</v>
      </c>
    </row>
    <row r="36" spans="23:135">
      <c r="W36">
        <v>16.966</v>
      </c>
      <c r="X36">
        <v>1.11681059696207</v>
      </c>
      <c r="Y36">
        <v>16.966</v>
      </c>
      <c r="Z36">
        <v>1.13799729800745</v>
      </c>
      <c r="AA36">
        <v>16.966</v>
      </c>
      <c r="AB36">
        <v>1.12853625716729</v>
      </c>
      <c r="AC36">
        <v>16.966</v>
      </c>
      <c r="AD36">
        <v>1.11703920927755</v>
      </c>
      <c r="AE36">
        <v>16.966</v>
      </c>
      <c r="AF36">
        <v>1.0897105326877</v>
      </c>
      <c r="AJ36">
        <v>165</v>
      </c>
      <c r="AK36">
        <v>1.7190215</v>
      </c>
      <c r="AL36">
        <v>2.48752323</v>
      </c>
      <c r="AM36">
        <v>1.04878594</v>
      </c>
      <c r="AN36">
        <v>1.83143283</v>
      </c>
      <c r="AO36">
        <v>2.25119156</v>
      </c>
      <c r="AP36">
        <v>3.21932043</v>
      </c>
      <c r="AQ36">
        <v>1.53186535</v>
      </c>
      <c r="AR36">
        <v>2.17827442</v>
      </c>
      <c r="AS36">
        <v>1.60186679</v>
      </c>
      <c r="AT36">
        <v>2.27098278</v>
      </c>
      <c r="BN36">
        <v>1.95</v>
      </c>
      <c r="BO36">
        <v>10.63662872</v>
      </c>
      <c r="BP36">
        <v>1.95</v>
      </c>
      <c r="BQ36">
        <v>136.75709165</v>
      </c>
      <c r="BR36">
        <v>1.95</v>
      </c>
      <c r="BS36">
        <v>15.02600524</v>
      </c>
      <c r="BT36">
        <v>1.95</v>
      </c>
      <c r="BU36">
        <v>117.8555486</v>
      </c>
      <c r="BV36">
        <v>1.95</v>
      </c>
      <c r="BW36">
        <v>11.36239555</v>
      </c>
      <c r="BX36">
        <v>1.95</v>
      </c>
      <c r="BY36">
        <v>118.99849775</v>
      </c>
      <c r="BZ36">
        <v>1.95</v>
      </c>
      <c r="CA36">
        <v>14.26923257</v>
      </c>
      <c r="CB36">
        <v>1.95</v>
      </c>
      <c r="CC36">
        <v>80.2512454</v>
      </c>
      <c r="CD36">
        <v>1.95</v>
      </c>
      <c r="CE36">
        <v>15.55336297</v>
      </c>
      <c r="CF36">
        <v>1.95</v>
      </c>
      <c r="CG36">
        <v>115.44312751</v>
      </c>
      <c r="CK36">
        <v>1.95</v>
      </c>
      <c r="CL36">
        <v>0</v>
      </c>
      <c r="CM36">
        <v>0</v>
      </c>
      <c r="CN36">
        <v>15.44775452</v>
      </c>
      <c r="CO36">
        <v>7.48532998</v>
      </c>
      <c r="CP36">
        <v>2.13799792</v>
      </c>
      <c r="CR36">
        <v>1.95</v>
      </c>
      <c r="CS36">
        <v>0</v>
      </c>
      <c r="CT36">
        <v>0</v>
      </c>
      <c r="CU36">
        <v>0</v>
      </c>
      <c r="CV36">
        <v>0</v>
      </c>
      <c r="CW36">
        <v>0</v>
      </c>
      <c r="DZ36">
        <v>160</v>
      </c>
      <c r="EA36">
        <v>4.10414677</v>
      </c>
      <c r="EB36">
        <v>4.28998459</v>
      </c>
      <c r="EC36">
        <v>5.02720062</v>
      </c>
      <c r="ED36">
        <v>4.11137775</v>
      </c>
      <c r="EE36">
        <v>4.95277934</v>
      </c>
    </row>
    <row r="37" spans="23:135">
      <c r="W37">
        <v>17.465</v>
      </c>
      <c r="X37">
        <v>1.11991210549566</v>
      </c>
      <c r="Y37">
        <v>17.465</v>
      </c>
      <c r="Z37">
        <v>1.13739903142812</v>
      </c>
      <c r="AA37">
        <v>17.465</v>
      </c>
      <c r="AB37">
        <v>1.13013129249047</v>
      </c>
      <c r="AC37">
        <v>17.465</v>
      </c>
      <c r="AD37">
        <v>1.12325936359254</v>
      </c>
      <c r="AE37">
        <v>17.465</v>
      </c>
      <c r="AF37">
        <v>1.09659731251163</v>
      </c>
      <c r="AJ37">
        <v>170</v>
      </c>
      <c r="AK37">
        <v>1.79762243</v>
      </c>
      <c r="AL37">
        <v>2.57197849</v>
      </c>
      <c r="AM37">
        <v>1.05354388</v>
      </c>
      <c r="AN37">
        <v>1.8526475</v>
      </c>
      <c r="AO37">
        <v>2.30990504</v>
      </c>
      <c r="AP37">
        <v>3.31401381</v>
      </c>
      <c r="AQ37">
        <v>1.5617344</v>
      </c>
      <c r="AR37">
        <v>2.20386036</v>
      </c>
      <c r="AS37">
        <v>1.62193239</v>
      </c>
      <c r="AT37">
        <v>2.31948189</v>
      </c>
      <c r="BN37">
        <v>2.01</v>
      </c>
      <c r="BO37">
        <v>10.26428553</v>
      </c>
      <c r="BP37">
        <v>2.01</v>
      </c>
      <c r="BQ37">
        <v>103.43684154</v>
      </c>
      <c r="BR37">
        <v>2.01</v>
      </c>
      <c r="BS37">
        <v>13.39063041</v>
      </c>
      <c r="BT37">
        <v>2.01</v>
      </c>
      <c r="BU37">
        <v>70.58859072</v>
      </c>
      <c r="BV37">
        <v>2.01</v>
      </c>
      <c r="BW37">
        <v>8.91994989</v>
      </c>
      <c r="BX37">
        <v>2.01</v>
      </c>
      <c r="BY37">
        <v>82.84980705</v>
      </c>
      <c r="BZ37">
        <v>2.01</v>
      </c>
      <c r="CA37">
        <v>12.68537688</v>
      </c>
      <c r="CB37">
        <v>2.01</v>
      </c>
      <c r="CC37">
        <v>73.65152157</v>
      </c>
      <c r="CD37">
        <v>2.01</v>
      </c>
      <c r="CE37">
        <v>14.66554186</v>
      </c>
      <c r="CF37">
        <v>2.01</v>
      </c>
      <c r="CG37">
        <v>82.59086233</v>
      </c>
      <c r="CK37">
        <v>2.01</v>
      </c>
      <c r="CL37">
        <v>0</v>
      </c>
      <c r="CM37">
        <v>0</v>
      </c>
      <c r="CN37">
        <v>16.06978906</v>
      </c>
      <c r="CO37">
        <v>7.04514723</v>
      </c>
      <c r="CP37">
        <v>2.01227069</v>
      </c>
      <c r="CR37">
        <v>2.01</v>
      </c>
      <c r="CS37">
        <v>0</v>
      </c>
      <c r="CT37">
        <v>0</v>
      </c>
      <c r="CU37">
        <v>0</v>
      </c>
      <c r="CV37">
        <v>0</v>
      </c>
      <c r="CW37">
        <v>0</v>
      </c>
      <c r="DZ37">
        <v>165</v>
      </c>
      <c r="EA37">
        <v>4.09982308</v>
      </c>
      <c r="EB37">
        <v>4.29554473</v>
      </c>
      <c r="EC37">
        <v>5.04390748</v>
      </c>
      <c r="ED37">
        <v>4.10809427</v>
      </c>
      <c r="EE37">
        <v>4.96207154</v>
      </c>
    </row>
    <row r="38" spans="23:135">
      <c r="W38">
        <v>17.964</v>
      </c>
      <c r="X38">
        <v>1.12815427519328</v>
      </c>
      <c r="Y38">
        <v>17.964</v>
      </c>
      <c r="Z38">
        <v>1.13977537317347</v>
      </c>
      <c r="AA38">
        <v>17.964</v>
      </c>
      <c r="AB38">
        <v>1.13691899187973</v>
      </c>
      <c r="AC38">
        <v>17.964</v>
      </c>
      <c r="AD38">
        <v>1.12891561888408</v>
      </c>
      <c r="AE38">
        <v>17.964</v>
      </c>
      <c r="AF38">
        <v>1.10523116905621</v>
      </c>
      <c r="AJ38">
        <v>175</v>
      </c>
      <c r="AK38">
        <v>1.82569726</v>
      </c>
      <c r="AL38">
        <v>2.6622854</v>
      </c>
      <c r="AM38">
        <v>1.04391368</v>
      </c>
      <c r="AN38">
        <v>1.87452683</v>
      </c>
      <c r="AO38">
        <v>2.36177006</v>
      </c>
      <c r="AP38">
        <v>3.38727312</v>
      </c>
      <c r="AQ38">
        <v>1.58430844</v>
      </c>
      <c r="AR38">
        <v>2.25615784</v>
      </c>
      <c r="AS38">
        <v>1.65522829</v>
      </c>
      <c r="AT38">
        <v>2.35890852</v>
      </c>
      <c r="BN38">
        <v>2.07</v>
      </c>
      <c r="BO38">
        <v>8.59295066</v>
      </c>
      <c r="BP38">
        <v>2.07</v>
      </c>
      <c r="BQ38">
        <v>64.92722853</v>
      </c>
      <c r="BR38">
        <v>2.07</v>
      </c>
      <c r="BS38">
        <v>10.03408177</v>
      </c>
      <c r="BT38">
        <v>2.07</v>
      </c>
      <c r="BU38">
        <v>48.09935664</v>
      </c>
      <c r="BV38">
        <v>2.07</v>
      </c>
      <c r="BW38">
        <v>7.05830357</v>
      </c>
      <c r="BX38">
        <v>2.07</v>
      </c>
      <c r="BY38">
        <v>49.76333184</v>
      </c>
      <c r="BZ38">
        <v>2.07</v>
      </c>
      <c r="CA38">
        <v>11.4223526</v>
      </c>
      <c r="CB38">
        <v>2.07</v>
      </c>
      <c r="CC38">
        <v>47.57655627</v>
      </c>
      <c r="CD38">
        <v>2.07</v>
      </c>
      <c r="CE38">
        <v>10.94591194</v>
      </c>
      <c r="CF38">
        <v>2.07</v>
      </c>
      <c r="CG38">
        <v>54.57472436</v>
      </c>
      <c r="CK38">
        <v>2.07</v>
      </c>
      <c r="CL38">
        <v>0</v>
      </c>
      <c r="CM38">
        <v>0</v>
      </c>
      <c r="CN38">
        <v>3.60756489</v>
      </c>
      <c r="CO38">
        <v>4.98201009</v>
      </c>
      <c r="CP38">
        <v>1.897316</v>
      </c>
      <c r="CR38">
        <v>2.07</v>
      </c>
      <c r="CS38">
        <v>0</v>
      </c>
      <c r="CT38">
        <v>0</v>
      </c>
      <c r="CU38">
        <v>0</v>
      </c>
      <c r="CV38">
        <v>0</v>
      </c>
      <c r="CW38">
        <v>0</v>
      </c>
      <c r="DZ38">
        <v>170</v>
      </c>
      <c r="EA38">
        <v>4.10071133</v>
      </c>
      <c r="EB38">
        <v>4.2930681</v>
      </c>
      <c r="EC38">
        <v>5.03693537</v>
      </c>
      <c r="ED38">
        <v>4.1034962</v>
      </c>
      <c r="EE38">
        <v>4.94461308</v>
      </c>
    </row>
    <row r="39" spans="23:135">
      <c r="W39">
        <v>18.463</v>
      </c>
      <c r="X39">
        <v>1.13284974836106</v>
      </c>
      <c r="Y39">
        <v>18.463</v>
      </c>
      <c r="Z39">
        <v>1.14435780599253</v>
      </c>
      <c r="AA39">
        <v>18.463</v>
      </c>
      <c r="AB39">
        <v>1.12493094988674</v>
      </c>
      <c r="AC39">
        <v>18.463</v>
      </c>
      <c r="AD39">
        <v>1.13674975755741</v>
      </c>
      <c r="AE39">
        <v>18.463</v>
      </c>
      <c r="AF39">
        <v>1.1075162358103</v>
      </c>
      <c r="AJ39">
        <v>180</v>
      </c>
      <c r="AK39">
        <v>1.87467573</v>
      </c>
      <c r="AL39">
        <v>2.69763847</v>
      </c>
      <c r="AM39">
        <v>1.06435991</v>
      </c>
      <c r="AN39">
        <v>1.9083835</v>
      </c>
      <c r="AO39">
        <v>2.41429989</v>
      </c>
      <c r="AP39">
        <v>3.43993155</v>
      </c>
      <c r="AQ39">
        <v>1.60365603</v>
      </c>
      <c r="AR39">
        <v>2.28089942</v>
      </c>
      <c r="AS39">
        <v>1.67076005</v>
      </c>
      <c r="AT39">
        <v>2.39075421</v>
      </c>
      <c r="BN39">
        <v>2.13</v>
      </c>
      <c r="BO39">
        <v>7.35740653</v>
      </c>
      <c r="BP39">
        <v>2.13</v>
      </c>
      <c r="BQ39">
        <v>37.77587631</v>
      </c>
      <c r="BR39">
        <v>2.13</v>
      </c>
      <c r="BS39">
        <v>7.11281517</v>
      </c>
      <c r="BT39">
        <v>2.13</v>
      </c>
      <c r="BU39">
        <v>28.26036528</v>
      </c>
      <c r="BV39">
        <v>2.13</v>
      </c>
      <c r="BW39">
        <v>5.58409111</v>
      </c>
      <c r="BX39">
        <v>2.13</v>
      </c>
      <c r="BY39">
        <v>30.87753479</v>
      </c>
      <c r="BZ39">
        <v>2.13</v>
      </c>
      <c r="CA39">
        <v>8.22359764</v>
      </c>
      <c r="CB39">
        <v>2.13</v>
      </c>
      <c r="CC39">
        <v>25.95573005</v>
      </c>
      <c r="CD39">
        <v>2.13</v>
      </c>
      <c r="CE39">
        <v>8.64282654</v>
      </c>
      <c r="CF39">
        <v>2.13</v>
      </c>
      <c r="CG39">
        <v>30.14245445</v>
      </c>
      <c r="CK39">
        <v>2.13</v>
      </c>
      <c r="CL39">
        <v>0</v>
      </c>
      <c r="CM39">
        <v>0</v>
      </c>
      <c r="CN39">
        <v>0.68143953</v>
      </c>
      <c r="CO39">
        <v>2.61405831</v>
      </c>
      <c r="CP39">
        <v>1.34395307</v>
      </c>
      <c r="CR39">
        <v>2.13</v>
      </c>
      <c r="CS39">
        <v>0</v>
      </c>
      <c r="CT39">
        <v>0</v>
      </c>
      <c r="CU39">
        <v>0</v>
      </c>
      <c r="CV39">
        <v>0</v>
      </c>
      <c r="CW39">
        <v>0</v>
      </c>
      <c r="DZ39">
        <v>175</v>
      </c>
      <c r="EA39">
        <v>4.1035559</v>
      </c>
      <c r="EB39">
        <v>4.28713452</v>
      </c>
      <c r="EC39">
        <v>5.05288429</v>
      </c>
      <c r="ED39">
        <v>4.11137161</v>
      </c>
      <c r="EE39">
        <v>4.95848415</v>
      </c>
    </row>
    <row r="40" spans="23:135">
      <c r="W40">
        <v>18.962</v>
      </c>
      <c r="X40">
        <v>1.13125080091596</v>
      </c>
      <c r="Y40">
        <v>18.962</v>
      </c>
      <c r="Z40">
        <v>1.14959445501863</v>
      </c>
      <c r="AA40">
        <v>18.962</v>
      </c>
      <c r="AB40">
        <v>1.12837456101938</v>
      </c>
      <c r="AC40">
        <v>18.962</v>
      </c>
      <c r="AD40">
        <v>1.11638396094349</v>
      </c>
      <c r="AE40">
        <v>18.962</v>
      </c>
      <c r="AF40">
        <v>1.09715319920418</v>
      </c>
      <c r="AJ40">
        <v>185</v>
      </c>
      <c r="AK40">
        <v>1.90881342</v>
      </c>
      <c r="AL40">
        <v>2.76113959</v>
      </c>
      <c r="AM40">
        <v>1.04803174</v>
      </c>
      <c r="AN40">
        <v>1.93070362</v>
      </c>
      <c r="AO40">
        <v>2.49128323</v>
      </c>
      <c r="AP40">
        <v>3.53869061</v>
      </c>
      <c r="AQ40">
        <v>1.64103855</v>
      </c>
      <c r="AR40">
        <v>2.32113779</v>
      </c>
      <c r="AS40">
        <v>1.70220845</v>
      </c>
      <c r="AT40">
        <v>2.46763286</v>
      </c>
      <c r="BN40">
        <v>2.19</v>
      </c>
      <c r="BO40">
        <v>4.7303433</v>
      </c>
      <c r="BP40">
        <v>2.19</v>
      </c>
      <c r="BQ40">
        <v>24.72040575</v>
      </c>
      <c r="BR40">
        <v>2.19</v>
      </c>
      <c r="BS40">
        <v>4.63074635</v>
      </c>
      <c r="BT40">
        <v>2.19</v>
      </c>
      <c r="BU40">
        <v>15.49024233</v>
      </c>
      <c r="BV40">
        <v>2.19</v>
      </c>
      <c r="BW40">
        <v>3.7467646</v>
      </c>
      <c r="BX40">
        <v>2.19</v>
      </c>
      <c r="BY40">
        <v>16.54309178</v>
      </c>
      <c r="BZ40">
        <v>2.19</v>
      </c>
      <c r="CA40">
        <v>6.48265838</v>
      </c>
      <c r="CB40">
        <v>2.19</v>
      </c>
      <c r="CC40">
        <v>15.04865497</v>
      </c>
      <c r="CD40">
        <v>2.19</v>
      </c>
      <c r="CE40">
        <v>6.48188994</v>
      </c>
      <c r="CF40">
        <v>2.19</v>
      </c>
      <c r="CG40">
        <v>16.25271793</v>
      </c>
      <c r="CK40">
        <v>2.19</v>
      </c>
      <c r="CL40">
        <v>0</v>
      </c>
      <c r="CM40">
        <v>0</v>
      </c>
      <c r="CN40">
        <v>1.28922834</v>
      </c>
      <c r="CO40">
        <v>0.98911728</v>
      </c>
      <c r="CP40">
        <v>0</v>
      </c>
      <c r="CR40">
        <v>2.19</v>
      </c>
      <c r="CS40">
        <v>0</v>
      </c>
      <c r="CT40">
        <v>0</v>
      </c>
      <c r="CU40">
        <v>0</v>
      </c>
      <c r="CV40">
        <v>0</v>
      </c>
      <c r="CW40">
        <v>0</v>
      </c>
      <c r="DZ40">
        <v>180</v>
      </c>
      <c r="EA40">
        <v>4.09508808</v>
      </c>
      <c r="EB40">
        <v>4.2948833</v>
      </c>
      <c r="EC40">
        <v>5.06686276</v>
      </c>
      <c r="ED40">
        <v>4.1039121</v>
      </c>
      <c r="EE40">
        <v>4.94554591</v>
      </c>
    </row>
    <row r="41" spans="23:135">
      <c r="W41">
        <v>19.461</v>
      </c>
      <c r="X41">
        <v>1.1347756307804</v>
      </c>
      <c r="Y41">
        <v>19.461</v>
      </c>
      <c r="Z41">
        <v>1.13499769238787</v>
      </c>
      <c r="AA41">
        <v>19.461</v>
      </c>
      <c r="AB41">
        <v>1.13716007117592</v>
      </c>
      <c r="AC41">
        <v>19.461</v>
      </c>
      <c r="AD41">
        <v>1.1266439978687</v>
      </c>
      <c r="AE41">
        <v>19.461</v>
      </c>
      <c r="AF41">
        <v>1.09308119868892</v>
      </c>
      <c r="AJ41">
        <v>190</v>
      </c>
      <c r="AK41">
        <v>1.96362288</v>
      </c>
      <c r="AL41">
        <v>2.83886731</v>
      </c>
      <c r="AM41">
        <v>1.07778455</v>
      </c>
      <c r="AN41">
        <v>1.97885765</v>
      </c>
      <c r="AO41">
        <v>2.5450445</v>
      </c>
      <c r="AP41">
        <v>3.5965541</v>
      </c>
      <c r="AQ41">
        <v>1.64888538</v>
      </c>
      <c r="AR41">
        <v>2.34952828</v>
      </c>
      <c r="AS41">
        <v>1.71161575</v>
      </c>
      <c r="AT41">
        <v>2.44229424</v>
      </c>
      <c r="BN41">
        <v>2.25</v>
      </c>
      <c r="BO41">
        <v>3.52637656</v>
      </c>
      <c r="BP41">
        <v>2.25</v>
      </c>
      <c r="BQ41">
        <v>8.57947213</v>
      </c>
      <c r="BR41">
        <v>2.25</v>
      </c>
      <c r="BS41">
        <v>3.74964156</v>
      </c>
      <c r="BT41">
        <v>2.25</v>
      </c>
      <c r="BU41">
        <v>12.78159067</v>
      </c>
      <c r="BV41">
        <v>2.25</v>
      </c>
      <c r="BW41">
        <v>2.6573607</v>
      </c>
      <c r="BX41">
        <v>2.25</v>
      </c>
      <c r="BY41">
        <v>9.55049618</v>
      </c>
      <c r="BZ41">
        <v>2.25</v>
      </c>
      <c r="CA41">
        <v>4.65568863</v>
      </c>
      <c r="CB41">
        <v>2.25</v>
      </c>
      <c r="CC41">
        <v>8.00382216</v>
      </c>
      <c r="CD41">
        <v>2.25</v>
      </c>
      <c r="CE41">
        <v>4.15093668</v>
      </c>
      <c r="CF41">
        <v>2.25</v>
      </c>
      <c r="CG41">
        <v>8.91435048</v>
      </c>
      <c r="CK41">
        <v>2.25</v>
      </c>
      <c r="CL41">
        <v>0</v>
      </c>
      <c r="CM41">
        <v>0</v>
      </c>
      <c r="CN41">
        <v>0.61069515</v>
      </c>
      <c r="CO41">
        <v>0.46853541</v>
      </c>
      <c r="CP41">
        <v>0.80295276</v>
      </c>
      <c r="CR41">
        <v>2.25</v>
      </c>
      <c r="CS41">
        <v>0</v>
      </c>
      <c r="CT41">
        <v>0</v>
      </c>
      <c r="CU41">
        <v>0</v>
      </c>
      <c r="CV41">
        <v>0</v>
      </c>
      <c r="CW41">
        <v>0</v>
      </c>
      <c r="DZ41">
        <v>185</v>
      </c>
      <c r="EA41">
        <v>4.09916945</v>
      </c>
      <c r="EB41">
        <v>4.29685143</v>
      </c>
      <c r="EC41">
        <v>5.0491556</v>
      </c>
      <c r="ED41">
        <v>4.08240752</v>
      </c>
      <c r="EE41">
        <v>4.95193797</v>
      </c>
    </row>
    <row r="42" spans="23:135">
      <c r="W42">
        <v>19.96</v>
      </c>
      <c r="X42">
        <v>1.13974938948822</v>
      </c>
      <c r="Y42">
        <v>19.96</v>
      </c>
      <c r="Z42">
        <v>1.14186790581902</v>
      </c>
      <c r="AA42">
        <v>19.96</v>
      </c>
      <c r="AB42">
        <v>1.13307892988115</v>
      </c>
      <c r="AC42">
        <v>19.96</v>
      </c>
      <c r="AD42">
        <v>1.1221966447968</v>
      </c>
      <c r="AE42">
        <v>19.96</v>
      </c>
      <c r="AF42">
        <v>1.10140658275485</v>
      </c>
      <c r="AJ42">
        <v>195</v>
      </c>
      <c r="AK42">
        <v>1.99084566</v>
      </c>
      <c r="AL42">
        <v>2.86719037</v>
      </c>
      <c r="AM42">
        <v>1.07010494</v>
      </c>
      <c r="AN42">
        <v>1.99693527</v>
      </c>
      <c r="AO42">
        <v>2.58688498</v>
      </c>
      <c r="AP42">
        <v>3.65978847</v>
      </c>
      <c r="AQ42">
        <v>1.7048446</v>
      </c>
      <c r="AR42">
        <v>2.3848468</v>
      </c>
      <c r="AS42">
        <v>1.77923414</v>
      </c>
      <c r="AT42">
        <v>2.51841055</v>
      </c>
      <c r="BN42">
        <v>2.31</v>
      </c>
      <c r="BO42">
        <v>3.03192952</v>
      </c>
      <c r="BP42">
        <v>2.31</v>
      </c>
      <c r="BQ42">
        <v>4.17979364</v>
      </c>
      <c r="BR42">
        <v>2.31</v>
      </c>
      <c r="BS42">
        <v>2.88149035</v>
      </c>
      <c r="BT42">
        <v>2.31</v>
      </c>
      <c r="BU42">
        <v>3.81753004</v>
      </c>
      <c r="BV42">
        <v>2.31</v>
      </c>
      <c r="BW42">
        <v>2.0610587</v>
      </c>
      <c r="BX42">
        <v>2.31</v>
      </c>
      <c r="BY42">
        <v>6.04055819</v>
      </c>
      <c r="BZ42">
        <v>2.31</v>
      </c>
      <c r="CA42">
        <v>3.74034393</v>
      </c>
      <c r="CB42">
        <v>2.31</v>
      </c>
      <c r="CC42">
        <v>4.2713224</v>
      </c>
      <c r="CD42">
        <v>2.31</v>
      </c>
      <c r="CE42">
        <v>3.61332293</v>
      </c>
      <c r="CF42">
        <v>2.31</v>
      </c>
      <c r="CG42">
        <v>5.3819227</v>
      </c>
      <c r="CK42">
        <v>2.31</v>
      </c>
      <c r="CL42">
        <v>0</v>
      </c>
      <c r="CM42">
        <v>0</v>
      </c>
      <c r="CN42">
        <v>0</v>
      </c>
      <c r="CO42">
        <v>0</v>
      </c>
      <c r="CP42">
        <v>0</v>
      </c>
      <c r="CR42">
        <v>2.31</v>
      </c>
      <c r="CS42">
        <v>0</v>
      </c>
      <c r="CT42">
        <v>0</v>
      </c>
      <c r="CU42">
        <v>0</v>
      </c>
      <c r="CV42">
        <v>0.29661961</v>
      </c>
      <c r="CW42">
        <v>0.25628203</v>
      </c>
      <c r="DZ42">
        <v>190</v>
      </c>
      <c r="EA42">
        <v>4.08635881</v>
      </c>
      <c r="EB42">
        <v>4.30309627</v>
      </c>
      <c r="EC42">
        <v>5.03705962</v>
      </c>
      <c r="ED42">
        <v>4.09845449</v>
      </c>
      <c r="EE42">
        <v>4.95129652</v>
      </c>
    </row>
    <row r="43" spans="23:135">
      <c r="W43">
        <v>20.459</v>
      </c>
      <c r="X43">
        <v>1.13653096789553</v>
      </c>
      <c r="Y43">
        <v>20.459</v>
      </c>
      <c r="Z43">
        <v>1.13788455939341</v>
      </c>
      <c r="AA43">
        <v>20.459</v>
      </c>
      <c r="AB43">
        <v>1.13575102049068</v>
      </c>
      <c r="AC43">
        <v>20.459</v>
      </c>
      <c r="AD43">
        <v>1.11881184110554</v>
      </c>
      <c r="AE43">
        <v>20.459</v>
      </c>
      <c r="AF43">
        <v>1.11059045385022</v>
      </c>
      <c r="AJ43">
        <v>200</v>
      </c>
      <c r="AK43">
        <v>2.05452943</v>
      </c>
      <c r="AL43">
        <v>2.96501012</v>
      </c>
      <c r="AM43">
        <v>1.13900249</v>
      </c>
      <c r="AN43">
        <v>2.1033189</v>
      </c>
      <c r="AO43">
        <v>2.63110672</v>
      </c>
      <c r="AP43">
        <v>3.68167399</v>
      </c>
      <c r="AQ43">
        <v>1.72330507</v>
      </c>
      <c r="AR43">
        <v>2.39684668</v>
      </c>
      <c r="AS43">
        <v>1.77399093</v>
      </c>
      <c r="AT43">
        <v>2.5438603</v>
      </c>
      <c r="BN43">
        <v>2.37</v>
      </c>
      <c r="BO43">
        <v>1.80436685</v>
      </c>
      <c r="BP43">
        <v>2.37</v>
      </c>
      <c r="BQ43">
        <v>2.92588844</v>
      </c>
      <c r="BR43">
        <v>2.37</v>
      </c>
      <c r="BS43">
        <v>1.92635132</v>
      </c>
      <c r="BT43">
        <v>2.37</v>
      </c>
      <c r="BU43">
        <v>1.92001464</v>
      </c>
      <c r="BV43">
        <v>2.37</v>
      </c>
      <c r="BW43">
        <v>1.57341518</v>
      </c>
      <c r="BX43">
        <v>2.37</v>
      </c>
      <c r="BY43">
        <v>2.20715185</v>
      </c>
      <c r="BZ43">
        <v>2.37</v>
      </c>
      <c r="CA43">
        <v>2.99982715</v>
      </c>
      <c r="CB43">
        <v>2.37</v>
      </c>
      <c r="CC43">
        <v>3.15606815</v>
      </c>
      <c r="CD43">
        <v>2.37</v>
      </c>
      <c r="CE43">
        <v>1.92848055</v>
      </c>
      <c r="CF43">
        <v>2.37</v>
      </c>
      <c r="CG43">
        <v>2.43470669</v>
      </c>
      <c r="CK43">
        <v>2.37</v>
      </c>
      <c r="CL43">
        <v>0</v>
      </c>
      <c r="CM43">
        <v>0</v>
      </c>
      <c r="CN43">
        <v>0</v>
      </c>
      <c r="CO43">
        <v>0</v>
      </c>
      <c r="CP43">
        <v>0</v>
      </c>
      <c r="CR43">
        <v>2.37</v>
      </c>
      <c r="CS43">
        <v>0</v>
      </c>
      <c r="CT43">
        <v>0</v>
      </c>
      <c r="CU43">
        <v>2.20715185</v>
      </c>
      <c r="CV43">
        <v>3.38150159</v>
      </c>
      <c r="CW43">
        <v>0.24347067</v>
      </c>
      <c r="DZ43">
        <v>195</v>
      </c>
      <c r="EA43">
        <v>4.07947873</v>
      </c>
      <c r="EB43">
        <v>4.32306718</v>
      </c>
      <c r="EC43">
        <v>5.04150127</v>
      </c>
      <c r="ED43">
        <v>4.09617171</v>
      </c>
      <c r="EE43">
        <v>4.96121856</v>
      </c>
    </row>
    <row r="44" spans="23:135">
      <c r="W44">
        <v>20.958</v>
      </c>
      <c r="X44">
        <v>1.12600668492426</v>
      </c>
      <c r="Y44">
        <v>20.958</v>
      </c>
      <c r="Z44">
        <v>1.1409905948399</v>
      </c>
      <c r="AA44">
        <v>20.958</v>
      </c>
      <c r="AB44">
        <v>1.14562251073575</v>
      </c>
      <c r="AC44">
        <v>20.958</v>
      </c>
      <c r="AD44">
        <v>1.11541073302429</v>
      </c>
      <c r="AE44">
        <v>20.958</v>
      </c>
      <c r="AF44">
        <v>1.10753329055124</v>
      </c>
      <c r="AJ44">
        <v>205</v>
      </c>
      <c r="AK44">
        <v>2.11587193</v>
      </c>
      <c r="AL44">
        <v>3.03363701</v>
      </c>
      <c r="AM44">
        <v>1.11305032</v>
      </c>
      <c r="AN44">
        <v>2.13276399</v>
      </c>
      <c r="AO44">
        <v>2.67318048</v>
      </c>
      <c r="AP44">
        <v>3.76787302</v>
      </c>
      <c r="AQ44">
        <v>1.75152757</v>
      </c>
      <c r="AR44">
        <v>2.41752755</v>
      </c>
      <c r="AS44">
        <v>1.82156557</v>
      </c>
      <c r="AT44">
        <v>2.57838896</v>
      </c>
      <c r="BN44">
        <v>2.43</v>
      </c>
      <c r="BO44">
        <v>1.81084575</v>
      </c>
      <c r="BP44">
        <v>2.43</v>
      </c>
      <c r="BQ44">
        <v>1.9879937</v>
      </c>
      <c r="BR44">
        <v>2.43</v>
      </c>
      <c r="BS44">
        <v>1.73595984</v>
      </c>
      <c r="BT44">
        <v>2.43</v>
      </c>
      <c r="BU44">
        <v>2.2322354</v>
      </c>
      <c r="BV44">
        <v>2.43</v>
      </c>
      <c r="BW44">
        <v>1.29712164</v>
      </c>
      <c r="BX44">
        <v>2.43</v>
      </c>
      <c r="BY44">
        <v>1.46965545</v>
      </c>
      <c r="BZ44">
        <v>2.43</v>
      </c>
      <c r="CA44">
        <v>2.08918711</v>
      </c>
      <c r="CB44">
        <v>2.43</v>
      </c>
      <c r="CC44">
        <v>1.0721946</v>
      </c>
      <c r="CD44">
        <v>2.43</v>
      </c>
      <c r="CE44">
        <v>1.68767325</v>
      </c>
      <c r="CF44">
        <v>2.43</v>
      </c>
      <c r="CG44">
        <v>1.85277172</v>
      </c>
      <c r="CK44">
        <v>2.43</v>
      </c>
      <c r="CL44">
        <v>0</v>
      </c>
      <c r="CM44">
        <v>0</v>
      </c>
      <c r="CN44">
        <v>0.52357709</v>
      </c>
      <c r="CO44">
        <v>0</v>
      </c>
      <c r="CP44">
        <v>0</v>
      </c>
      <c r="CR44">
        <v>2.43</v>
      </c>
      <c r="CS44">
        <v>0</v>
      </c>
      <c r="CT44">
        <v>0</v>
      </c>
      <c r="CU44">
        <v>2.09950778</v>
      </c>
      <c r="CV44">
        <v>8.04145952</v>
      </c>
      <c r="CW44">
        <v>1.62117525</v>
      </c>
      <c r="DZ44">
        <v>200</v>
      </c>
      <c r="EA44">
        <v>4.07631539</v>
      </c>
      <c r="EB44">
        <v>4.30952017</v>
      </c>
      <c r="EC44">
        <v>5.05142032</v>
      </c>
      <c r="ED44">
        <v>4.10025532</v>
      </c>
      <c r="EE44">
        <v>4.95320847</v>
      </c>
    </row>
    <row r="45" spans="23:135">
      <c r="W45">
        <v>21.457</v>
      </c>
      <c r="X45">
        <v>1.12875767722079</v>
      </c>
      <c r="Y45">
        <v>21.457</v>
      </c>
      <c r="Z45">
        <v>1.14035836846671</v>
      </c>
      <c r="AA45">
        <v>21.457</v>
      </c>
      <c r="AB45">
        <v>1.14339036859682</v>
      </c>
      <c r="AC45">
        <v>21.457</v>
      </c>
      <c r="AD45">
        <v>1.12437435314675</v>
      </c>
      <c r="AE45">
        <v>21.457</v>
      </c>
      <c r="AF45">
        <v>1.10693581600562</v>
      </c>
      <c r="AJ45">
        <v>210</v>
      </c>
      <c r="AK45">
        <v>2.18694208</v>
      </c>
      <c r="AL45">
        <v>3.08536835</v>
      </c>
      <c r="AM45">
        <v>1.12594545</v>
      </c>
      <c r="AN45">
        <v>2.15928259</v>
      </c>
      <c r="AO45">
        <v>2.71604992</v>
      </c>
      <c r="AP45">
        <v>3.82089866</v>
      </c>
      <c r="AQ45">
        <v>1.77020494</v>
      </c>
      <c r="AR45">
        <v>2.49808261</v>
      </c>
      <c r="AS45">
        <v>1.8686957</v>
      </c>
      <c r="AT45">
        <v>2.64427491</v>
      </c>
      <c r="BN45">
        <v>2.49</v>
      </c>
      <c r="BO45">
        <v>0.85481744</v>
      </c>
      <c r="BP45">
        <v>2.49</v>
      </c>
      <c r="BQ45">
        <v>0.37866913</v>
      </c>
      <c r="BR45">
        <v>2.49</v>
      </c>
      <c r="BS45">
        <v>1.33183393</v>
      </c>
      <c r="BT45">
        <v>2.49</v>
      </c>
      <c r="BU45">
        <v>1.35288303</v>
      </c>
      <c r="BV45">
        <v>2.49</v>
      </c>
      <c r="BW45">
        <v>0.74438714</v>
      </c>
      <c r="BX45">
        <v>2.49</v>
      </c>
      <c r="BY45">
        <v>1.99955057</v>
      </c>
      <c r="BZ45">
        <v>2.49</v>
      </c>
      <c r="CA45">
        <v>1.32648084</v>
      </c>
      <c r="CB45">
        <v>2.49</v>
      </c>
      <c r="CC45">
        <v>3.0634428</v>
      </c>
      <c r="CD45">
        <v>2.49</v>
      </c>
      <c r="CE45">
        <v>1.45008525</v>
      </c>
      <c r="CF45">
        <v>2.49</v>
      </c>
      <c r="CG45">
        <v>1.54399137</v>
      </c>
      <c r="CK45">
        <v>2.49</v>
      </c>
      <c r="CL45">
        <v>0</v>
      </c>
      <c r="CM45">
        <v>0</v>
      </c>
      <c r="CN45">
        <v>0.99729934</v>
      </c>
      <c r="CO45">
        <v>0</v>
      </c>
      <c r="CP45">
        <v>0</v>
      </c>
      <c r="CR45">
        <v>2.49</v>
      </c>
      <c r="CS45">
        <v>0</v>
      </c>
      <c r="CT45">
        <v>0</v>
      </c>
      <c r="CU45">
        <v>9.99775285</v>
      </c>
      <c r="CV45">
        <v>17.35950917</v>
      </c>
      <c r="CW45">
        <v>2.42627216</v>
      </c>
      <c r="DZ45">
        <v>205</v>
      </c>
      <c r="EA45">
        <v>4.06573854</v>
      </c>
      <c r="EB45">
        <v>4.29127416</v>
      </c>
      <c r="EC45">
        <v>5.03979613</v>
      </c>
      <c r="ED45">
        <v>4.09398647</v>
      </c>
      <c r="EE45">
        <v>4.95730148</v>
      </c>
    </row>
    <row r="46" spans="23:135">
      <c r="W46">
        <v>21.956</v>
      </c>
      <c r="X46">
        <v>1.14188411995855</v>
      </c>
      <c r="Y46">
        <v>21.956</v>
      </c>
      <c r="Z46">
        <v>1.13787539134438</v>
      </c>
      <c r="AA46">
        <v>21.956</v>
      </c>
      <c r="AB46">
        <v>1.14534081678549</v>
      </c>
      <c r="AC46">
        <v>21.956</v>
      </c>
      <c r="AD46">
        <v>1.13443058164118</v>
      </c>
      <c r="AE46">
        <v>21.956</v>
      </c>
      <c r="AF46">
        <v>1.10798553306977</v>
      </c>
      <c r="AJ46">
        <v>215</v>
      </c>
      <c r="AK46">
        <v>2.25790897</v>
      </c>
      <c r="AL46">
        <v>3.20603956</v>
      </c>
      <c r="AM46">
        <v>1.13771332</v>
      </c>
      <c r="AN46">
        <v>2.21151223</v>
      </c>
      <c r="AO46">
        <v>2.77285544</v>
      </c>
      <c r="AP46">
        <v>3.8241188</v>
      </c>
      <c r="AQ46">
        <v>1.81128882</v>
      </c>
      <c r="AR46">
        <v>2.52327631</v>
      </c>
      <c r="AS46">
        <v>1.8708973</v>
      </c>
      <c r="AT46">
        <v>2.69082844</v>
      </c>
      <c r="BN46">
        <v>2.55</v>
      </c>
      <c r="BO46">
        <v>0.94376044</v>
      </c>
      <c r="BP46">
        <v>2.55</v>
      </c>
      <c r="BQ46">
        <v>1.08317959</v>
      </c>
      <c r="BR46">
        <v>2.55</v>
      </c>
      <c r="BS46">
        <v>1.05095139</v>
      </c>
      <c r="BT46">
        <v>2.55</v>
      </c>
      <c r="BU46">
        <v>0.18428141</v>
      </c>
      <c r="BV46">
        <v>2.55</v>
      </c>
      <c r="BW46">
        <v>0.5738573</v>
      </c>
      <c r="BX46">
        <v>2.55</v>
      </c>
      <c r="BY46">
        <v>0.19065654</v>
      </c>
      <c r="BZ46">
        <v>2.55</v>
      </c>
      <c r="CA46">
        <v>1.49616046</v>
      </c>
      <c r="CB46">
        <v>2.55</v>
      </c>
      <c r="CC46">
        <v>1.16839335</v>
      </c>
      <c r="CD46">
        <v>2.55</v>
      </c>
      <c r="CE46">
        <v>1.03282429</v>
      </c>
      <c r="CF46">
        <v>2.55</v>
      </c>
      <c r="CG46">
        <v>0.42062602</v>
      </c>
      <c r="CK46">
        <v>2.55</v>
      </c>
      <c r="CL46">
        <v>0</v>
      </c>
      <c r="CM46">
        <v>0</v>
      </c>
      <c r="CN46">
        <v>0.47546094</v>
      </c>
      <c r="CO46">
        <v>0</v>
      </c>
      <c r="CP46">
        <v>0</v>
      </c>
      <c r="CR46">
        <v>2.55</v>
      </c>
      <c r="CS46">
        <v>0</v>
      </c>
      <c r="CT46">
        <v>0</v>
      </c>
      <c r="CU46">
        <v>19.70117559</v>
      </c>
      <c r="CV46">
        <v>25.07177399</v>
      </c>
      <c r="CW46">
        <v>7.15064235</v>
      </c>
      <c r="DZ46">
        <v>210</v>
      </c>
      <c r="EA46">
        <v>4.07977188</v>
      </c>
      <c r="EB46">
        <v>4.28771324</v>
      </c>
      <c r="EC46">
        <v>5.04609683</v>
      </c>
      <c r="ED46">
        <v>4.09664847</v>
      </c>
      <c r="EE46">
        <v>4.93692865</v>
      </c>
    </row>
    <row r="47" spans="23:135">
      <c r="W47">
        <v>22.455</v>
      </c>
      <c r="X47">
        <v>1.13673410347692</v>
      </c>
      <c r="Y47">
        <v>22.455</v>
      </c>
      <c r="Z47">
        <v>1.14922772973358</v>
      </c>
      <c r="AA47">
        <v>22.455</v>
      </c>
      <c r="AB47">
        <v>1.14767346122995</v>
      </c>
      <c r="AC47">
        <v>22.455</v>
      </c>
      <c r="AD47">
        <v>1.14283908995361</v>
      </c>
      <c r="AE47">
        <v>22.455</v>
      </c>
      <c r="AF47">
        <v>1.10773491372886</v>
      </c>
      <c r="AJ47">
        <v>220</v>
      </c>
      <c r="AK47">
        <v>2.32603438</v>
      </c>
      <c r="AL47">
        <v>3.2816147</v>
      </c>
      <c r="AM47">
        <v>1.15042079</v>
      </c>
      <c r="AN47">
        <v>2.2714876</v>
      </c>
      <c r="AO47">
        <v>2.83671983</v>
      </c>
      <c r="AP47">
        <v>3.89150096</v>
      </c>
      <c r="AQ47">
        <v>1.84474616</v>
      </c>
      <c r="AR47">
        <v>2.57306803</v>
      </c>
      <c r="AS47">
        <v>1.92904767</v>
      </c>
      <c r="AT47">
        <v>2.77246159</v>
      </c>
      <c r="BN47">
        <v>2.61</v>
      </c>
      <c r="BO47">
        <v>0.58693032</v>
      </c>
      <c r="BP47">
        <v>2.61</v>
      </c>
      <c r="BQ47">
        <v>0.86162736</v>
      </c>
      <c r="BR47">
        <v>2.61</v>
      </c>
      <c r="BS47">
        <v>0.89172381</v>
      </c>
      <c r="BT47">
        <v>2.61</v>
      </c>
      <c r="BU47">
        <v>0</v>
      </c>
      <c r="BV47">
        <v>2.61</v>
      </c>
      <c r="BW47">
        <v>0.67751424</v>
      </c>
      <c r="BX47">
        <v>2.61</v>
      </c>
      <c r="BY47">
        <v>0.36398372</v>
      </c>
      <c r="BZ47">
        <v>2.61</v>
      </c>
      <c r="CA47">
        <v>0.91284783</v>
      </c>
      <c r="CB47">
        <v>2.61</v>
      </c>
      <c r="CC47">
        <v>0.74352928</v>
      </c>
      <c r="CD47">
        <v>2.61</v>
      </c>
      <c r="CE47">
        <v>0.69966103</v>
      </c>
      <c r="CF47">
        <v>2.61</v>
      </c>
      <c r="CG47">
        <v>0.60226504</v>
      </c>
      <c r="CK47">
        <v>2.61</v>
      </c>
      <c r="CL47">
        <v>0</v>
      </c>
      <c r="CM47">
        <v>0</v>
      </c>
      <c r="CN47">
        <v>1.36155866</v>
      </c>
      <c r="CO47">
        <v>0</v>
      </c>
      <c r="CP47">
        <v>0</v>
      </c>
      <c r="CR47">
        <v>2.61</v>
      </c>
      <c r="CS47">
        <v>0</v>
      </c>
      <c r="CT47">
        <v>0</v>
      </c>
      <c r="CU47">
        <v>19.41246488</v>
      </c>
      <c r="CV47">
        <v>21.37646675</v>
      </c>
      <c r="CW47">
        <v>4.81812029</v>
      </c>
      <c r="DZ47">
        <v>215</v>
      </c>
      <c r="EA47">
        <v>4.07025632</v>
      </c>
      <c r="EB47">
        <v>4.29513806</v>
      </c>
      <c r="EC47">
        <v>5.03295162</v>
      </c>
      <c r="ED47">
        <v>4.0906401</v>
      </c>
      <c r="EE47">
        <v>4.96188299</v>
      </c>
    </row>
    <row r="48" spans="23:135">
      <c r="W48">
        <v>22.954</v>
      </c>
      <c r="X48">
        <v>1.13658069995185</v>
      </c>
      <c r="Y48">
        <v>22.954</v>
      </c>
      <c r="Z48">
        <v>1.14500657212502</v>
      </c>
      <c r="AA48">
        <v>22.954</v>
      </c>
      <c r="AB48">
        <v>1.14576266629239</v>
      </c>
      <c r="AC48">
        <v>22.954</v>
      </c>
      <c r="AD48">
        <v>1.14249463497638</v>
      </c>
      <c r="AE48">
        <v>22.954</v>
      </c>
      <c r="AF48">
        <v>1.10849844303203</v>
      </c>
      <c r="AJ48">
        <v>225</v>
      </c>
      <c r="AK48">
        <v>2.38370508</v>
      </c>
      <c r="AL48">
        <v>3.3515961</v>
      </c>
      <c r="AM48">
        <v>1.19173516</v>
      </c>
      <c r="AN48">
        <v>2.32695927</v>
      </c>
      <c r="AO48">
        <v>2.89249972</v>
      </c>
      <c r="AP48">
        <v>3.98435556</v>
      </c>
      <c r="AQ48">
        <v>1.85348192</v>
      </c>
      <c r="AR48">
        <v>2.63684363</v>
      </c>
      <c r="AS48">
        <v>1.96203955</v>
      </c>
      <c r="AT48">
        <v>2.83938718</v>
      </c>
      <c r="BN48">
        <v>2.67</v>
      </c>
      <c r="BO48">
        <v>0.56084892</v>
      </c>
      <c r="BP48">
        <v>2.67</v>
      </c>
      <c r="BQ48">
        <v>0.49400355</v>
      </c>
      <c r="BR48">
        <v>2.67</v>
      </c>
      <c r="BS48">
        <v>0.69232988</v>
      </c>
      <c r="BT48">
        <v>2.67</v>
      </c>
      <c r="BU48">
        <v>0.16808971</v>
      </c>
      <c r="BV48">
        <v>2.67</v>
      </c>
      <c r="BW48">
        <v>0.59230905</v>
      </c>
      <c r="BX48">
        <v>2.67</v>
      </c>
      <c r="BY48">
        <v>0.52171408</v>
      </c>
      <c r="BZ48">
        <v>2.67</v>
      </c>
      <c r="CA48">
        <v>0.71752364</v>
      </c>
      <c r="CB48">
        <v>2.67</v>
      </c>
      <c r="CC48">
        <v>0.53286682</v>
      </c>
      <c r="CD48">
        <v>2.67</v>
      </c>
      <c r="CE48">
        <v>0.69895978</v>
      </c>
      <c r="CF48">
        <v>2.67</v>
      </c>
      <c r="CG48">
        <v>0.38366814</v>
      </c>
      <c r="CK48">
        <v>2.67</v>
      </c>
      <c r="CL48">
        <v>0</v>
      </c>
      <c r="CM48">
        <v>0</v>
      </c>
      <c r="CN48">
        <v>0.86737009</v>
      </c>
      <c r="CO48">
        <v>0</v>
      </c>
      <c r="CP48">
        <v>0</v>
      </c>
      <c r="CR48">
        <v>2.67</v>
      </c>
      <c r="CS48">
        <v>0</v>
      </c>
      <c r="CT48">
        <v>0</v>
      </c>
      <c r="CU48">
        <v>16.81078696</v>
      </c>
      <c r="CV48">
        <v>9.54719721</v>
      </c>
      <c r="CW48">
        <v>3.26117917</v>
      </c>
      <c r="DZ48">
        <v>220</v>
      </c>
      <c r="EA48">
        <v>4.07384703</v>
      </c>
      <c r="EB48">
        <v>4.28720976</v>
      </c>
      <c r="EC48">
        <v>5.04474977</v>
      </c>
      <c r="ED48">
        <v>4.10008243</v>
      </c>
      <c r="EE48">
        <v>4.96631418</v>
      </c>
    </row>
    <row r="49" spans="23:135">
      <c r="W49">
        <v>23.453</v>
      </c>
      <c r="X49">
        <v>1.14096280422815</v>
      </c>
      <c r="Y49">
        <v>23.453</v>
      </c>
      <c r="Z49">
        <v>1.15194078039168</v>
      </c>
      <c r="AA49">
        <v>23.453</v>
      </c>
      <c r="AB49">
        <v>1.14911713061995</v>
      </c>
      <c r="AC49">
        <v>23.453</v>
      </c>
      <c r="AD49">
        <v>1.14018919419921</v>
      </c>
      <c r="AE49">
        <v>23.453</v>
      </c>
      <c r="AF49">
        <v>1.11396694305011</v>
      </c>
      <c r="AJ49">
        <v>230</v>
      </c>
      <c r="AK49">
        <v>2.4754431</v>
      </c>
      <c r="AL49">
        <v>3.45849835</v>
      </c>
      <c r="AM49">
        <v>1.18394724</v>
      </c>
      <c r="AN49">
        <v>2.3276339</v>
      </c>
      <c r="AO49">
        <v>2.93090045</v>
      </c>
      <c r="AP49">
        <v>4.05903222</v>
      </c>
      <c r="AQ49">
        <v>1.91836628</v>
      </c>
      <c r="AR49">
        <v>2.67162284</v>
      </c>
      <c r="AS49">
        <v>1.98233327</v>
      </c>
      <c r="AT49">
        <v>2.84457161</v>
      </c>
      <c r="BN49">
        <v>2.73</v>
      </c>
      <c r="BO49">
        <v>0.38675608</v>
      </c>
      <c r="BP49">
        <v>2.73</v>
      </c>
      <c r="BQ49">
        <v>0.47252859</v>
      </c>
      <c r="BR49">
        <v>2.73</v>
      </c>
      <c r="BS49">
        <v>0.56035136</v>
      </c>
      <c r="BT49">
        <v>2.73</v>
      </c>
      <c r="BU49">
        <v>0</v>
      </c>
      <c r="BV49">
        <v>2.73</v>
      </c>
      <c r="BW49">
        <v>0.52703315</v>
      </c>
      <c r="BX49">
        <v>2.73</v>
      </c>
      <c r="BY49">
        <v>0.16634484</v>
      </c>
      <c r="BZ49">
        <v>2.73</v>
      </c>
      <c r="CA49">
        <v>0.64595951</v>
      </c>
      <c r="CB49">
        <v>2.73</v>
      </c>
      <c r="CC49">
        <v>0.67960324</v>
      </c>
      <c r="CD49">
        <v>2.73</v>
      </c>
      <c r="CE49">
        <v>0.6976436</v>
      </c>
      <c r="CF49">
        <v>2.73</v>
      </c>
      <c r="CG49">
        <v>0.1834948</v>
      </c>
      <c r="CK49">
        <v>2.73</v>
      </c>
      <c r="CL49">
        <v>0</v>
      </c>
      <c r="CM49">
        <v>0</v>
      </c>
      <c r="CN49">
        <v>0.41483221</v>
      </c>
      <c r="CO49">
        <v>0</v>
      </c>
      <c r="CP49">
        <v>0</v>
      </c>
      <c r="CR49">
        <v>2.73</v>
      </c>
      <c r="CS49">
        <v>0</v>
      </c>
      <c r="CT49">
        <v>0</v>
      </c>
      <c r="CU49">
        <v>6.65379346</v>
      </c>
      <c r="CV49">
        <v>6.58365637</v>
      </c>
      <c r="CW49">
        <v>0.917474</v>
      </c>
      <c r="DZ49">
        <v>225</v>
      </c>
      <c r="EA49">
        <v>4.06822919</v>
      </c>
      <c r="EB49">
        <v>4.28077164</v>
      </c>
      <c r="EC49">
        <v>5.0376483</v>
      </c>
      <c r="ED49">
        <v>4.11168046</v>
      </c>
      <c r="EE49">
        <v>4.95314693</v>
      </c>
    </row>
    <row r="50" spans="23:135">
      <c r="W50">
        <v>23.952</v>
      </c>
      <c r="X50">
        <v>1.15180239904322</v>
      </c>
      <c r="Y50">
        <v>23.952</v>
      </c>
      <c r="Z50">
        <v>1.14808112875094</v>
      </c>
      <c r="AA50">
        <v>23.952</v>
      </c>
      <c r="AB50">
        <v>1.15090137432005</v>
      </c>
      <c r="AC50">
        <v>23.952</v>
      </c>
      <c r="AD50">
        <v>1.14650480266149</v>
      </c>
      <c r="AE50">
        <v>23.952</v>
      </c>
      <c r="AF50">
        <v>1.11742511120491</v>
      </c>
      <c r="AJ50">
        <v>235</v>
      </c>
      <c r="AK50">
        <v>2.51714233</v>
      </c>
      <c r="AL50">
        <v>3.49137373</v>
      </c>
      <c r="AM50">
        <v>1.18948962</v>
      </c>
      <c r="AN50">
        <v>2.36852803</v>
      </c>
      <c r="AO50">
        <v>2.94943419</v>
      </c>
      <c r="AP50">
        <v>4.14806414</v>
      </c>
      <c r="AQ50">
        <v>1.94624821</v>
      </c>
      <c r="AR50">
        <v>2.71755165</v>
      </c>
      <c r="AS50">
        <v>2.04046308</v>
      </c>
      <c r="AT50">
        <v>2.90331423</v>
      </c>
      <c r="BN50">
        <v>2.79</v>
      </c>
      <c r="BO50">
        <v>0.31057496</v>
      </c>
      <c r="BP50">
        <v>2.79</v>
      </c>
      <c r="BQ50">
        <v>0.30161606</v>
      </c>
      <c r="BR50">
        <v>2.79</v>
      </c>
      <c r="BS50">
        <v>0.56089713</v>
      </c>
      <c r="BT50">
        <v>2.79</v>
      </c>
      <c r="BU50">
        <v>0.30788375</v>
      </c>
      <c r="BV50">
        <v>2.79</v>
      </c>
      <c r="BW50">
        <v>0.365842</v>
      </c>
      <c r="BX50">
        <v>2.79</v>
      </c>
      <c r="BY50">
        <v>0.47780227</v>
      </c>
      <c r="BZ50">
        <v>2.79</v>
      </c>
      <c r="CA50">
        <v>0.64424595</v>
      </c>
      <c r="CB50">
        <v>2.79</v>
      </c>
      <c r="CC50">
        <v>0.48801631</v>
      </c>
      <c r="CD50">
        <v>2.79</v>
      </c>
      <c r="CE50">
        <v>0.37572818</v>
      </c>
      <c r="CF50">
        <v>2.79</v>
      </c>
      <c r="CG50">
        <v>0.35137543</v>
      </c>
      <c r="CK50">
        <v>2.79</v>
      </c>
      <c r="CL50">
        <v>0</v>
      </c>
      <c r="CM50">
        <v>0</v>
      </c>
      <c r="CN50">
        <v>0.79436499</v>
      </c>
      <c r="CO50">
        <v>0</v>
      </c>
      <c r="CP50">
        <v>0</v>
      </c>
      <c r="CR50">
        <v>2.79</v>
      </c>
      <c r="CS50">
        <v>0</v>
      </c>
      <c r="CT50">
        <v>0</v>
      </c>
      <c r="CU50">
        <v>6.63614266</v>
      </c>
      <c r="CV50">
        <v>4.27014269</v>
      </c>
      <c r="CW50">
        <v>0</v>
      </c>
      <c r="DZ50">
        <v>230</v>
      </c>
      <c r="EA50">
        <v>4.05425316</v>
      </c>
      <c r="EB50">
        <v>4.28285941</v>
      </c>
      <c r="EC50">
        <v>5.02125597</v>
      </c>
      <c r="ED50">
        <v>4.09967448</v>
      </c>
      <c r="EE50">
        <v>4.95518668</v>
      </c>
    </row>
    <row r="51" spans="23:135">
      <c r="W51">
        <v>24.451</v>
      </c>
      <c r="X51">
        <v>1.1483704071942</v>
      </c>
      <c r="Y51">
        <v>24.451</v>
      </c>
      <c r="Z51">
        <v>1.14205162934736</v>
      </c>
      <c r="AA51">
        <v>24.451</v>
      </c>
      <c r="AB51">
        <v>1.14076572830772</v>
      </c>
      <c r="AC51">
        <v>24.451</v>
      </c>
      <c r="AD51">
        <v>1.1410570317671</v>
      </c>
      <c r="AE51">
        <v>24.451</v>
      </c>
      <c r="AF51">
        <v>1.11235556814457</v>
      </c>
      <c r="AJ51">
        <v>240</v>
      </c>
      <c r="AK51">
        <v>2.53548416</v>
      </c>
      <c r="AL51">
        <v>3.53068448</v>
      </c>
      <c r="AM51">
        <v>1.17162397</v>
      </c>
      <c r="AN51">
        <v>2.3879646</v>
      </c>
      <c r="AO51">
        <v>3.0034654</v>
      </c>
      <c r="AP51">
        <v>4.23205757</v>
      </c>
      <c r="AQ51">
        <v>1.97246688</v>
      </c>
      <c r="AR51">
        <v>2.76798274</v>
      </c>
      <c r="AS51">
        <v>2.1346693</v>
      </c>
      <c r="AT51">
        <v>2.99589741</v>
      </c>
      <c r="BN51">
        <v>2.85</v>
      </c>
      <c r="BO51">
        <v>0.21750341</v>
      </c>
      <c r="BP51">
        <v>2.85</v>
      </c>
      <c r="BQ51">
        <v>0.14452529</v>
      </c>
      <c r="BR51">
        <v>2.85</v>
      </c>
      <c r="BS51">
        <v>0.32719209</v>
      </c>
      <c r="BT51">
        <v>2.85</v>
      </c>
      <c r="BU51">
        <v>0.14752858</v>
      </c>
      <c r="BV51">
        <v>2.85</v>
      </c>
      <c r="BW51">
        <v>0.31433179</v>
      </c>
      <c r="BX51">
        <v>2.85</v>
      </c>
      <c r="BY51">
        <v>0.45789678</v>
      </c>
      <c r="BZ51">
        <v>2.85</v>
      </c>
      <c r="CA51">
        <v>0.46922881</v>
      </c>
      <c r="CB51">
        <v>2.85</v>
      </c>
      <c r="CC51">
        <v>0.3117902</v>
      </c>
      <c r="CD51">
        <v>2.85</v>
      </c>
      <c r="CE51">
        <v>0.42675574</v>
      </c>
      <c r="CF51">
        <v>2.85</v>
      </c>
      <c r="CG51">
        <v>0</v>
      </c>
      <c r="CK51">
        <v>2.85</v>
      </c>
      <c r="CL51">
        <v>0</v>
      </c>
      <c r="CM51">
        <v>0</v>
      </c>
      <c r="CN51">
        <v>0.76127134</v>
      </c>
      <c r="CO51">
        <v>0</v>
      </c>
      <c r="CP51">
        <v>0</v>
      </c>
      <c r="CR51">
        <v>2.85</v>
      </c>
      <c r="CS51">
        <v>0</v>
      </c>
      <c r="CT51">
        <v>0</v>
      </c>
      <c r="CU51">
        <v>2.79825813</v>
      </c>
      <c r="CV51">
        <v>4.09224636</v>
      </c>
      <c r="CW51">
        <v>0.16836847</v>
      </c>
      <c r="DZ51">
        <v>235</v>
      </c>
      <c r="EA51">
        <v>4.07179305</v>
      </c>
      <c r="EB51">
        <v>4.28107061</v>
      </c>
      <c r="EC51">
        <v>5.03965137</v>
      </c>
      <c r="ED51">
        <v>4.10650458</v>
      </c>
      <c r="EE51">
        <v>4.94967419</v>
      </c>
    </row>
    <row r="52" spans="23:135">
      <c r="W52">
        <v>24.95</v>
      </c>
      <c r="X52">
        <v>1.14742886201443</v>
      </c>
      <c r="Y52">
        <v>24.95</v>
      </c>
      <c r="Z52">
        <v>1.1586056559009</v>
      </c>
      <c r="AA52">
        <v>24.95</v>
      </c>
      <c r="AB52">
        <v>1.14217519527103</v>
      </c>
      <c r="AC52">
        <v>24.95</v>
      </c>
      <c r="AD52">
        <v>1.15151148378988</v>
      </c>
      <c r="AE52">
        <v>24.95</v>
      </c>
      <c r="AF52">
        <v>1.10503644755028</v>
      </c>
      <c r="AJ52">
        <v>245</v>
      </c>
      <c r="AK52">
        <v>2.62143264</v>
      </c>
      <c r="AL52">
        <v>3.59811241</v>
      </c>
      <c r="AM52">
        <v>1.20049296</v>
      </c>
      <c r="AN52">
        <v>2.42443443</v>
      </c>
      <c r="AO52">
        <v>3.01402897</v>
      </c>
      <c r="AP52">
        <v>4.2975047</v>
      </c>
      <c r="AQ52">
        <v>2.00672526</v>
      </c>
      <c r="AR52">
        <v>2.80784663</v>
      </c>
      <c r="AS52">
        <v>2.19743919</v>
      </c>
      <c r="AT52">
        <v>3.04874357</v>
      </c>
      <c r="BN52">
        <v>2.91</v>
      </c>
      <c r="BO52">
        <v>0.23058771</v>
      </c>
      <c r="BP52">
        <v>2.91</v>
      </c>
      <c r="BQ52">
        <v>0.13862714</v>
      </c>
      <c r="BR52">
        <v>2.91</v>
      </c>
      <c r="BS52">
        <v>0.17933669</v>
      </c>
      <c r="BT52">
        <v>2.91</v>
      </c>
      <c r="BU52">
        <v>0.14150786</v>
      </c>
      <c r="BV52">
        <v>2.91</v>
      </c>
      <c r="BW52">
        <v>0.34788893</v>
      </c>
      <c r="BX52">
        <v>2.91</v>
      </c>
      <c r="BY52">
        <v>0.73201628</v>
      </c>
      <c r="BZ52">
        <v>2.91</v>
      </c>
      <c r="CA52">
        <v>0.4974561</v>
      </c>
      <c r="CB52">
        <v>2.91</v>
      </c>
      <c r="CC52">
        <v>0.59813174</v>
      </c>
      <c r="CD52">
        <v>2.91</v>
      </c>
      <c r="CE52">
        <v>0.31979657</v>
      </c>
      <c r="CF52">
        <v>2.91</v>
      </c>
      <c r="CG52">
        <v>0.16149727</v>
      </c>
      <c r="CK52">
        <v>2.91</v>
      </c>
      <c r="CL52">
        <v>0</v>
      </c>
      <c r="CM52">
        <v>0</v>
      </c>
      <c r="CN52">
        <v>0.73020344</v>
      </c>
      <c r="CO52">
        <v>0</v>
      </c>
      <c r="CP52">
        <v>0</v>
      </c>
      <c r="CR52">
        <v>2.91</v>
      </c>
      <c r="CS52">
        <v>0</v>
      </c>
      <c r="CT52">
        <v>0</v>
      </c>
      <c r="CU52">
        <v>0.73201628</v>
      </c>
      <c r="CV52">
        <v>1.68224553</v>
      </c>
      <c r="CW52">
        <v>0</v>
      </c>
      <c r="DZ52">
        <v>240</v>
      </c>
      <c r="EA52">
        <v>4.06648705</v>
      </c>
      <c r="EB52">
        <v>4.29614899</v>
      </c>
      <c r="EC52">
        <v>5.02350172</v>
      </c>
      <c r="ED52">
        <v>4.10647546</v>
      </c>
      <c r="EE52">
        <v>4.96726331</v>
      </c>
    </row>
    <row r="53" spans="23:135">
      <c r="W53">
        <v>25.449</v>
      </c>
      <c r="X53">
        <v>1.14567520382367</v>
      </c>
      <c r="Y53">
        <v>25.449</v>
      </c>
      <c r="Z53">
        <v>1.15673168013856</v>
      </c>
      <c r="AA53">
        <v>25.449</v>
      </c>
      <c r="AB53">
        <v>1.1452038581192</v>
      </c>
      <c r="AC53">
        <v>25.449</v>
      </c>
      <c r="AD53">
        <v>1.15823309209308</v>
      </c>
      <c r="AE53">
        <v>25.449</v>
      </c>
      <c r="AF53">
        <v>1.10111419460902</v>
      </c>
      <c r="AJ53">
        <v>250</v>
      </c>
      <c r="AK53">
        <v>2.70860946</v>
      </c>
      <c r="AL53">
        <v>3.67796286</v>
      </c>
      <c r="AM53">
        <v>1.16975376</v>
      </c>
      <c r="AN53">
        <v>2.43216341</v>
      </c>
      <c r="AO53">
        <v>3.09094411</v>
      </c>
      <c r="AP53">
        <v>4.37245412</v>
      </c>
      <c r="AQ53">
        <v>2.05028994</v>
      </c>
      <c r="AR53">
        <v>2.83016833</v>
      </c>
      <c r="AS53">
        <v>2.28516128</v>
      </c>
      <c r="AT53">
        <v>3.14828041</v>
      </c>
      <c r="BN53">
        <v>2.97</v>
      </c>
      <c r="BO53">
        <v>0.22136546</v>
      </c>
      <c r="BP53">
        <v>2.97</v>
      </c>
      <c r="BQ53">
        <v>0.53233122</v>
      </c>
      <c r="BR53">
        <v>2.97</v>
      </c>
      <c r="BS53">
        <v>0.38736945</v>
      </c>
      <c r="BT53">
        <v>2.97</v>
      </c>
      <c r="BU53">
        <v>0</v>
      </c>
      <c r="BV53">
        <v>2.97</v>
      </c>
      <c r="BW53">
        <v>0.23378268</v>
      </c>
      <c r="BX53">
        <v>2.97</v>
      </c>
      <c r="BY53">
        <v>0.28109585</v>
      </c>
      <c r="BZ53">
        <v>2.97</v>
      </c>
      <c r="CA53">
        <v>0.38659665</v>
      </c>
      <c r="CB53">
        <v>2.97</v>
      </c>
      <c r="CC53">
        <v>0.71776216</v>
      </c>
      <c r="CD53">
        <v>2.97</v>
      </c>
      <c r="CE53">
        <v>0.29472619</v>
      </c>
      <c r="CF53">
        <v>2.97</v>
      </c>
      <c r="CG53">
        <v>0.15503825</v>
      </c>
      <c r="CK53">
        <v>2.97</v>
      </c>
      <c r="CL53">
        <v>0</v>
      </c>
      <c r="CM53">
        <v>0</v>
      </c>
      <c r="CN53">
        <v>1.40199856</v>
      </c>
      <c r="CO53">
        <v>0.26890911</v>
      </c>
      <c r="CP53">
        <v>0</v>
      </c>
      <c r="CR53">
        <v>2.97</v>
      </c>
      <c r="CS53">
        <v>0</v>
      </c>
      <c r="CT53">
        <v>0</v>
      </c>
      <c r="CU53">
        <v>1.63972576</v>
      </c>
      <c r="CV53">
        <v>1.25608378</v>
      </c>
      <c r="CW53">
        <v>0</v>
      </c>
      <c r="DZ53">
        <v>245</v>
      </c>
      <c r="EA53">
        <v>4.05629847</v>
      </c>
      <c r="EB53">
        <v>4.28808813</v>
      </c>
      <c r="EC53">
        <v>5.02256673</v>
      </c>
      <c r="ED53">
        <v>4.10005859</v>
      </c>
      <c r="EE53">
        <v>4.9748845</v>
      </c>
    </row>
    <row r="54" spans="23:135">
      <c r="W54">
        <v>25.948</v>
      </c>
      <c r="X54">
        <v>1.14565790273118</v>
      </c>
      <c r="Y54">
        <v>25.948</v>
      </c>
      <c r="Z54">
        <v>1.15490369185365</v>
      </c>
      <c r="AA54">
        <v>25.948</v>
      </c>
      <c r="AB54">
        <v>1.14791153076462</v>
      </c>
      <c r="AC54">
        <v>25.948</v>
      </c>
      <c r="AD54">
        <v>1.15762029684167</v>
      </c>
      <c r="AE54">
        <v>25.948</v>
      </c>
      <c r="AF54">
        <v>1.09914755110049</v>
      </c>
      <c r="AJ54">
        <v>255</v>
      </c>
      <c r="AK54">
        <v>2.77864942</v>
      </c>
      <c r="AL54">
        <v>3.7438062</v>
      </c>
      <c r="AM54">
        <v>1.21549713</v>
      </c>
      <c r="AN54">
        <v>2.46254106</v>
      </c>
      <c r="AO54">
        <v>3.17859559</v>
      </c>
      <c r="AP54">
        <v>4.490709</v>
      </c>
      <c r="AQ54">
        <v>2.06314791</v>
      </c>
      <c r="AR54">
        <v>2.87191471</v>
      </c>
      <c r="AS54">
        <v>2.33008558</v>
      </c>
      <c r="AT54">
        <v>3.17438155</v>
      </c>
      <c r="BN54">
        <v>3.03</v>
      </c>
      <c r="BO54">
        <v>0.15191828</v>
      </c>
      <c r="BP54">
        <v>3.03</v>
      </c>
      <c r="BQ54">
        <v>1.02291643</v>
      </c>
      <c r="BR54">
        <v>3.03</v>
      </c>
      <c r="BS54">
        <v>0.23778197</v>
      </c>
      <c r="BT54">
        <v>3.03</v>
      </c>
      <c r="BU54">
        <v>0.5220865</v>
      </c>
      <c r="BV54">
        <v>3.03</v>
      </c>
      <c r="BW54">
        <v>0.26739992</v>
      </c>
      <c r="BX54">
        <v>3.03</v>
      </c>
      <c r="BY54">
        <v>0.6751848</v>
      </c>
      <c r="BZ54">
        <v>3.03</v>
      </c>
      <c r="CA54">
        <v>0.3058901</v>
      </c>
      <c r="CB54">
        <v>3.03</v>
      </c>
      <c r="CC54">
        <v>0.55169464</v>
      </c>
      <c r="CD54">
        <v>3.03</v>
      </c>
      <c r="CE54">
        <v>0.29496855</v>
      </c>
      <c r="CF54">
        <v>3.03</v>
      </c>
      <c r="CG54">
        <v>0.59583647</v>
      </c>
      <c r="CK54">
        <v>3.03</v>
      </c>
      <c r="CL54">
        <v>0</v>
      </c>
      <c r="CM54">
        <v>0</v>
      </c>
      <c r="CN54">
        <v>1.34702541</v>
      </c>
      <c r="CO54">
        <v>0.77509511</v>
      </c>
      <c r="CP54">
        <v>0</v>
      </c>
      <c r="CR54">
        <v>3.03</v>
      </c>
      <c r="CS54">
        <v>0</v>
      </c>
      <c r="CT54">
        <v>0</v>
      </c>
      <c r="CU54">
        <v>0.4501232</v>
      </c>
      <c r="CV54">
        <v>0.6896183</v>
      </c>
      <c r="CW54">
        <v>0</v>
      </c>
      <c r="DZ54">
        <v>250</v>
      </c>
      <c r="EA54">
        <v>4.07115461</v>
      </c>
      <c r="EB54">
        <v>4.2956517</v>
      </c>
      <c r="EC54">
        <v>5.0223044</v>
      </c>
      <c r="ED54">
        <v>4.09651743</v>
      </c>
      <c r="EE54">
        <v>4.95942187</v>
      </c>
    </row>
    <row r="55" spans="23:135">
      <c r="W55">
        <v>26.447</v>
      </c>
      <c r="X55">
        <v>1.1482212403688</v>
      </c>
      <c r="Y55">
        <v>26.447</v>
      </c>
      <c r="Z55">
        <v>1.14554127321074</v>
      </c>
      <c r="AA55">
        <v>26.447</v>
      </c>
      <c r="AB55">
        <v>1.14482826157752</v>
      </c>
      <c r="AC55">
        <v>26.447</v>
      </c>
      <c r="AD55">
        <v>1.14925616951581</v>
      </c>
      <c r="AE55">
        <v>26.447</v>
      </c>
      <c r="AF55">
        <v>1.10275661490025</v>
      </c>
      <c r="AJ55">
        <v>260</v>
      </c>
      <c r="AK55">
        <v>2.82130231</v>
      </c>
      <c r="AL55">
        <v>3.78807178</v>
      </c>
      <c r="AM55">
        <v>1.23112314</v>
      </c>
      <c r="AN55">
        <v>2.54448995</v>
      </c>
      <c r="AO55">
        <v>3.25444495</v>
      </c>
      <c r="AP55">
        <v>4.59803087</v>
      </c>
      <c r="AQ55">
        <v>2.07869603</v>
      </c>
      <c r="AR55">
        <v>2.90331281</v>
      </c>
      <c r="AS55">
        <v>2.39084063</v>
      </c>
      <c r="AT55">
        <v>3.28158535</v>
      </c>
      <c r="BN55">
        <v>3.09</v>
      </c>
      <c r="BO55">
        <v>0.15581441</v>
      </c>
      <c r="BP55">
        <v>3.09</v>
      </c>
      <c r="BQ55">
        <v>0.86063113</v>
      </c>
      <c r="BR55">
        <v>3.09</v>
      </c>
      <c r="BS55">
        <v>0.16899305</v>
      </c>
      <c r="BT55">
        <v>3.09</v>
      </c>
      <c r="BU55">
        <v>0.25100438</v>
      </c>
      <c r="BV55">
        <v>3.09</v>
      </c>
      <c r="BW55">
        <v>0.3702479</v>
      </c>
      <c r="BX55">
        <v>3.09</v>
      </c>
      <c r="BY55">
        <v>0.64921942</v>
      </c>
      <c r="BZ55">
        <v>3.09</v>
      </c>
      <c r="CA55">
        <v>0.28362205</v>
      </c>
      <c r="CB55">
        <v>3.09</v>
      </c>
      <c r="CC55">
        <v>0.928337</v>
      </c>
      <c r="CD55">
        <v>3.09</v>
      </c>
      <c r="CE55">
        <v>0.37438504</v>
      </c>
      <c r="CF55">
        <v>3.09</v>
      </c>
      <c r="CG55">
        <v>0.57292256</v>
      </c>
      <c r="CK55">
        <v>3.09</v>
      </c>
      <c r="CL55">
        <v>0</v>
      </c>
      <c r="CM55">
        <v>0</v>
      </c>
      <c r="CN55">
        <v>1.94283487</v>
      </c>
      <c r="CO55">
        <v>0.49685834</v>
      </c>
      <c r="CP55">
        <v>0</v>
      </c>
      <c r="CR55">
        <v>3.09</v>
      </c>
      <c r="CS55">
        <v>0</v>
      </c>
      <c r="CT55">
        <v>0</v>
      </c>
      <c r="CU55">
        <v>0.43281294</v>
      </c>
      <c r="CV55">
        <v>0.82887232</v>
      </c>
      <c r="CW55">
        <v>0</v>
      </c>
      <c r="DZ55">
        <v>255</v>
      </c>
      <c r="EA55">
        <v>4.07169729</v>
      </c>
      <c r="EB55">
        <v>4.29738467</v>
      </c>
      <c r="EC55">
        <v>5.01498211</v>
      </c>
      <c r="ED55">
        <v>4.10079423</v>
      </c>
      <c r="EE55">
        <v>4.96476948</v>
      </c>
    </row>
    <row r="56" spans="23:135">
      <c r="W56">
        <v>26.946</v>
      </c>
      <c r="X56">
        <v>1.15395067054538</v>
      </c>
      <c r="Y56">
        <v>26.946</v>
      </c>
      <c r="Z56">
        <v>1.15369771629539</v>
      </c>
      <c r="AA56">
        <v>26.946</v>
      </c>
      <c r="AB56">
        <v>1.14033679877209</v>
      </c>
      <c r="AC56">
        <v>26.946</v>
      </c>
      <c r="AD56">
        <v>1.1499766856612</v>
      </c>
      <c r="AE56">
        <v>26.946</v>
      </c>
      <c r="AF56">
        <v>1.12071403104159</v>
      </c>
      <c r="AJ56">
        <v>265</v>
      </c>
      <c r="AK56">
        <v>2.87548603</v>
      </c>
      <c r="AL56">
        <v>3.83671059</v>
      </c>
      <c r="AM56">
        <v>1.23727646</v>
      </c>
      <c r="AN56">
        <v>2.53873561</v>
      </c>
      <c r="AO56">
        <v>3.29482495</v>
      </c>
      <c r="AP56">
        <v>4.72272306</v>
      </c>
      <c r="AQ56">
        <v>2.1122306</v>
      </c>
      <c r="AR56">
        <v>2.9477855</v>
      </c>
      <c r="AS56">
        <v>2.44533312</v>
      </c>
      <c r="AT56">
        <v>3.31758825</v>
      </c>
      <c r="BN56">
        <v>3.15</v>
      </c>
      <c r="BO56">
        <v>0.18741916</v>
      </c>
      <c r="BP56">
        <v>3.15</v>
      </c>
      <c r="BQ56">
        <v>0.94646676</v>
      </c>
      <c r="BR56">
        <v>3.15</v>
      </c>
      <c r="BS56">
        <v>0.17218242</v>
      </c>
      <c r="BT56">
        <v>3.15</v>
      </c>
      <c r="BU56">
        <v>1.20766833</v>
      </c>
      <c r="BV56">
        <v>3.15</v>
      </c>
      <c r="BW56">
        <v>0.3760712</v>
      </c>
      <c r="BX56">
        <v>3.15</v>
      </c>
      <c r="BY56">
        <v>1.37439177</v>
      </c>
      <c r="BZ56">
        <v>3.15</v>
      </c>
      <c r="CA56">
        <v>0.29313697</v>
      </c>
      <c r="CB56">
        <v>3.15</v>
      </c>
      <c r="CC56">
        <v>0.51046266</v>
      </c>
      <c r="CD56">
        <v>3.15</v>
      </c>
      <c r="CE56">
        <v>0.27292349</v>
      </c>
      <c r="CF56">
        <v>3.15</v>
      </c>
      <c r="CG56">
        <v>0.55130546</v>
      </c>
      <c r="CK56">
        <v>3.15</v>
      </c>
      <c r="CL56">
        <v>0</v>
      </c>
      <c r="CM56">
        <v>0</v>
      </c>
      <c r="CN56">
        <v>2.18111742</v>
      </c>
      <c r="CO56">
        <v>0.23905562</v>
      </c>
      <c r="CP56">
        <v>0</v>
      </c>
      <c r="CR56">
        <v>3.15</v>
      </c>
      <c r="CS56">
        <v>0</v>
      </c>
      <c r="CT56">
        <v>0</v>
      </c>
      <c r="CU56">
        <v>0.41648236</v>
      </c>
      <c r="CV56">
        <v>0.31903916</v>
      </c>
      <c r="CW56">
        <v>0</v>
      </c>
      <c r="DZ56">
        <v>260</v>
      </c>
      <c r="EA56">
        <v>4.04586989</v>
      </c>
      <c r="EB56">
        <v>4.29350669</v>
      </c>
      <c r="EC56">
        <v>5.0331335</v>
      </c>
      <c r="ED56">
        <v>4.08839118</v>
      </c>
      <c r="EE56">
        <v>4.95694542</v>
      </c>
    </row>
    <row r="57" spans="23:135">
      <c r="W57">
        <v>27.445</v>
      </c>
      <c r="X57">
        <v>1.14973845771951</v>
      </c>
      <c r="Y57">
        <v>27.445</v>
      </c>
      <c r="Z57">
        <v>1.15714062955293</v>
      </c>
      <c r="AA57">
        <v>27.445</v>
      </c>
      <c r="AB57">
        <v>1.13910465750849</v>
      </c>
      <c r="AC57">
        <v>27.445</v>
      </c>
      <c r="AD57">
        <v>1.15215454863379</v>
      </c>
      <c r="AE57">
        <v>27.445</v>
      </c>
      <c r="AF57">
        <v>1.11029774490922</v>
      </c>
      <c r="AJ57">
        <v>270</v>
      </c>
      <c r="AK57">
        <v>2.89679085</v>
      </c>
      <c r="AL57">
        <v>3.85110441</v>
      </c>
      <c r="AM57">
        <v>1.26457628</v>
      </c>
      <c r="AN57">
        <v>2.56685301</v>
      </c>
      <c r="AO57">
        <v>3.30893335</v>
      </c>
      <c r="AP57">
        <v>4.76075878</v>
      </c>
      <c r="AQ57">
        <v>2.10966844</v>
      </c>
      <c r="AR57">
        <v>2.97254748</v>
      </c>
      <c r="AS57">
        <v>2.50521411</v>
      </c>
      <c r="AT57">
        <v>3.39228334</v>
      </c>
      <c r="BN57">
        <v>3.21</v>
      </c>
      <c r="BO57">
        <v>0.15340674</v>
      </c>
      <c r="BP57">
        <v>3.21</v>
      </c>
      <c r="BQ57">
        <v>2.16461422</v>
      </c>
      <c r="BR57">
        <v>3.21</v>
      </c>
      <c r="BS57">
        <v>0.09211446</v>
      </c>
      <c r="BT57">
        <v>3.21</v>
      </c>
      <c r="BU57">
        <v>0.81406156</v>
      </c>
      <c r="BV57">
        <v>3.21</v>
      </c>
      <c r="BW57">
        <v>0.25731302</v>
      </c>
      <c r="BX57">
        <v>3.21</v>
      </c>
      <c r="BY57">
        <v>0.48127066</v>
      </c>
      <c r="BZ57">
        <v>3.21</v>
      </c>
      <c r="CA57">
        <v>0.26281363</v>
      </c>
      <c r="CB57">
        <v>3.21</v>
      </c>
      <c r="CC57">
        <v>1.10600738</v>
      </c>
      <c r="CD57">
        <v>3.21</v>
      </c>
      <c r="CE57">
        <v>0.21025311</v>
      </c>
      <c r="CF57">
        <v>3.21</v>
      </c>
      <c r="CG57">
        <v>0.92905595</v>
      </c>
      <c r="CK57">
        <v>3.21</v>
      </c>
      <c r="CL57">
        <v>0</v>
      </c>
      <c r="CM57">
        <v>0</v>
      </c>
      <c r="CN57">
        <v>0.30004924</v>
      </c>
      <c r="CO57">
        <v>0.69060821</v>
      </c>
      <c r="CP57">
        <v>0.19725502</v>
      </c>
      <c r="CR57">
        <v>3.21</v>
      </c>
      <c r="CS57">
        <v>0</v>
      </c>
      <c r="CT57">
        <v>0</v>
      </c>
      <c r="CU57">
        <v>0</v>
      </c>
      <c r="CV57">
        <v>0.76806068</v>
      </c>
      <c r="CW57">
        <v>0</v>
      </c>
      <c r="DZ57">
        <v>265</v>
      </c>
      <c r="EA57">
        <v>4.06518652</v>
      </c>
      <c r="EB57">
        <v>4.29030339</v>
      </c>
      <c r="EC57">
        <v>5.03239313</v>
      </c>
      <c r="ED57">
        <v>4.07234532</v>
      </c>
      <c r="EE57">
        <v>4.95585691</v>
      </c>
    </row>
    <row r="58" spans="23:135">
      <c r="W58">
        <v>27.944</v>
      </c>
      <c r="X58">
        <v>1.1387752372497</v>
      </c>
      <c r="Y58">
        <v>27.944</v>
      </c>
      <c r="Z58">
        <v>1.15571804424225</v>
      </c>
      <c r="AA58">
        <v>27.944</v>
      </c>
      <c r="AB58">
        <v>1.14034927762725</v>
      </c>
      <c r="AC58">
        <v>27.944</v>
      </c>
      <c r="AD58">
        <v>1.15127606220458</v>
      </c>
      <c r="AE58">
        <v>27.944</v>
      </c>
      <c r="AF58">
        <v>1.11416909466819</v>
      </c>
      <c r="AJ58">
        <v>275</v>
      </c>
      <c r="AK58">
        <v>2.94891217</v>
      </c>
      <c r="AL58">
        <v>3.91541378</v>
      </c>
      <c r="AM58">
        <v>1.26374273</v>
      </c>
      <c r="AN58">
        <v>2.59212116</v>
      </c>
      <c r="AO58">
        <v>3.36471163</v>
      </c>
      <c r="AP58">
        <v>4.82577365</v>
      </c>
      <c r="AQ58">
        <v>2.12803115</v>
      </c>
      <c r="AR58">
        <v>3.02538556</v>
      </c>
      <c r="AS58">
        <v>2.54754282</v>
      </c>
      <c r="AT58">
        <v>3.43493562</v>
      </c>
      <c r="BN58">
        <v>3.27</v>
      </c>
      <c r="BO58">
        <v>0.16522058</v>
      </c>
      <c r="BP58">
        <v>3.27</v>
      </c>
      <c r="BQ58">
        <v>2.74461817</v>
      </c>
      <c r="BR58">
        <v>3.27</v>
      </c>
      <c r="BS58">
        <v>0.16865392</v>
      </c>
      <c r="BT58">
        <v>3.27</v>
      </c>
      <c r="BU58">
        <v>1.3447931</v>
      </c>
      <c r="BV58">
        <v>3.27</v>
      </c>
      <c r="BW58">
        <v>0.23877364</v>
      </c>
      <c r="BX58">
        <v>3.27</v>
      </c>
      <c r="BY58">
        <v>1.50725857</v>
      </c>
      <c r="BZ58">
        <v>3.27</v>
      </c>
      <c r="CA58">
        <v>0.22511809</v>
      </c>
      <c r="CB58">
        <v>3.27</v>
      </c>
      <c r="CC58">
        <v>0.82895045</v>
      </c>
      <c r="CD58">
        <v>3.27</v>
      </c>
      <c r="CE58">
        <v>0.28365177</v>
      </c>
      <c r="CF58">
        <v>3.27</v>
      </c>
      <c r="CG58">
        <v>1.53475866</v>
      </c>
      <c r="CK58">
        <v>3.27</v>
      </c>
      <c r="CL58">
        <v>0</v>
      </c>
      <c r="CM58">
        <v>0</v>
      </c>
      <c r="CN58">
        <v>0</v>
      </c>
      <c r="CO58">
        <v>0.88733067</v>
      </c>
      <c r="CP58">
        <v>0</v>
      </c>
      <c r="CR58">
        <v>3.27</v>
      </c>
      <c r="CS58">
        <v>0</v>
      </c>
      <c r="CT58">
        <v>0</v>
      </c>
      <c r="CU58">
        <v>0.19323828</v>
      </c>
      <c r="CV58">
        <v>0.74013433</v>
      </c>
      <c r="CW58">
        <v>0</v>
      </c>
      <c r="DZ58">
        <v>270</v>
      </c>
      <c r="EA58">
        <v>4.062072</v>
      </c>
      <c r="EB58">
        <v>4.29439457</v>
      </c>
      <c r="EC58">
        <v>5.03061685</v>
      </c>
      <c r="ED58">
        <v>4.08606049</v>
      </c>
      <c r="EE58">
        <v>4.95269111</v>
      </c>
    </row>
    <row r="59" spans="23:135">
      <c r="W59">
        <v>28.443</v>
      </c>
      <c r="X59">
        <v>1.14807540485893</v>
      </c>
      <c r="Y59">
        <v>28.443</v>
      </c>
      <c r="Z59">
        <v>1.16583950945402</v>
      </c>
      <c r="AA59">
        <v>28.443</v>
      </c>
      <c r="AB59">
        <v>1.14404313061743</v>
      </c>
      <c r="AC59">
        <v>28.443</v>
      </c>
      <c r="AD59">
        <v>1.14884650476844</v>
      </c>
      <c r="AE59">
        <v>28.443</v>
      </c>
      <c r="AF59">
        <v>1.11742569402654</v>
      </c>
      <c r="AJ59">
        <v>280</v>
      </c>
      <c r="AK59">
        <v>2.96858458</v>
      </c>
      <c r="AL59">
        <v>3.95898859</v>
      </c>
      <c r="AM59">
        <v>1.2718264</v>
      </c>
      <c r="AN59">
        <v>2.62991475</v>
      </c>
      <c r="AO59">
        <v>3.43389977</v>
      </c>
      <c r="AP59">
        <v>4.95324898</v>
      </c>
      <c r="AQ59">
        <v>2.22658141</v>
      </c>
      <c r="AR59">
        <v>3.05578869</v>
      </c>
      <c r="AS59">
        <v>2.58553083</v>
      </c>
      <c r="AT59">
        <v>3.48684644</v>
      </c>
      <c r="BN59">
        <v>3.33</v>
      </c>
      <c r="BO59">
        <v>0.08385289</v>
      </c>
      <c r="BP59">
        <v>3.33</v>
      </c>
      <c r="BQ59">
        <v>4.34043499</v>
      </c>
      <c r="BR59">
        <v>3.33</v>
      </c>
      <c r="BS59">
        <v>0.0684763</v>
      </c>
      <c r="BT59">
        <v>3.33</v>
      </c>
      <c r="BU59">
        <v>2.26934746</v>
      </c>
      <c r="BV59">
        <v>3.33</v>
      </c>
      <c r="BW59">
        <v>0.29223649</v>
      </c>
      <c r="BX59">
        <v>3.33</v>
      </c>
      <c r="BY59">
        <v>1.56523633</v>
      </c>
      <c r="BZ59">
        <v>3.33</v>
      </c>
      <c r="CA59">
        <v>0.17185423</v>
      </c>
      <c r="CB59">
        <v>3.33</v>
      </c>
      <c r="CC59">
        <v>0.9135409</v>
      </c>
      <c r="CD59">
        <v>3.33</v>
      </c>
      <c r="CE59">
        <v>0.19537317</v>
      </c>
      <c r="CF59">
        <v>3.33</v>
      </c>
      <c r="CG59">
        <v>2.71324494</v>
      </c>
      <c r="CK59">
        <v>3.33</v>
      </c>
      <c r="CL59">
        <v>0</v>
      </c>
      <c r="CM59">
        <v>0</v>
      </c>
      <c r="CN59">
        <v>1.11525716</v>
      </c>
      <c r="CO59">
        <v>1.92519836</v>
      </c>
      <c r="CP59">
        <v>0</v>
      </c>
      <c r="CR59">
        <v>3.33</v>
      </c>
      <c r="CS59">
        <v>0</v>
      </c>
      <c r="CT59">
        <v>0</v>
      </c>
      <c r="CU59">
        <v>0</v>
      </c>
      <c r="CV59">
        <v>0.4282223</v>
      </c>
      <c r="CW59">
        <v>0</v>
      </c>
      <c r="DZ59">
        <v>275</v>
      </c>
      <c r="EA59">
        <v>4.06048925</v>
      </c>
      <c r="EB59">
        <v>4.28594174</v>
      </c>
      <c r="EC59">
        <v>5.02131618</v>
      </c>
      <c r="ED59">
        <v>4.09266103</v>
      </c>
      <c r="EE59">
        <v>4.95040893</v>
      </c>
    </row>
    <row r="60" spans="23:135">
      <c r="W60">
        <v>28.942</v>
      </c>
      <c r="X60">
        <v>1.14363244749116</v>
      </c>
      <c r="Y60">
        <v>28.942</v>
      </c>
      <c r="Z60">
        <v>1.16395794904885</v>
      </c>
      <c r="AA60">
        <v>28.942</v>
      </c>
      <c r="AB60">
        <v>1.13969420684989</v>
      </c>
      <c r="AC60">
        <v>28.942</v>
      </c>
      <c r="AD60">
        <v>1.1531858083721</v>
      </c>
      <c r="AE60">
        <v>28.942</v>
      </c>
      <c r="AF60">
        <v>1.1173795278627</v>
      </c>
      <c r="AJ60">
        <v>285</v>
      </c>
      <c r="AK60">
        <v>3.0484669</v>
      </c>
      <c r="AL60">
        <v>4.07676112</v>
      </c>
      <c r="AM60">
        <v>1.30685943</v>
      </c>
      <c r="AN60">
        <v>2.69493206</v>
      </c>
      <c r="AO60">
        <v>3.48986574</v>
      </c>
      <c r="AP60">
        <v>5.09218336</v>
      </c>
      <c r="AQ60">
        <v>2.25234979</v>
      </c>
      <c r="AR60">
        <v>3.08575666</v>
      </c>
      <c r="AS60">
        <v>2.62384534</v>
      </c>
      <c r="AT60">
        <v>3.54517615</v>
      </c>
      <c r="BN60">
        <v>3.39</v>
      </c>
      <c r="BO60">
        <v>0.08900208</v>
      </c>
      <c r="BP60">
        <v>3.39</v>
      </c>
      <c r="BQ60">
        <v>3.26880385</v>
      </c>
      <c r="BR60">
        <v>3.39</v>
      </c>
      <c r="BS60">
        <v>0.09911081</v>
      </c>
      <c r="BT60">
        <v>3.39</v>
      </c>
      <c r="BU60">
        <v>2.50254805</v>
      </c>
      <c r="BV60">
        <v>3.39</v>
      </c>
      <c r="BW60">
        <v>0.25634877</v>
      </c>
      <c r="BX60">
        <v>3.39</v>
      </c>
      <c r="BY60">
        <v>2.91276287</v>
      </c>
      <c r="BZ60">
        <v>3.39</v>
      </c>
      <c r="CA60">
        <v>0.27055639</v>
      </c>
      <c r="CB60">
        <v>3.39</v>
      </c>
      <c r="CC60">
        <v>0.88149018</v>
      </c>
      <c r="CD60">
        <v>3.39</v>
      </c>
      <c r="CE60">
        <v>0.17909276</v>
      </c>
      <c r="CF60">
        <v>3.39</v>
      </c>
      <c r="CG60">
        <v>1.90403876</v>
      </c>
      <c r="CK60">
        <v>3.39</v>
      </c>
      <c r="CL60">
        <v>0</v>
      </c>
      <c r="CM60">
        <v>0</v>
      </c>
      <c r="CN60">
        <v>0.53806471</v>
      </c>
      <c r="CO60">
        <v>0.82562426</v>
      </c>
      <c r="CP60">
        <v>0.35372849</v>
      </c>
      <c r="CR60">
        <v>3.39</v>
      </c>
      <c r="CS60">
        <v>0</v>
      </c>
      <c r="CT60">
        <v>0</v>
      </c>
      <c r="CU60">
        <v>0</v>
      </c>
      <c r="CV60">
        <v>1.10186272</v>
      </c>
      <c r="CW60">
        <v>0</v>
      </c>
      <c r="DZ60">
        <v>280</v>
      </c>
      <c r="EA60">
        <v>4.05601431</v>
      </c>
      <c r="EB60">
        <v>4.28717264</v>
      </c>
      <c r="EC60">
        <v>5.02749237</v>
      </c>
      <c r="ED60">
        <v>4.06773458</v>
      </c>
      <c r="EE60">
        <v>4.93169969</v>
      </c>
    </row>
    <row r="61" spans="23:135">
      <c r="W61">
        <v>29.441</v>
      </c>
      <c r="X61">
        <v>1.15051663563156</v>
      </c>
      <c r="Y61">
        <v>29.441</v>
      </c>
      <c r="Z61">
        <v>1.16315201399758</v>
      </c>
      <c r="AA61">
        <v>29.441</v>
      </c>
      <c r="AB61">
        <v>1.14316282097848</v>
      </c>
      <c r="AC61">
        <v>29.441</v>
      </c>
      <c r="AD61">
        <v>1.15573260220235</v>
      </c>
      <c r="AE61">
        <v>29.441</v>
      </c>
      <c r="AF61">
        <v>1.11793989525402</v>
      </c>
      <c r="AJ61">
        <v>290</v>
      </c>
      <c r="AK61">
        <v>3.12356835</v>
      </c>
      <c r="AL61">
        <v>4.18605536</v>
      </c>
      <c r="AM61">
        <v>1.33654566</v>
      </c>
      <c r="AN61">
        <v>2.76668121</v>
      </c>
      <c r="AO61">
        <v>3.55500964</v>
      </c>
      <c r="AP61">
        <v>5.18409134</v>
      </c>
      <c r="AQ61">
        <v>2.32140441</v>
      </c>
      <c r="AR61">
        <v>3.19075747</v>
      </c>
      <c r="AS61">
        <v>2.69200549</v>
      </c>
      <c r="AT61">
        <v>3.57462415</v>
      </c>
      <c r="BN61">
        <v>3.45</v>
      </c>
      <c r="BO61">
        <v>0.09374548</v>
      </c>
      <c r="BP61">
        <v>3.45</v>
      </c>
      <c r="BQ61">
        <v>7.49573236</v>
      </c>
      <c r="BR61">
        <v>3.45</v>
      </c>
      <c r="BS61">
        <v>0.11164247</v>
      </c>
      <c r="BT61">
        <v>3.45</v>
      </c>
      <c r="BU61">
        <v>2.71829474</v>
      </c>
      <c r="BV61">
        <v>3.45</v>
      </c>
      <c r="BW61">
        <v>0.26401072</v>
      </c>
      <c r="BX61">
        <v>3.45</v>
      </c>
      <c r="BY61">
        <v>2.60401194</v>
      </c>
      <c r="BZ61">
        <v>3.45</v>
      </c>
      <c r="CA61">
        <v>0.24437439</v>
      </c>
      <c r="CB61">
        <v>3.45</v>
      </c>
      <c r="CC61">
        <v>1.38303267</v>
      </c>
      <c r="CD61">
        <v>3.45</v>
      </c>
      <c r="CE61">
        <v>0.20932151</v>
      </c>
      <c r="CF61">
        <v>3.45</v>
      </c>
      <c r="CG61">
        <v>4.02147566</v>
      </c>
      <c r="CK61">
        <v>3.45</v>
      </c>
      <c r="CL61">
        <v>0</v>
      </c>
      <c r="CM61">
        <v>0</v>
      </c>
      <c r="CN61">
        <v>1.03902524</v>
      </c>
      <c r="CO61">
        <v>0.19928933</v>
      </c>
      <c r="CP61">
        <v>0</v>
      </c>
      <c r="CR61">
        <v>3.45</v>
      </c>
      <c r="CS61">
        <v>0</v>
      </c>
      <c r="CT61">
        <v>0</v>
      </c>
      <c r="CU61">
        <v>0</v>
      </c>
      <c r="CV61">
        <v>0.13298391</v>
      </c>
      <c r="CW61">
        <v>0</v>
      </c>
      <c r="DZ61">
        <v>285</v>
      </c>
      <c r="EA61">
        <v>4.06588895</v>
      </c>
      <c r="EB61">
        <v>4.29759843</v>
      </c>
      <c r="EC61">
        <v>5.03338331</v>
      </c>
      <c r="ED61">
        <v>4.09868931</v>
      </c>
      <c r="EE61">
        <v>4.93498845</v>
      </c>
    </row>
    <row r="62" spans="23:135">
      <c r="W62">
        <v>29.94</v>
      </c>
      <c r="X62">
        <v>1.16434593654193</v>
      </c>
      <c r="Y62">
        <v>29.94</v>
      </c>
      <c r="Z62">
        <v>1.17416765499338</v>
      </c>
      <c r="AA62">
        <v>29.94</v>
      </c>
      <c r="AB62">
        <v>1.13655430882759</v>
      </c>
      <c r="AC62">
        <v>29.94</v>
      </c>
      <c r="AD62">
        <v>1.15910675086581</v>
      </c>
      <c r="AE62">
        <v>29.94</v>
      </c>
      <c r="AF62">
        <v>1.12208591350425</v>
      </c>
      <c r="AJ62">
        <v>295</v>
      </c>
      <c r="AK62">
        <v>3.16963697</v>
      </c>
      <c r="AL62">
        <v>4.22912967</v>
      </c>
      <c r="AM62">
        <v>1.39020852</v>
      </c>
      <c r="AN62">
        <v>2.81765723</v>
      </c>
      <c r="AO62">
        <v>3.59439943</v>
      </c>
      <c r="AP62">
        <v>5.25808911</v>
      </c>
      <c r="AQ62">
        <v>2.36535941</v>
      </c>
      <c r="AR62">
        <v>3.21588005</v>
      </c>
      <c r="AS62">
        <v>2.7061486</v>
      </c>
      <c r="AT62">
        <v>3.56630435</v>
      </c>
      <c r="BN62">
        <v>3.51</v>
      </c>
      <c r="BO62">
        <v>0.16604129</v>
      </c>
      <c r="BP62">
        <v>3.51</v>
      </c>
      <c r="BQ62">
        <v>7.05109437</v>
      </c>
      <c r="BR62">
        <v>3.51</v>
      </c>
      <c r="BS62">
        <v>0.16178752</v>
      </c>
      <c r="BT62">
        <v>3.51</v>
      </c>
      <c r="BU62">
        <v>3.30701394</v>
      </c>
      <c r="BV62">
        <v>3.51</v>
      </c>
      <c r="BW62">
        <v>0.22317931</v>
      </c>
      <c r="BX62">
        <v>3.51</v>
      </c>
      <c r="BY62">
        <v>3.42141857</v>
      </c>
      <c r="BZ62">
        <v>3.51</v>
      </c>
      <c r="CA62">
        <v>0.22795024</v>
      </c>
      <c r="CB62">
        <v>3.51</v>
      </c>
      <c r="CC62">
        <v>1.43893591</v>
      </c>
      <c r="CD62">
        <v>3.51</v>
      </c>
      <c r="CE62">
        <v>0.14067934</v>
      </c>
      <c r="CF62">
        <v>3.51</v>
      </c>
      <c r="CG62">
        <v>3.88516773</v>
      </c>
      <c r="CK62">
        <v>3.51</v>
      </c>
      <c r="CL62">
        <v>0</v>
      </c>
      <c r="CM62">
        <v>0</v>
      </c>
      <c r="CN62">
        <v>0.75285561</v>
      </c>
      <c r="CO62">
        <v>0.77013768</v>
      </c>
      <c r="CP62">
        <v>0.16497797</v>
      </c>
      <c r="CR62">
        <v>3.51</v>
      </c>
      <c r="CS62">
        <v>0</v>
      </c>
      <c r="CT62">
        <v>0</v>
      </c>
      <c r="CU62">
        <v>0</v>
      </c>
      <c r="CV62">
        <v>0.77085852</v>
      </c>
      <c r="CW62">
        <v>0</v>
      </c>
      <c r="DZ62">
        <v>290</v>
      </c>
      <c r="EA62">
        <v>4.05739484</v>
      </c>
      <c r="EB62">
        <v>4.27704264</v>
      </c>
      <c r="EC62">
        <v>5.01135448</v>
      </c>
      <c r="ED62">
        <v>4.07473065</v>
      </c>
      <c r="EE62">
        <v>4.93454944</v>
      </c>
    </row>
    <row r="63" spans="23:135">
      <c r="W63">
        <v>30.439</v>
      </c>
      <c r="X63">
        <v>1.15395711589272</v>
      </c>
      <c r="Y63">
        <v>30.439</v>
      </c>
      <c r="Z63">
        <v>1.16313141150614</v>
      </c>
      <c r="AA63">
        <v>30.439</v>
      </c>
      <c r="AB63">
        <v>1.14233154912288</v>
      </c>
      <c r="AC63">
        <v>30.439</v>
      </c>
      <c r="AD63">
        <v>1.15678819191261</v>
      </c>
      <c r="AE63">
        <v>30.439</v>
      </c>
      <c r="AF63">
        <v>1.12313655916662</v>
      </c>
      <c r="AJ63">
        <v>300</v>
      </c>
      <c r="AK63">
        <v>3.2376293</v>
      </c>
      <c r="AL63">
        <v>4.33882894</v>
      </c>
      <c r="AM63">
        <v>1.39651518</v>
      </c>
      <c r="AN63">
        <v>2.86993168</v>
      </c>
      <c r="AO63">
        <v>3.66153767</v>
      </c>
      <c r="AP63">
        <v>5.39400841</v>
      </c>
      <c r="AQ63">
        <v>2.40088432</v>
      </c>
      <c r="AR63">
        <v>3.26694006</v>
      </c>
      <c r="AS63">
        <v>2.77839648</v>
      </c>
      <c r="AT63">
        <v>3.65128454</v>
      </c>
      <c r="BN63">
        <v>3.57</v>
      </c>
      <c r="BO63">
        <v>0.13132399</v>
      </c>
      <c r="BP63">
        <v>3.57</v>
      </c>
      <c r="BQ63">
        <v>5.52655136</v>
      </c>
      <c r="BR63">
        <v>3.57</v>
      </c>
      <c r="BS63">
        <v>0.10426341</v>
      </c>
      <c r="BT63">
        <v>3.57</v>
      </c>
      <c r="BU63">
        <v>2.82069752</v>
      </c>
      <c r="BV63">
        <v>3.57</v>
      </c>
      <c r="BW63">
        <v>0.26197085</v>
      </c>
      <c r="BX63">
        <v>3.57</v>
      </c>
      <c r="BY63">
        <v>3.59920985</v>
      </c>
      <c r="BZ63">
        <v>3.57</v>
      </c>
      <c r="CA63">
        <v>0.29118024</v>
      </c>
      <c r="CB63">
        <v>3.57</v>
      </c>
      <c r="CC63">
        <v>1.3909759</v>
      </c>
      <c r="CD63">
        <v>3.57</v>
      </c>
      <c r="CE63">
        <v>0.20398571</v>
      </c>
      <c r="CF63">
        <v>3.57</v>
      </c>
      <c r="CG63">
        <v>6.65290882</v>
      </c>
      <c r="CK63">
        <v>3.57</v>
      </c>
      <c r="CL63">
        <v>0</v>
      </c>
      <c r="CM63">
        <v>0</v>
      </c>
      <c r="CN63">
        <v>0.72776278</v>
      </c>
      <c r="CO63">
        <v>1.86117211</v>
      </c>
      <c r="CP63">
        <v>0.6379169</v>
      </c>
      <c r="CR63">
        <v>3.57</v>
      </c>
      <c r="CS63">
        <v>0</v>
      </c>
      <c r="CT63">
        <v>0</v>
      </c>
      <c r="CU63">
        <v>0</v>
      </c>
      <c r="CV63">
        <v>0.74516566</v>
      </c>
      <c r="CW63">
        <v>0.10730498</v>
      </c>
      <c r="DZ63">
        <v>295</v>
      </c>
      <c r="EA63">
        <v>4.06275734</v>
      </c>
      <c r="EB63">
        <v>4.28584285</v>
      </c>
      <c r="EC63">
        <v>5.03741567</v>
      </c>
      <c r="ED63">
        <v>4.09901008</v>
      </c>
      <c r="EE63">
        <v>4.94983252</v>
      </c>
    </row>
    <row r="64" spans="23:135">
      <c r="W64">
        <v>30.938</v>
      </c>
      <c r="X64">
        <v>1.1481375038053</v>
      </c>
      <c r="Y64">
        <v>30.938</v>
      </c>
      <c r="Z64">
        <v>1.16155503706533</v>
      </c>
      <c r="AA64">
        <v>30.938</v>
      </c>
      <c r="AB64">
        <v>1.13863782773288</v>
      </c>
      <c r="AC64">
        <v>30.938</v>
      </c>
      <c r="AD64">
        <v>1.16385604883883</v>
      </c>
      <c r="AE64">
        <v>30.938</v>
      </c>
      <c r="AF64">
        <v>1.11960980625678</v>
      </c>
      <c r="AJ64">
        <v>305</v>
      </c>
      <c r="AK64">
        <v>3.25652544</v>
      </c>
      <c r="AL64">
        <v>4.41003295</v>
      </c>
      <c r="AM64">
        <v>1.45650821</v>
      </c>
      <c r="AN64">
        <v>2.94082708</v>
      </c>
      <c r="AO64">
        <v>3.70789693</v>
      </c>
      <c r="AP64">
        <v>5.52528593</v>
      </c>
      <c r="AQ64">
        <v>2.45319688</v>
      </c>
      <c r="AR64">
        <v>3.28842223</v>
      </c>
      <c r="AS64">
        <v>2.8152545</v>
      </c>
      <c r="AT64">
        <v>3.67118659</v>
      </c>
      <c r="BN64">
        <v>3.63</v>
      </c>
      <c r="BO64">
        <v>0.16230165</v>
      </c>
      <c r="BP64">
        <v>3.63</v>
      </c>
      <c r="BQ64">
        <v>6.59262233</v>
      </c>
      <c r="BR64">
        <v>3.63</v>
      </c>
      <c r="BS64">
        <v>0.19448726</v>
      </c>
      <c r="BT64">
        <v>3.63</v>
      </c>
      <c r="BU64">
        <v>3.72857288</v>
      </c>
      <c r="BV64">
        <v>3.63</v>
      </c>
      <c r="BW64">
        <v>0.20121546</v>
      </c>
      <c r="BX64">
        <v>3.63</v>
      </c>
      <c r="BY64">
        <v>5.268864</v>
      </c>
      <c r="BZ64">
        <v>3.63</v>
      </c>
      <c r="CA64">
        <v>0.27402248</v>
      </c>
      <c r="CB64">
        <v>3.63</v>
      </c>
      <c r="CC64">
        <v>2.21025775</v>
      </c>
      <c r="CD64">
        <v>3.63</v>
      </c>
      <c r="CE64">
        <v>0.2301813</v>
      </c>
      <c r="CF64">
        <v>3.63</v>
      </c>
      <c r="CG64">
        <v>5.60450368</v>
      </c>
      <c r="CK64">
        <v>3.63</v>
      </c>
      <c r="CL64">
        <v>0</v>
      </c>
      <c r="CM64">
        <v>0</v>
      </c>
      <c r="CN64">
        <v>0.46926926</v>
      </c>
      <c r="CO64">
        <v>1.08009338</v>
      </c>
      <c r="CP64">
        <v>0.46275262</v>
      </c>
      <c r="CR64">
        <v>3.63</v>
      </c>
      <c r="CS64">
        <v>0</v>
      </c>
      <c r="CT64">
        <v>0</v>
      </c>
      <c r="CU64">
        <v>0</v>
      </c>
      <c r="CV64">
        <v>0.84085893</v>
      </c>
      <c r="CW64">
        <v>0</v>
      </c>
      <c r="DZ64">
        <v>300</v>
      </c>
      <c r="EA64">
        <v>4.05498352</v>
      </c>
      <c r="EB64">
        <v>4.29997977</v>
      </c>
      <c r="EC64">
        <v>5.02262262</v>
      </c>
      <c r="ED64">
        <v>4.08205977</v>
      </c>
      <c r="EE64">
        <v>4.93091652</v>
      </c>
    </row>
    <row r="65" spans="23:135">
      <c r="W65">
        <v>31.437</v>
      </c>
      <c r="X65">
        <v>1.14557817522057</v>
      </c>
      <c r="Y65">
        <v>31.437</v>
      </c>
      <c r="Z65">
        <v>1.15680577409832</v>
      </c>
      <c r="AA65">
        <v>31.437</v>
      </c>
      <c r="AB65">
        <v>1.13851868715429</v>
      </c>
      <c r="AC65">
        <v>31.437</v>
      </c>
      <c r="AD65">
        <v>1.17116564696201</v>
      </c>
      <c r="AE65">
        <v>31.437</v>
      </c>
      <c r="AF65">
        <v>1.11389255772935</v>
      </c>
      <c r="AJ65">
        <v>310</v>
      </c>
      <c r="AK65">
        <v>3.36060315</v>
      </c>
      <c r="AL65">
        <v>4.53190165</v>
      </c>
      <c r="AM65">
        <v>1.49090736</v>
      </c>
      <c r="AN65">
        <v>2.98391639</v>
      </c>
      <c r="AO65">
        <v>3.71853271</v>
      </c>
      <c r="AP65">
        <v>5.60963547</v>
      </c>
      <c r="AQ65">
        <v>2.53893464</v>
      </c>
      <c r="AR65">
        <v>3.36787238</v>
      </c>
      <c r="AS65">
        <v>2.85682509</v>
      </c>
      <c r="AT65">
        <v>3.70240183</v>
      </c>
      <c r="BN65">
        <v>3.69</v>
      </c>
      <c r="BO65">
        <v>0.16389555</v>
      </c>
      <c r="BP65">
        <v>3.69</v>
      </c>
      <c r="BQ65">
        <v>9.39753198</v>
      </c>
      <c r="BR65">
        <v>3.69</v>
      </c>
      <c r="BS65">
        <v>0.13244691</v>
      </c>
      <c r="BT65">
        <v>3.69</v>
      </c>
      <c r="BU65">
        <v>5.19244168</v>
      </c>
      <c r="BV65">
        <v>3.69</v>
      </c>
      <c r="BW65">
        <v>0.26684566</v>
      </c>
      <c r="BX65">
        <v>3.69</v>
      </c>
      <c r="BY65">
        <v>6.19154041</v>
      </c>
      <c r="BZ65">
        <v>3.69</v>
      </c>
      <c r="CA65">
        <v>0.30938113</v>
      </c>
      <c r="CB65">
        <v>3.69</v>
      </c>
      <c r="CC65">
        <v>3.06895035</v>
      </c>
      <c r="CD65">
        <v>3.69</v>
      </c>
      <c r="CE65">
        <v>0.15115637</v>
      </c>
      <c r="CF65">
        <v>3.69</v>
      </c>
      <c r="CG65">
        <v>7.9347149</v>
      </c>
      <c r="CK65">
        <v>3.69</v>
      </c>
      <c r="CL65">
        <v>0</v>
      </c>
      <c r="CM65">
        <v>0</v>
      </c>
      <c r="CN65">
        <v>1.13533218</v>
      </c>
      <c r="CO65">
        <v>1.04525472</v>
      </c>
      <c r="CP65">
        <v>0.44782644</v>
      </c>
      <c r="CR65">
        <v>3.69</v>
      </c>
      <c r="CS65">
        <v>0</v>
      </c>
      <c r="CT65">
        <v>0</v>
      </c>
      <c r="CU65">
        <v>0</v>
      </c>
      <c r="CV65">
        <v>0.5812406</v>
      </c>
      <c r="CW65">
        <v>0</v>
      </c>
      <c r="DZ65">
        <v>305</v>
      </c>
      <c r="EA65">
        <v>4.06104883</v>
      </c>
      <c r="EB65">
        <v>4.29354479</v>
      </c>
      <c r="EC65">
        <v>5.02651228</v>
      </c>
      <c r="ED65">
        <v>4.10531698</v>
      </c>
      <c r="EE65">
        <v>4.93799148</v>
      </c>
    </row>
    <row r="66" spans="23:135">
      <c r="W66">
        <v>31.936</v>
      </c>
      <c r="X66">
        <v>1.14706860040347</v>
      </c>
      <c r="Y66">
        <v>31.936</v>
      </c>
      <c r="Z66">
        <v>1.15429075285586</v>
      </c>
      <c r="AA66">
        <v>31.936</v>
      </c>
      <c r="AB66">
        <v>1.14143406595289</v>
      </c>
      <c r="AC66">
        <v>31.936</v>
      </c>
      <c r="AD66">
        <v>1.16016038243801</v>
      </c>
      <c r="AE66">
        <v>31.936</v>
      </c>
      <c r="AF66">
        <v>1.1152320884361</v>
      </c>
      <c r="AJ66">
        <v>315</v>
      </c>
      <c r="AK66">
        <v>3.44734921</v>
      </c>
      <c r="AL66">
        <v>4.62481785</v>
      </c>
      <c r="AM66">
        <v>1.52795107</v>
      </c>
      <c r="AN66">
        <v>3.019089</v>
      </c>
      <c r="AO66">
        <v>3.78534254</v>
      </c>
      <c r="AP66">
        <v>5.74337716</v>
      </c>
      <c r="AQ66">
        <v>2.64745776</v>
      </c>
      <c r="AR66">
        <v>3.39070932</v>
      </c>
      <c r="AS66">
        <v>2.87819042</v>
      </c>
      <c r="AT66">
        <v>3.74589078</v>
      </c>
      <c r="BN66">
        <v>3.75</v>
      </c>
      <c r="BO66">
        <v>0.24465165</v>
      </c>
      <c r="BP66">
        <v>3.75</v>
      </c>
      <c r="BQ66">
        <v>11.01924264</v>
      </c>
      <c r="BR66">
        <v>3.75</v>
      </c>
      <c r="BS66">
        <v>0.19573871</v>
      </c>
      <c r="BT66">
        <v>3.75</v>
      </c>
      <c r="BU66">
        <v>6.64667922</v>
      </c>
      <c r="BV66">
        <v>3.75</v>
      </c>
      <c r="BW66">
        <v>0.34915552</v>
      </c>
      <c r="BX66">
        <v>3.75</v>
      </c>
      <c r="BY66">
        <v>8.28720635</v>
      </c>
      <c r="BZ66">
        <v>3.75</v>
      </c>
      <c r="CA66">
        <v>0.37088424</v>
      </c>
      <c r="CB66">
        <v>3.75</v>
      </c>
      <c r="CC66">
        <v>3.42176374</v>
      </c>
      <c r="CD66">
        <v>3.75</v>
      </c>
      <c r="CE66">
        <v>0.18487347</v>
      </c>
      <c r="CF66">
        <v>3.75</v>
      </c>
      <c r="CG66">
        <v>8.07184528</v>
      </c>
      <c r="CK66">
        <v>3.75</v>
      </c>
      <c r="CL66">
        <v>0</v>
      </c>
      <c r="CM66">
        <v>0</v>
      </c>
      <c r="CN66">
        <v>0.87943437</v>
      </c>
      <c r="CO66">
        <v>0.84339572</v>
      </c>
      <c r="CP66">
        <v>0.28907396</v>
      </c>
      <c r="CR66">
        <v>3.75</v>
      </c>
      <c r="CS66">
        <v>0</v>
      </c>
      <c r="CT66">
        <v>0</v>
      </c>
      <c r="CU66">
        <v>0</v>
      </c>
      <c r="CV66">
        <v>0.67534811</v>
      </c>
      <c r="CW66">
        <v>0</v>
      </c>
      <c r="DZ66">
        <v>310</v>
      </c>
      <c r="EA66">
        <v>4.04939706</v>
      </c>
      <c r="EB66">
        <v>4.2815192</v>
      </c>
      <c r="EC66">
        <v>5.03845883</v>
      </c>
      <c r="ED66">
        <v>4.10177905</v>
      </c>
      <c r="EE66">
        <v>4.94444849</v>
      </c>
    </row>
    <row r="67" spans="23:135">
      <c r="W67">
        <v>32.435</v>
      </c>
      <c r="X67">
        <v>1.14937377829766</v>
      </c>
      <c r="Y67">
        <v>32.435</v>
      </c>
      <c r="Z67">
        <v>1.15444276141864</v>
      </c>
      <c r="AA67">
        <v>32.435</v>
      </c>
      <c r="AB67">
        <v>1.14109117234895</v>
      </c>
      <c r="AC67">
        <v>32.435</v>
      </c>
      <c r="AD67">
        <v>1.1589609187659</v>
      </c>
      <c r="AE67">
        <v>32.435</v>
      </c>
      <c r="AF67">
        <v>1.11071359881939</v>
      </c>
      <c r="AJ67">
        <v>320</v>
      </c>
      <c r="AK67">
        <v>3.50962452</v>
      </c>
      <c r="AL67">
        <v>4.71574306</v>
      </c>
      <c r="AM67">
        <v>1.55576691</v>
      </c>
      <c r="AN67">
        <v>3.06806073</v>
      </c>
      <c r="AO67">
        <v>3.86402432</v>
      </c>
      <c r="AP67">
        <v>5.89558901</v>
      </c>
      <c r="AQ67">
        <v>2.70988699</v>
      </c>
      <c r="AR67">
        <v>3.44085856</v>
      </c>
      <c r="AS67">
        <v>2.92248742</v>
      </c>
      <c r="AT67">
        <v>3.77365852</v>
      </c>
      <c r="BN67">
        <v>3.81</v>
      </c>
      <c r="BO67">
        <v>0.26262929</v>
      </c>
      <c r="BP67">
        <v>3.81</v>
      </c>
      <c r="BQ67">
        <v>10.67491977</v>
      </c>
      <c r="BR67">
        <v>3.81</v>
      </c>
      <c r="BS67">
        <v>0.12423535</v>
      </c>
      <c r="BT67">
        <v>3.81</v>
      </c>
      <c r="BU67">
        <v>7.75980564</v>
      </c>
      <c r="BV67">
        <v>3.81</v>
      </c>
      <c r="BW67">
        <v>0.3179506</v>
      </c>
      <c r="BX67">
        <v>3.81</v>
      </c>
      <c r="BY67">
        <v>7.77203173</v>
      </c>
      <c r="BZ67">
        <v>3.81</v>
      </c>
      <c r="CA67">
        <v>0.36620459</v>
      </c>
      <c r="CB67">
        <v>3.81</v>
      </c>
      <c r="CC67">
        <v>4.7977983</v>
      </c>
      <c r="CD67">
        <v>3.81</v>
      </c>
      <c r="CE67">
        <v>0.14178485</v>
      </c>
      <c r="CF67">
        <v>3.81</v>
      </c>
      <c r="CG67">
        <v>8.76174397</v>
      </c>
      <c r="CK67">
        <v>3.81</v>
      </c>
      <c r="CL67">
        <v>0</v>
      </c>
      <c r="CM67">
        <v>0</v>
      </c>
      <c r="CN67">
        <v>1.91689721</v>
      </c>
      <c r="CO67">
        <v>1.63408357</v>
      </c>
      <c r="CP67">
        <v>0.56008229</v>
      </c>
      <c r="CR67">
        <v>3.81</v>
      </c>
      <c r="CS67">
        <v>0</v>
      </c>
      <c r="CT67">
        <v>0</v>
      </c>
      <c r="CU67">
        <v>0</v>
      </c>
      <c r="CV67">
        <v>0.54520435</v>
      </c>
      <c r="CW67">
        <v>0</v>
      </c>
      <c r="DZ67">
        <v>315</v>
      </c>
      <c r="EA67">
        <v>4.05322918</v>
      </c>
      <c r="EB67">
        <v>4.28121268</v>
      </c>
      <c r="EC67">
        <v>5.03287089</v>
      </c>
      <c r="ED67">
        <v>4.10879594</v>
      </c>
      <c r="EE67">
        <v>4.93858828</v>
      </c>
    </row>
    <row r="68" spans="23:135">
      <c r="W68">
        <v>32.934</v>
      </c>
      <c r="X68">
        <v>1.15460280663899</v>
      </c>
      <c r="Y68">
        <v>32.934</v>
      </c>
      <c r="Z68">
        <v>1.15252841338739</v>
      </c>
      <c r="AA68">
        <v>32.934</v>
      </c>
      <c r="AB68">
        <v>1.13442871571603</v>
      </c>
      <c r="AC68">
        <v>32.934</v>
      </c>
      <c r="AD68">
        <v>1.16187297283115</v>
      </c>
      <c r="AE68">
        <v>32.934</v>
      </c>
      <c r="AF68">
        <v>1.11505053363683</v>
      </c>
      <c r="AJ68">
        <v>325</v>
      </c>
      <c r="AK68">
        <v>3.58097714</v>
      </c>
      <c r="AL68">
        <v>4.78452598</v>
      </c>
      <c r="AM68">
        <v>1.55726333</v>
      </c>
      <c r="AN68">
        <v>3.11267978</v>
      </c>
      <c r="AO68">
        <v>3.92355334</v>
      </c>
      <c r="AP68">
        <v>6.05812117</v>
      </c>
      <c r="AQ68">
        <v>2.68440821</v>
      </c>
      <c r="AR68">
        <v>3.46989741</v>
      </c>
      <c r="AS68">
        <v>2.99990147</v>
      </c>
      <c r="AT68">
        <v>3.8099201</v>
      </c>
      <c r="BN68">
        <v>3.87</v>
      </c>
      <c r="BO68">
        <v>0.2855916</v>
      </c>
      <c r="BP68">
        <v>3.87</v>
      </c>
      <c r="BQ68">
        <v>9.17074986</v>
      </c>
      <c r="BR68">
        <v>3.87</v>
      </c>
      <c r="BS68">
        <v>0.17111326</v>
      </c>
      <c r="BT68">
        <v>3.87</v>
      </c>
      <c r="BU68">
        <v>8.32117445</v>
      </c>
      <c r="BV68">
        <v>3.87</v>
      </c>
      <c r="BW68">
        <v>0.30816829</v>
      </c>
      <c r="BX68">
        <v>3.87</v>
      </c>
      <c r="BY68">
        <v>8.52626242</v>
      </c>
      <c r="BZ68">
        <v>3.87</v>
      </c>
      <c r="CA68">
        <v>0.38842234</v>
      </c>
      <c r="CB68">
        <v>3.87</v>
      </c>
      <c r="CC68">
        <v>4.73473439</v>
      </c>
      <c r="CD68">
        <v>3.87</v>
      </c>
      <c r="CE68">
        <v>0.27484518</v>
      </c>
      <c r="CF68">
        <v>3.87</v>
      </c>
      <c r="CG68">
        <v>8.85742822</v>
      </c>
      <c r="CK68">
        <v>3.87</v>
      </c>
      <c r="CL68">
        <v>0</v>
      </c>
      <c r="CM68">
        <v>0</v>
      </c>
      <c r="CN68">
        <v>2.47722732</v>
      </c>
      <c r="CO68">
        <v>1.10866567</v>
      </c>
      <c r="CP68">
        <v>0.27142518</v>
      </c>
      <c r="CR68">
        <v>3.87</v>
      </c>
      <c r="CS68">
        <v>0</v>
      </c>
      <c r="CT68">
        <v>0</v>
      </c>
      <c r="CU68">
        <v>0</v>
      </c>
      <c r="CV68">
        <v>0.42274414</v>
      </c>
      <c r="CW68">
        <v>0.18262739</v>
      </c>
      <c r="DZ68">
        <v>320</v>
      </c>
      <c r="EA68">
        <v>4.06755287</v>
      </c>
      <c r="EB68">
        <v>4.27938281</v>
      </c>
      <c r="EC68">
        <v>5.04978435</v>
      </c>
      <c r="ED68">
        <v>4.11145045</v>
      </c>
      <c r="EE68">
        <v>4.94799499</v>
      </c>
    </row>
    <row r="69" spans="23:135">
      <c r="W69">
        <v>33.433</v>
      </c>
      <c r="X69">
        <v>1.16030928434833</v>
      </c>
      <c r="Y69">
        <v>33.433</v>
      </c>
      <c r="Z69">
        <v>1.16144213915941</v>
      </c>
      <c r="AA69">
        <v>33.433</v>
      </c>
      <c r="AB69">
        <v>1.13509792260877</v>
      </c>
      <c r="AC69">
        <v>33.433</v>
      </c>
      <c r="AD69">
        <v>1.15567927002624</v>
      </c>
      <c r="AE69">
        <v>33.433</v>
      </c>
      <c r="AF69">
        <v>1.11306702985314</v>
      </c>
      <c r="AJ69">
        <v>330</v>
      </c>
      <c r="AK69">
        <v>3.63001103</v>
      </c>
      <c r="AL69">
        <v>4.83318022</v>
      </c>
      <c r="AM69">
        <v>1.61581776</v>
      </c>
      <c r="AN69">
        <v>3.20143236</v>
      </c>
      <c r="AO69">
        <v>3.96877168</v>
      </c>
      <c r="AP69">
        <v>6.1917581</v>
      </c>
      <c r="AQ69">
        <v>2.75694151</v>
      </c>
      <c r="AR69">
        <v>3.53709259</v>
      </c>
      <c r="AS69">
        <v>3.08784689</v>
      </c>
      <c r="AT69">
        <v>3.87239073</v>
      </c>
      <c r="BN69">
        <v>3.93</v>
      </c>
      <c r="BO69">
        <v>0.23479525</v>
      </c>
      <c r="BP69">
        <v>3.93</v>
      </c>
      <c r="BQ69">
        <v>8.66484763</v>
      </c>
      <c r="BR69">
        <v>3.93</v>
      </c>
      <c r="BS69">
        <v>0.15978292</v>
      </c>
      <c r="BT69">
        <v>3.93</v>
      </c>
      <c r="BU69">
        <v>8.30179793</v>
      </c>
      <c r="BV69">
        <v>3.93</v>
      </c>
      <c r="BW69">
        <v>0.34969536</v>
      </c>
      <c r="BX69">
        <v>3.93</v>
      </c>
      <c r="BY69">
        <v>8.99034972</v>
      </c>
      <c r="BZ69">
        <v>3.93</v>
      </c>
      <c r="CA69">
        <v>0.46107508</v>
      </c>
      <c r="CB69">
        <v>3.93</v>
      </c>
      <c r="CC69">
        <v>5.4931251</v>
      </c>
      <c r="CD69">
        <v>3.93</v>
      </c>
      <c r="CE69">
        <v>0.19638108</v>
      </c>
      <c r="CF69">
        <v>3.93</v>
      </c>
      <c r="CG69">
        <v>9.91724456</v>
      </c>
      <c r="CK69">
        <v>3.93</v>
      </c>
      <c r="CL69">
        <v>0</v>
      </c>
      <c r="CM69">
        <v>0</v>
      </c>
      <c r="CN69">
        <v>1.80162424</v>
      </c>
      <c r="CO69">
        <v>0.92149059</v>
      </c>
      <c r="CP69">
        <v>0</v>
      </c>
      <c r="CR69">
        <v>3.93</v>
      </c>
      <c r="CS69">
        <v>0</v>
      </c>
      <c r="CT69">
        <v>0</v>
      </c>
      <c r="CU69">
        <v>0.13378497</v>
      </c>
      <c r="CV69">
        <v>1.84470619</v>
      </c>
      <c r="CW69">
        <v>0</v>
      </c>
      <c r="DZ69">
        <v>325</v>
      </c>
      <c r="EA69">
        <v>4.05022794</v>
      </c>
      <c r="EB69">
        <v>4.2920221</v>
      </c>
      <c r="EC69">
        <v>5.04201838</v>
      </c>
      <c r="ED69">
        <v>4.11098289</v>
      </c>
      <c r="EE69">
        <v>4.94596562</v>
      </c>
    </row>
    <row r="70" spans="23:135">
      <c r="W70">
        <v>33.932</v>
      </c>
      <c r="X70">
        <v>1.16226380304299</v>
      </c>
      <c r="Y70">
        <v>33.932</v>
      </c>
      <c r="Z70">
        <v>1.16431462087985</v>
      </c>
      <c r="AA70">
        <v>33.932</v>
      </c>
      <c r="AB70">
        <v>1.14208093237935</v>
      </c>
      <c r="AC70">
        <v>33.932</v>
      </c>
      <c r="AD70">
        <v>1.15892699181272</v>
      </c>
      <c r="AE70">
        <v>33.932</v>
      </c>
      <c r="AF70">
        <v>1.11978611847197</v>
      </c>
      <c r="AJ70">
        <v>335</v>
      </c>
      <c r="AK70">
        <v>3.68863132</v>
      </c>
      <c r="AL70">
        <v>4.91686087</v>
      </c>
      <c r="AM70">
        <v>1.61585874</v>
      </c>
      <c r="AN70">
        <v>3.25058205</v>
      </c>
      <c r="AO70">
        <v>4.01967626</v>
      </c>
      <c r="AP70">
        <v>6.35355815</v>
      </c>
      <c r="AQ70">
        <v>2.82935681</v>
      </c>
      <c r="AR70">
        <v>3.59334816</v>
      </c>
      <c r="AS70">
        <v>3.1257048</v>
      </c>
      <c r="AT70">
        <v>3.93104921</v>
      </c>
      <c r="BN70">
        <v>3.99</v>
      </c>
      <c r="BO70">
        <v>0.35044148</v>
      </c>
      <c r="BP70">
        <v>3.99</v>
      </c>
      <c r="BQ70">
        <v>11.13454789</v>
      </c>
      <c r="BR70">
        <v>3.99</v>
      </c>
      <c r="BS70">
        <v>0.19078601</v>
      </c>
      <c r="BT70">
        <v>3.99</v>
      </c>
      <c r="BU70">
        <v>9.40888054</v>
      </c>
      <c r="BV70">
        <v>3.99</v>
      </c>
      <c r="BW70">
        <v>0.40710897</v>
      </c>
      <c r="BX70">
        <v>3.99</v>
      </c>
      <c r="BY70">
        <v>10.51312657</v>
      </c>
      <c r="BZ70">
        <v>3.99</v>
      </c>
      <c r="CA70">
        <v>0.35281</v>
      </c>
      <c r="CB70">
        <v>3.99</v>
      </c>
      <c r="CC70">
        <v>6.5222599</v>
      </c>
      <c r="CD70">
        <v>3.99</v>
      </c>
      <c r="CE70">
        <v>0.25856204</v>
      </c>
      <c r="CF70">
        <v>3.99</v>
      </c>
      <c r="CG70">
        <v>10.39436425</v>
      </c>
      <c r="CK70">
        <v>3.99</v>
      </c>
      <c r="CL70">
        <v>0</v>
      </c>
      <c r="CM70">
        <v>0</v>
      </c>
      <c r="CN70">
        <v>2.52467001</v>
      </c>
      <c r="CO70">
        <v>1.19198064</v>
      </c>
      <c r="CP70">
        <v>0</v>
      </c>
      <c r="CR70">
        <v>3.99</v>
      </c>
      <c r="CS70">
        <v>0</v>
      </c>
      <c r="CT70">
        <v>0</v>
      </c>
      <c r="CU70">
        <v>0</v>
      </c>
      <c r="CV70">
        <v>0.89482224</v>
      </c>
      <c r="CW70">
        <v>0.17180767</v>
      </c>
      <c r="DZ70">
        <v>330</v>
      </c>
      <c r="EA70">
        <v>4.07125685</v>
      </c>
      <c r="EB70">
        <v>4.28553489</v>
      </c>
      <c r="EC70">
        <v>5.04967164</v>
      </c>
      <c r="ED70">
        <v>4.10719789</v>
      </c>
      <c r="EE70">
        <v>4.94696116</v>
      </c>
    </row>
    <row r="71" spans="23:135">
      <c r="W71">
        <v>34.431</v>
      </c>
      <c r="X71">
        <v>1.16575120164056</v>
      </c>
      <c r="Y71">
        <v>34.431</v>
      </c>
      <c r="Z71">
        <v>1.16770380790077</v>
      </c>
      <c r="AA71">
        <v>34.431</v>
      </c>
      <c r="AB71">
        <v>1.1452561882863</v>
      </c>
      <c r="AC71">
        <v>34.431</v>
      </c>
      <c r="AD71">
        <v>1.16096900885501</v>
      </c>
      <c r="AE71">
        <v>34.431</v>
      </c>
      <c r="AF71">
        <v>1.11836721006488</v>
      </c>
      <c r="AJ71">
        <v>340</v>
      </c>
      <c r="AK71">
        <v>3.74647941</v>
      </c>
      <c r="AL71">
        <v>4.99370533</v>
      </c>
      <c r="AM71">
        <v>1.60809932</v>
      </c>
      <c r="AN71">
        <v>3.18867076</v>
      </c>
      <c r="AO71">
        <v>4.09676917</v>
      </c>
      <c r="AP71">
        <v>6.47259039</v>
      </c>
      <c r="AQ71">
        <v>2.86766145</v>
      </c>
      <c r="AR71">
        <v>3.62180598</v>
      </c>
      <c r="AS71">
        <v>3.23661122</v>
      </c>
      <c r="AT71">
        <v>4.05073457</v>
      </c>
      <c r="BN71">
        <v>4.05</v>
      </c>
      <c r="BO71">
        <v>0.32879729</v>
      </c>
      <c r="BP71">
        <v>4.05</v>
      </c>
      <c r="BQ71">
        <v>10.30609444</v>
      </c>
      <c r="BR71">
        <v>4.05</v>
      </c>
      <c r="BS71">
        <v>0.16781491</v>
      </c>
      <c r="BT71">
        <v>4.05</v>
      </c>
      <c r="BU71">
        <v>10.73943075</v>
      </c>
      <c r="BV71">
        <v>4.05</v>
      </c>
      <c r="BW71">
        <v>0.31131932</v>
      </c>
      <c r="BX71">
        <v>4.05</v>
      </c>
      <c r="BY71">
        <v>11.26212591</v>
      </c>
      <c r="BZ71">
        <v>4.05</v>
      </c>
      <c r="CA71">
        <v>0.41581271</v>
      </c>
      <c r="CB71">
        <v>4.05</v>
      </c>
      <c r="CC71">
        <v>6.33044276</v>
      </c>
      <c r="CD71">
        <v>4.05</v>
      </c>
      <c r="CE71">
        <v>0.30379106</v>
      </c>
      <c r="CF71">
        <v>4.05</v>
      </c>
      <c r="CG71">
        <v>10.83906697</v>
      </c>
      <c r="CK71">
        <v>4.05</v>
      </c>
      <c r="CL71">
        <v>0</v>
      </c>
      <c r="CM71">
        <v>0</v>
      </c>
      <c r="CN71">
        <v>2.8274082</v>
      </c>
      <c r="CO71">
        <v>1.44615619</v>
      </c>
      <c r="CP71">
        <v>0</v>
      </c>
      <c r="CR71">
        <v>4.05</v>
      </c>
      <c r="CS71">
        <v>0</v>
      </c>
      <c r="CT71">
        <v>0</v>
      </c>
      <c r="CU71">
        <v>0.25194913</v>
      </c>
      <c r="CV71">
        <v>2.12301434</v>
      </c>
      <c r="CW71">
        <v>0.41688719</v>
      </c>
      <c r="DZ71">
        <v>335</v>
      </c>
      <c r="EA71">
        <v>4.04356321</v>
      </c>
      <c r="EB71">
        <v>4.2911415</v>
      </c>
      <c r="EC71">
        <v>5.03540588</v>
      </c>
      <c r="ED71">
        <v>4.11541057</v>
      </c>
      <c r="EE71">
        <v>4.95294484</v>
      </c>
    </row>
    <row r="72" spans="23:135">
      <c r="W72">
        <v>34.93</v>
      </c>
      <c r="X72">
        <v>1.15569754890895</v>
      </c>
      <c r="Y72">
        <v>34.93</v>
      </c>
      <c r="Z72">
        <v>1.17242442613892</v>
      </c>
      <c r="AA72">
        <v>34.93</v>
      </c>
      <c r="AB72">
        <v>1.15197516890751</v>
      </c>
      <c r="AC72">
        <v>34.93</v>
      </c>
      <c r="AD72">
        <v>1.1586275844443</v>
      </c>
      <c r="AE72">
        <v>34.93</v>
      </c>
      <c r="AF72">
        <v>1.11574141255305</v>
      </c>
      <c r="AJ72">
        <v>345</v>
      </c>
      <c r="AK72">
        <v>3.77486141</v>
      </c>
      <c r="AL72">
        <v>5.04742328</v>
      </c>
      <c r="AM72">
        <v>1.59085279</v>
      </c>
      <c r="AN72">
        <v>3.20069662</v>
      </c>
      <c r="AO72">
        <v>4.14917781</v>
      </c>
      <c r="AP72">
        <v>6.61284556</v>
      </c>
      <c r="AQ72">
        <v>2.95821438</v>
      </c>
      <c r="AR72">
        <v>3.63758408</v>
      </c>
      <c r="AS72">
        <v>3.28940816</v>
      </c>
      <c r="AT72">
        <v>4.12977114</v>
      </c>
      <c r="BN72">
        <v>4.11</v>
      </c>
      <c r="BO72">
        <v>0.34679068</v>
      </c>
      <c r="BP72">
        <v>4.11</v>
      </c>
      <c r="BQ72">
        <v>11.81427784</v>
      </c>
      <c r="BR72">
        <v>4.11</v>
      </c>
      <c r="BS72">
        <v>0.25285508</v>
      </c>
      <c r="BT72">
        <v>4.11</v>
      </c>
      <c r="BU72">
        <v>10.64098471</v>
      </c>
      <c r="BV72">
        <v>4.11</v>
      </c>
      <c r="BW72">
        <v>0.40112381</v>
      </c>
      <c r="BX72">
        <v>4.11</v>
      </c>
      <c r="BY72">
        <v>11.44946889</v>
      </c>
      <c r="BZ72">
        <v>4.11</v>
      </c>
      <c r="CA72">
        <v>0.55220258</v>
      </c>
      <c r="CB72">
        <v>4.11</v>
      </c>
      <c r="CC72">
        <v>7.27140946</v>
      </c>
      <c r="CD72">
        <v>4.11</v>
      </c>
      <c r="CE72">
        <v>0.38476454</v>
      </c>
      <c r="CF72">
        <v>4.11</v>
      </c>
      <c r="CG72">
        <v>10.44395256</v>
      </c>
      <c r="CK72">
        <v>4.11</v>
      </c>
      <c r="CL72">
        <v>0</v>
      </c>
      <c r="CM72">
        <v>0</v>
      </c>
      <c r="CN72">
        <v>2.74546016</v>
      </c>
      <c r="CO72">
        <v>0.56169664</v>
      </c>
      <c r="CP72">
        <v>0.12032598</v>
      </c>
      <c r="CR72">
        <v>4.11</v>
      </c>
      <c r="CS72">
        <v>0</v>
      </c>
      <c r="CT72">
        <v>0</v>
      </c>
      <c r="CU72">
        <v>0.12232339</v>
      </c>
      <c r="CV72">
        <v>1.96777833</v>
      </c>
      <c r="CW72">
        <v>0.40480436</v>
      </c>
      <c r="DZ72">
        <v>340</v>
      </c>
      <c r="EA72">
        <v>4.04849179</v>
      </c>
      <c r="EB72">
        <v>4.29348524</v>
      </c>
      <c r="EC72">
        <v>5.05331975</v>
      </c>
      <c r="ED72">
        <v>4.106903</v>
      </c>
      <c r="EE72">
        <v>4.93077809</v>
      </c>
    </row>
    <row r="73" spans="23:135">
      <c r="W73">
        <v>35.429</v>
      </c>
      <c r="X73">
        <v>1.15094571340242</v>
      </c>
      <c r="Y73">
        <v>35.429</v>
      </c>
      <c r="Z73">
        <v>1.16810789181732</v>
      </c>
      <c r="AA73">
        <v>35.429</v>
      </c>
      <c r="AB73">
        <v>1.15124050916637</v>
      </c>
      <c r="AC73">
        <v>35.429</v>
      </c>
      <c r="AD73">
        <v>1.1609700818902</v>
      </c>
      <c r="AE73">
        <v>35.429</v>
      </c>
      <c r="AF73">
        <v>1.12954655159064</v>
      </c>
      <c r="AJ73">
        <v>350</v>
      </c>
      <c r="AK73">
        <v>3.86012278</v>
      </c>
      <c r="AL73">
        <v>5.12366842</v>
      </c>
      <c r="AM73">
        <v>1.63387584</v>
      </c>
      <c r="AN73">
        <v>3.27741257</v>
      </c>
      <c r="AO73">
        <v>4.17638049</v>
      </c>
      <c r="AP73">
        <v>6.6926596</v>
      </c>
      <c r="AQ73">
        <v>2.96407103</v>
      </c>
      <c r="AR73">
        <v>3.70875823</v>
      </c>
      <c r="AS73">
        <v>3.36914038</v>
      </c>
      <c r="AT73">
        <v>4.27559299</v>
      </c>
      <c r="BN73">
        <v>4.17</v>
      </c>
      <c r="BO73">
        <v>0.35827246</v>
      </c>
      <c r="BP73">
        <v>4.17</v>
      </c>
      <c r="BQ73">
        <v>9.18140027</v>
      </c>
      <c r="BR73">
        <v>4.17</v>
      </c>
      <c r="BS73">
        <v>0.25654809</v>
      </c>
      <c r="BT73">
        <v>4.17</v>
      </c>
      <c r="BU73">
        <v>10.40589074</v>
      </c>
      <c r="BV73">
        <v>4.17</v>
      </c>
      <c r="BW73">
        <v>0.44613696</v>
      </c>
      <c r="BX73">
        <v>4.17</v>
      </c>
      <c r="BY73">
        <v>11.4788498</v>
      </c>
      <c r="BZ73">
        <v>4.17</v>
      </c>
      <c r="CA73">
        <v>0.48451421</v>
      </c>
      <c r="CB73">
        <v>4.17</v>
      </c>
      <c r="CC73">
        <v>9.61241588</v>
      </c>
      <c r="CD73">
        <v>4.17</v>
      </c>
      <c r="CE73">
        <v>0.57934664</v>
      </c>
      <c r="CF73">
        <v>4.17</v>
      </c>
      <c r="CG73">
        <v>8.80856081</v>
      </c>
      <c r="CK73">
        <v>4.17</v>
      </c>
      <c r="CL73">
        <v>0</v>
      </c>
      <c r="CM73">
        <v>0</v>
      </c>
      <c r="CN73">
        <v>1.24461113</v>
      </c>
      <c r="CO73">
        <v>0.40923695</v>
      </c>
      <c r="CP73">
        <v>0</v>
      </c>
      <c r="CR73">
        <v>4.17</v>
      </c>
      <c r="CS73">
        <v>0</v>
      </c>
      <c r="CT73">
        <v>0</v>
      </c>
      <c r="CU73">
        <v>0.11882867</v>
      </c>
      <c r="CV73">
        <v>1.54745331</v>
      </c>
      <c r="CW73">
        <v>1.41566156</v>
      </c>
      <c r="DZ73">
        <v>345</v>
      </c>
      <c r="EA73">
        <v>4.03695367</v>
      </c>
      <c r="EB73">
        <v>4.27863348</v>
      </c>
      <c r="EC73">
        <v>5.04052644</v>
      </c>
      <c r="ED73">
        <v>4.11612457</v>
      </c>
      <c r="EE73">
        <v>4.95516729</v>
      </c>
    </row>
    <row r="74" spans="23:135">
      <c r="W74">
        <v>35.928</v>
      </c>
      <c r="X74">
        <v>1.15956587829254</v>
      </c>
      <c r="Y74">
        <v>35.928</v>
      </c>
      <c r="Z74">
        <v>1.16722763453225</v>
      </c>
      <c r="AA74">
        <v>35.928</v>
      </c>
      <c r="AB74">
        <v>1.15329474928248</v>
      </c>
      <c r="AC74">
        <v>35.928</v>
      </c>
      <c r="AD74">
        <v>1.16604906765331</v>
      </c>
      <c r="AE74">
        <v>35.928</v>
      </c>
      <c r="AF74">
        <v>1.13802068767048</v>
      </c>
      <c r="AJ74">
        <v>355</v>
      </c>
      <c r="AK74">
        <v>4.01854967</v>
      </c>
      <c r="AL74">
        <v>5.2589421</v>
      </c>
      <c r="AM74">
        <v>1.6634472</v>
      </c>
      <c r="AN74">
        <v>3.35721422</v>
      </c>
      <c r="AO74">
        <v>4.29974847</v>
      </c>
      <c r="AP74">
        <v>6.80235241</v>
      </c>
      <c r="AQ74">
        <v>3.03851389</v>
      </c>
      <c r="AR74">
        <v>3.75384293</v>
      </c>
      <c r="AS74">
        <v>3.44547219</v>
      </c>
      <c r="AT74">
        <v>4.38867746</v>
      </c>
      <c r="BN74">
        <v>4.23</v>
      </c>
      <c r="BO74">
        <v>0.41573846</v>
      </c>
      <c r="BP74">
        <v>4.23</v>
      </c>
      <c r="BQ74">
        <v>12.13761415</v>
      </c>
      <c r="BR74">
        <v>4.23</v>
      </c>
      <c r="BS74">
        <v>0.29706435</v>
      </c>
      <c r="BT74">
        <v>4.23</v>
      </c>
      <c r="BU74">
        <v>10.31370301</v>
      </c>
      <c r="BV74">
        <v>4.23</v>
      </c>
      <c r="BW74">
        <v>0.36771174</v>
      </c>
      <c r="BX74">
        <v>4.23</v>
      </c>
      <c r="BY74">
        <v>11.70983533</v>
      </c>
      <c r="BZ74">
        <v>4.23</v>
      </c>
      <c r="CA74">
        <v>0.5549502</v>
      </c>
      <c r="CB74">
        <v>4.23</v>
      </c>
      <c r="CC74">
        <v>8.98781094</v>
      </c>
      <c r="CD74">
        <v>4.23</v>
      </c>
      <c r="CE74">
        <v>0.52670372</v>
      </c>
      <c r="CF74">
        <v>4.23</v>
      </c>
      <c r="CG74">
        <v>9.78337026</v>
      </c>
      <c r="CK74">
        <v>4.23</v>
      </c>
      <c r="CL74">
        <v>0</v>
      </c>
      <c r="CM74">
        <v>0</v>
      </c>
      <c r="CN74">
        <v>1.20955402</v>
      </c>
      <c r="CO74">
        <v>0.13256997</v>
      </c>
      <c r="CP74">
        <v>0.11359593</v>
      </c>
      <c r="CR74">
        <v>4.23</v>
      </c>
      <c r="CS74">
        <v>0</v>
      </c>
      <c r="CT74">
        <v>0</v>
      </c>
      <c r="CU74">
        <v>0.80837128</v>
      </c>
      <c r="CV74">
        <v>1.32694059</v>
      </c>
      <c r="CW74">
        <v>1.22292128</v>
      </c>
      <c r="DZ74">
        <v>350</v>
      </c>
      <c r="EA74">
        <v>4.06134655</v>
      </c>
      <c r="EB74">
        <v>4.2854572</v>
      </c>
      <c r="EC74">
        <v>5.03288436</v>
      </c>
      <c r="ED74">
        <v>4.11011352</v>
      </c>
      <c r="EE74">
        <v>4.95551082</v>
      </c>
    </row>
    <row r="75" spans="23:135">
      <c r="W75">
        <v>36.427</v>
      </c>
      <c r="X75">
        <v>1.16857422859677</v>
      </c>
      <c r="Y75">
        <v>36.427</v>
      </c>
      <c r="Z75">
        <v>1.1714264518457</v>
      </c>
      <c r="AA75">
        <v>36.427</v>
      </c>
      <c r="AB75">
        <v>1.14778817182579</v>
      </c>
      <c r="AC75">
        <v>36.427</v>
      </c>
      <c r="AD75">
        <v>1.16417052898467</v>
      </c>
      <c r="AE75">
        <v>36.427</v>
      </c>
      <c r="AF75">
        <v>1.13252630044754</v>
      </c>
      <c r="AJ75">
        <v>360</v>
      </c>
      <c r="AK75">
        <v>4.02331691</v>
      </c>
      <c r="AL75">
        <v>5.31673948</v>
      </c>
      <c r="AM75">
        <v>1.66446247</v>
      </c>
      <c r="AN75">
        <v>3.34532903</v>
      </c>
      <c r="AO75">
        <v>4.38499218</v>
      </c>
      <c r="AP75">
        <v>6.95222295</v>
      </c>
      <c r="AQ75">
        <v>3.08796591</v>
      </c>
      <c r="AR75">
        <v>3.7907662</v>
      </c>
      <c r="AS75">
        <v>3.47563101</v>
      </c>
      <c r="AT75">
        <v>4.48285781</v>
      </c>
      <c r="BN75">
        <v>4.29</v>
      </c>
      <c r="BO75">
        <v>0.3738766</v>
      </c>
      <c r="BP75">
        <v>4.29</v>
      </c>
      <c r="BQ75">
        <v>9.05766587</v>
      </c>
      <c r="BR75">
        <v>4.29</v>
      </c>
      <c r="BS75">
        <v>0.33007212</v>
      </c>
      <c r="BT75">
        <v>4.29</v>
      </c>
      <c r="BU75">
        <v>7.35764275</v>
      </c>
      <c r="BV75">
        <v>4.29</v>
      </c>
      <c r="BW75">
        <v>0.45354248</v>
      </c>
      <c r="BX75">
        <v>4.29</v>
      </c>
      <c r="BY75">
        <v>11.11512574</v>
      </c>
      <c r="BZ75">
        <v>4.29</v>
      </c>
      <c r="CA75">
        <v>0.43053877</v>
      </c>
      <c r="CB75">
        <v>4.29</v>
      </c>
      <c r="CC75">
        <v>9.01338362</v>
      </c>
      <c r="CD75">
        <v>4.29</v>
      </c>
      <c r="CE75">
        <v>0.45910084</v>
      </c>
      <c r="CF75">
        <v>4.29</v>
      </c>
      <c r="CG75">
        <v>8.02543587</v>
      </c>
      <c r="CK75">
        <v>4.29</v>
      </c>
      <c r="CL75">
        <v>0</v>
      </c>
      <c r="CM75">
        <v>0</v>
      </c>
      <c r="CN75">
        <v>1.84793319</v>
      </c>
      <c r="CO75">
        <v>0.12888772</v>
      </c>
      <c r="CP75">
        <v>0.11044069</v>
      </c>
      <c r="CR75">
        <v>4.29</v>
      </c>
      <c r="CS75">
        <v>0</v>
      </c>
      <c r="CT75">
        <v>0</v>
      </c>
      <c r="CU75">
        <v>1.01046598</v>
      </c>
      <c r="CV75">
        <v>2.58016707</v>
      </c>
      <c r="CW75">
        <v>1.18895346</v>
      </c>
      <c r="DZ75">
        <v>355</v>
      </c>
      <c r="EA75">
        <v>4.0355359</v>
      </c>
      <c r="EB75">
        <v>4.27973351</v>
      </c>
      <c r="EC75">
        <v>5.03454386</v>
      </c>
      <c r="ED75">
        <v>4.11187601</v>
      </c>
      <c r="EE75">
        <v>4.94992089</v>
      </c>
    </row>
    <row r="76" spans="23:135">
      <c r="W76">
        <v>36.926</v>
      </c>
      <c r="X76">
        <v>1.16168837182853</v>
      </c>
      <c r="Y76">
        <v>36.926</v>
      </c>
      <c r="Z76">
        <v>1.17437997834576</v>
      </c>
      <c r="AA76">
        <v>36.926</v>
      </c>
      <c r="AB76">
        <v>1.1559816367591</v>
      </c>
      <c r="AC76">
        <v>36.926</v>
      </c>
      <c r="AD76">
        <v>1.16646908057569</v>
      </c>
      <c r="AE76">
        <v>36.926</v>
      </c>
      <c r="AF76">
        <v>1.12772467810251</v>
      </c>
      <c r="AJ76">
        <v>365</v>
      </c>
      <c r="AK76">
        <v>4.08962706</v>
      </c>
      <c r="AL76">
        <v>5.44906449</v>
      </c>
      <c r="AM76">
        <v>1.74650833</v>
      </c>
      <c r="AN76">
        <v>3.41860282</v>
      </c>
      <c r="AO76">
        <v>4.55198861</v>
      </c>
      <c r="AP76">
        <v>7.1261237</v>
      </c>
      <c r="AQ76">
        <v>3.18582753</v>
      </c>
      <c r="AR76">
        <v>3.87831087</v>
      </c>
      <c r="AS76">
        <v>3.59452169</v>
      </c>
      <c r="AT76">
        <v>4.55509188</v>
      </c>
      <c r="BN76">
        <v>4.35</v>
      </c>
      <c r="BO76">
        <v>0.40294584</v>
      </c>
      <c r="BP76">
        <v>4.35</v>
      </c>
      <c r="BQ76">
        <v>6.45204749</v>
      </c>
      <c r="BR76">
        <v>4.35</v>
      </c>
      <c r="BS76">
        <v>0.38122267</v>
      </c>
      <c r="BT76">
        <v>4.35</v>
      </c>
      <c r="BU76">
        <v>7.3460606</v>
      </c>
      <c r="BV76">
        <v>4.35</v>
      </c>
      <c r="BW76">
        <v>0.34251473</v>
      </c>
      <c r="BX76">
        <v>4.35</v>
      </c>
      <c r="BY76">
        <v>8.64849685</v>
      </c>
      <c r="BZ76">
        <v>4.35</v>
      </c>
      <c r="CA76">
        <v>0.41344338</v>
      </c>
      <c r="CB76">
        <v>4.35</v>
      </c>
      <c r="CC76">
        <v>5.68815929</v>
      </c>
      <c r="CD76">
        <v>4.35</v>
      </c>
      <c r="CE76">
        <v>0.59536471</v>
      </c>
      <c r="CF76">
        <v>4.35</v>
      </c>
      <c r="CG76">
        <v>6.72146724</v>
      </c>
      <c r="CK76">
        <v>4.35</v>
      </c>
      <c r="CL76">
        <v>0</v>
      </c>
      <c r="CM76">
        <v>0</v>
      </c>
      <c r="CN76">
        <v>0.81695822</v>
      </c>
      <c r="CO76">
        <v>0</v>
      </c>
      <c r="CP76">
        <v>0.53707555</v>
      </c>
      <c r="CR76">
        <v>4.35</v>
      </c>
      <c r="CS76">
        <v>0</v>
      </c>
      <c r="CT76">
        <v>0</v>
      </c>
      <c r="CU76">
        <v>1.31037831</v>
      </c>
      <c r="CV76">
        <v>3.51327486</v>
      </c>
      <c r="CW76">
        <v>1.37320298</v>
      </c>
      <c r="DZ76">
        <v>360</v>
      </c>
      <c r="EA76">
        <v>4.03328828</v>
      </c>
      <c r="EB76">
        <v>4.28668222</v>
      </c>
      <c r="EC76">
        <v>5.04321109</v>
      </c>
      <c r="ED76">
        <v>4.12976148</v>
      </c>
      <c r="EE76">
        <v>4.95285713</v>
      </c>
    </row>
    <row r="77" spans="23:135">
      <c r="W77">
        <v>37.425</v>
      </c>
      <c r="X77">
        <v>1.16020288450948</v>
      </c>
      <c r="Y77">
        <v>37.425</v>
      </c>
      <c r="Z77">
        <v>1.18240612422939</v>
      </c>
      <c r="AA77">
        <v>37.425</v>
      </c>
      <c r="AB77">
        <v>1.15493602099671</v>
      </c>
      <c r="AC77">
        <v>37.425</v>
      </c>
      <c r="AD77">
        <v>1.16877598545212</v>
      </c>
      <c r="AE77">
        <v>37.425</v>
      </c>
      <c r="AF77">
        <v>1.13624701525712</v>
      </c>
      <c r="AJ77">
        <v>370</v>
      </c>
      <c r="AK77">
        <v>4.17811496</v>
      </c>
      <c r="AL77">
        <v>5.55884703</v>
      </c>
      <c r="AM77">
        <v>1.74812825</v>
      </c>
      <c r="AN77">
        <v>3.4118498</v>
      </c>
      <c r="AO77">
        <v>4.65709717</v>
      </c>
      <c r="AP77">
        <v>7.25374066</v>
      </c>
      <c r="AQ77">
        <v>3.22539167</v>
      </c>
      <c r="AR77">
        <v>3.9398994</v>
      </c>
      <c r="AS77">
        <v>3.64587741</v>
      </c>
      <c r="AT77">
        <v>4.62772196</v>
      </c>
      <c r="BN77">
        <v>4.41</v>
      </c>
      <c r="BO77">
        <v>0.38249374</v>
      </c>
      <c r="BP77">
        <v>4.41</v>
      </c>
      <c r="BQ77">
        <v>5.37224418</v>
      </c>
      <c r="BR77">
        <v>4.41</v>
      </c>
      <c r="BS77">
        <v>0.45876947</v>
      </c>
      <c r="BT77">
        <v>4.41</v>
      </c>
      <c r="BU77">
        <v>4.99094814</v>
      </c>
      <c r="BV77">
        <v>4.41</v>
      </c>
      <c r="BW77">
        <v>0.43929483</v>
      </c>
      <c r="BX77">
        <v>4.41</v>
      </c>
      <c r="BY77">
        <v>6.88481028</v>
      </c>
      <c r="BZ77">
        <v>4.41</v>
      </c>
      <c r="CA77">
        <v>0.37648339</v>
      </c>
      <c r="CB77">
        <v>4.41</v>
      </c>
      <c r="CC77">
        <v>6.31576671</v>
      </c>
      <c r="CD77">
        <v>4.41</v>
      </c>
      <c r="CE77">
        <v>0.62940431</v>
      </c>
      <c r="CF77">
        <v>4.41</v>
      </c>
      <c r="CG77">
        <v>5.69596979</v>
      </c>
      <c r="CK77">
        <v>4.41</v>
      </c>
      <c r="CL77">
        <v>0</v>
      </c>
      <c r="CM77">
        <v>0</v>
      </c>
      <c r="CN77">
        <v>1.58975927</v>
      </c>
      <c r="CO77">
        <v>0.12196896</v>
      </c>
      <c r="CP77">
        <v>0.20902435</v>
      </c>
      <c r="CR77">
        <v>4.41</v>
      </c>
      <c r="CS77">
        <v>0</v>
      </c>
      <c r="CT77">
        <v>0</v>
      </c>
      <c r="CU77">
        <v>1.9124473</v>
      </c>
      <c r="CV77">
        <v>2.76721737</v>
      </c>
      <c r="CW77">
        <v>1.33609168</v>
      </c>
      <c r="DZ77">
        <v>365</v>
      </c>
      <c r="EA77">
        <v>4.04994163</v>
      </c>
      <c r="EB77">
        <v>4.28360187</v>
      </c>
      <c r="EC77">
        <v>5.02324988</v>
      </c>
      <c r="ED77">
        <v>4.11324992</v>
      </c>
      <c r="EE77">
        <v>4.94475821</v>
      </c>
    </row>
    <row r="78" spans="23:135">
      <c r="W78">
        <v>37.924</v>
      </c>
      <c r="X78">
        <v>1.15770287422754</v>
      </c>
      <c r="Y78">
        <v>37.924</v>
      </c>
      <c r="Z78">
        <v>1.17639370019264</v>
      </c>
      <c r="AA78">
        <v>37.924</v>
      </c>
      <c r="AB78">
        <v>1.15172147541448</v>
      </c>
      <c r="AC78">
        <v>37.924</v>
      </c>
      <c r="AD78">
        <v>1.15549026773501</v>
      </c>
      <c r="AE78">
        <v>37.924</v>
      </c>
      <c r="AF78">
        <v>1.14055374305973</v>
      </c>
      <c r="AJ78">
        <v>375</v>
      </c>
      <c r="AK78">
        <v>4.22671096</v>
      </c>
      <c r="AL78">
        <v>5.5988337</v>
      </c>
      <c r="AM78">
        <v>1.77476255</v>
      </c>
      <c r="AN78">
        <v>3.48253786</v>
      </c>
      <c r="AO78">
        <v>4.75902059</v>
      </c>
      <c r="AP78">
        <v>7.42729093</v>
      </c>
      <c r="AQ78">
        <v>3.29635294</v>
      </c>
      <c r="AR78">
        <v>3.96515005</v>
      </c>
      <c r="AS78">
        <v>3.70558906</v>
      </c>
      <c r="AT78">
        <v>4.73190783</v>
      </c>
      <c r="BN78">
        <v>4.47</v>
      </c>
      <c r="BO78">
        <v>0.39556293</v>
      </c>
      <c r="BP78">
        <v>4.47</v>
      </c>
      <c r="BQ78">
        <v>4.46520745</v>
      </c>
      <c r="BR78">
        <v>4.47</v>
      </c>
      <c r="BS78">
        <v>0.44178596</v>
      </c>
      <c r="BT78">
        <v>4.47</v>
      </c>
      <c r="BU78">
        <v>4.67794329</v>
      </c>
      <c r="BV78">
        <v>4.47</v>
      </c>
      <c r="BW78">
        <v>0.46689879</v>
      </c>
      <c r="BX78">
        <v>4.47</v>
      </c>
      <c r="BY78">
        <v>5.08796816</v>
      </c>
      <c r="BZ78">
        <v>4.47</v>
      </c>
      <c r="CA78">
        <v>0.41162252</v>
      </c>
      <c r="CB78">
        <v>4.47</v>
      </c>
      <c r="CC78">
        <v>5.19673426</v>
      </c>
      <c r="CD78">
        <v>4.47</v>
      </c>
      <c r="CE78">
        <v>0.55298551</v>
      </c>
      <c r="CF78">
        <v>4.47</v>
      </c>
      <c r="CG78">
        <v>4.3805127</v>
      </c>
      <c r="CK78">
        <v>4.47</v>
      </c>
      <c r="CL78">
        <v>0</v>
      </c>
      <c r="CM78">
        <v>0</v>
      </c>
      <c r="CN78">
        <v>2.0115787</v>
      </c>
      <c r="CO78">
        <v>0</v>
      </c>
      <c r="CP78">
        <v>0.20345071</v>
      </c>
      <c r="CR78">
        <v>4.47</v>
      </c>
      <c r="CS78">
        <v>0</v>
      </c>
      <c r="CT78">
        <v>0</v>
      </c>
      <c r="CU78">
        <v>3.10241961</v>
      </c>
      <c r="CV78">
        <v>3.01030338</v>
      </c>
      <c r="CW78">
        <v>1.64269226</v>
      </c>
      <c r="DZ78">
        <v>370</v>
      </c>
      <c r="EA78">
        <v>4.02204158</v>
      </c>
      <c r="EB78">
        <v>4.27348029</v>
      </c>
      <c r="EC78">
        <v>5.03709408</v>
      </c>
      <c r="ED78">
        <v>4.09843714</v>
      </c>
      <c r="EE78">
        <v>4.95064065</v>
      </c>
    </row>
    <row r="79" spans="23:135">
      <c r="W79">
        <v>38.423</v>
      </c>
      <c r="X79">
        <v>1.15547276309272</v>
      </c>
      <c r="Y79">
        <v>38.423</v>
      </c>
      <c r="Z79">
        <v>1.18481750919776</v>
      </c>
      <c r="AA79">
        <v>38.423</v>
      </c>
      <c r="AB79">
        <v>1.15369988101392</v>
      </c>
      <c r="AC79">
        <v>38.423</v>
      </c>
      <c r="AD79">
        <v>1.17132636483176</v>
      </c>
      <c r="AE79">
        <v>38.423</v>
      </c>
      <c r="AF79">
        <v>1.14208027853481</v>
      </c>
      <c r="AJ79">
        <v>380</v>
      </c>
      <c r="AK79">
        <v>4.33975746</v>
      </c>
      <c r="AL79">
        <v>5.70888147</v>
      </c>
      <c r="AM79">
        <v>1.82076815</v>
      </c>
      <c r="AN79">
        <v>3.58745647</v>
      </c>
      <c r="AO79">
        <v>4.93220073</v>
      </c>
      <c r="AP79">
        <v>7.57945204</v>
      </c>
      <c r="AQ79">
        <v>3.36973079</v>
      </c>
      <c r="AR79">
        <v>4.10297181</v>
      </c>
      <c r="AS79">
        <v>3.80306254</v>
      </c>
      <c r="AT79">
        <v>4.80915974</v>
      </c>
      <c r="BN79">
        <v>4.53</v>
      </c>
      <c r="BO79">
        <v>0.42140378</v>
      </c>
      <c r="BP79">
        <v>4.53</v>
      </c>
      <c r="BQ79">
        <v>3.20357495</v>
      </c>
      <c r="BR79">
        <v>4.53</v>
      </c>
      <c r="BS79">
        <v>0.4856653</v>
      </c>
      <c r="BT79">
        <v>4.53</v>
      </c>
      <c r="BU79">
        <v>3.27014636</v>
      </c>
      <c r="BV79">
        <v>4.53</v>
      </c>
      <c r="BW79">
        <v>0.42111492</v>
      </c>
      <c r="BX79">
        <v>4.53</v>
      </c>
      <c r="BY79">
        <v>3.68535375</v>
      </c>
      <c r="BZ79">
        <v>4.53</v>
      </c>
      <c r="CA79">
        <v>0.46921871</v>
      </c>
      <c r="CB79">
        <v>4.53</v>
      </c>
      <c r="CC79">
        <v>4.25779317</v>
      </c>
      <c r="CD79">
        <v>4.53</v>
      </c>
      <c r="CE79">
        <v>0.71791215</v>
      </c>
      <c r="CF79">
        <v>4.53</v>
      </c>
      <c r="CG79">
        <v>3.79873186</v>
      </c>
      <c r="CK79">
        <v>4.53</v>
      </c>
      <c r="CL79">
        <v>0</v>
      </c>
      <c r="CM79">
        <v>0</v>
      </c>
      <c r="CN79">
        <v>1.20532032</v>
      </c>
      <c r="CO79">
        <v>0</v>
      </c>
      <c r="CP79">
        <v>0.19809705</v>
      </c>
      <c r="CR79">
        <v>4.53</v>
      </c>
      <c r="CS79">
        <v>0</v>
      </c>
      <c r="CT79">
        <v>0</v>
      </c>
      <c r="CU79">
        <v>2.61801086</v>
      </c>
      <c r="CV79">
        <v>2.08261623</v>
      </c>
      <c r="CW79">
        <v>0.93302186</v>
      </c>
      <c r="DZ79">
        <v>375</v>
      </c>
      <c r="EA79">
        <v>4.03397372</v>
      </c>
      <c r="EB79">
        <v>4.28407038</v>
      </c>
      <c r="EC79">
        <v>5.03098755</v>
      </c>
      <c r="ED79">
        <v>4.10984551</v>
      </c>
      <c r="EE79">
        <v>4.94421644</v>
      </c>
    </row>
    <row r="80" spans="23:135">
      <c r="W80">
        <v>38.922</v>
      </c>
      <c r="X80">
        <v>1.15662254036282</v>
      </c>
      <c r="Y80">
        <v>38.922</v>
      </c>
      <c r="Z80">
        <v>1.17324026729193</v>
      </c>
      <c r="AA80">
        <v>38.922</v>
      </c>
      <c r="AB80">
        <v>1.15124630385568</v>
      </c>
      <c r="AC80">
        <v>38.922</v>
      </c>
      <c r="AD80">
        <v>1.16574358558357</v>
      </c>
      <c r="AE80">
        <v>38.922</v>
      </c>
      <c r="AF80">
        <v>1.14043897755088</v>
      </c>
      <c r="AJ80">
        <v>385</v>
      </c>
      <c r="AK80">
        <v>4.43682139</v>
      </c>
      <c r="AL80">
        <v>5.83386664</v>
      </c>
      <c r="AM80">
        <v>1.96423717</v>
      </c>
      <c r="AN80">
        <v>3.73034175</v>
      </c>
      <c r="AO80">
        <v>5.01697636</v>
      </c>
      <c r="AP80">
        <v>7.7064282</v>
      </c>
      <c r="AQ80">
        <v>3.44054681</v>
      </c>
      <c r="AR80">
        <v>4.17843936</v>
      </c>
      <c r="AS80">
        <v>3.88775861</v>
      </c>
      <c r="AT80">
        <v>4.93869979</v>
      </c>
      <c r="BN80">
        <v>4.59</v>
      </c>
      <c r="BO80">
        <v>0.40604531</v>
      </c>
      <c r="BP80">
        <v>4.59</v>
      </c>
      <c r="BQ80">
        <v>2.84176549</v>
      </c>
      <c r="BR80">
        <v>4.59</v>
      </c>
      <c r="BS80">
        <v>0.51810384</v>
      </c>
      <c r="BT80">
        <v>4.59</v>
      </c>
      <c r="BU80">
        <v>2.84393958</v>
      </c>
      <c r="BV80">
        <v>4.59</v>
      </c>
      <c r="BW80">
        <v>0.52204409</v>
      </c>
      <c r="BX80">
        <v>4.59</v>
      </c>
      <c r="BY80">
        <v>2.70693842</v>
      </c>
      <c r="BZ80">
        <v>4.59</v>
      </c>
      <c r="CA80">
        <v>0.4475104</v>
      </c>
      <c r="CB80">
        <v>4.59</v>
      </c>
      <c r="CC80">
        <v>2.94511833</v>
      </c>
      <c r="CD80">
        <v>4.59</v>
      </c>
      <c r="CE80">
        <v>0.72497446</v>
      </c>
      <c r="CF80">
        <v>4.59</v>
      </c>
      <c r="CG80">
        <v>2.9211072</v>
      </c>
      <c r="CK80">
        <v>4.59</v>
      </c>
      <c r="CL80">
        <v>0</v>
      </c>
      <c r="CM80">
        <v>0.42680678</v>
      </c>
      <c r="CN80">
        <v>2.20127828</v>
      </c>
      <c r="CO80">
        <v>0.11259047</v>
      </c>
      <c r="CP80">
        <v>0.28942795</v>
      </c>
      <c r="CR80">
        <v>4.59</v>
      </c>
      <c r="CS80">
        <v>0</v>
      </c>
      <c r="CT80">
        <v>0</v>
      </c>
      <c r="CU80">
        <v>3.62886672</v>
      </c>
      <c r="CV80">
        <v>1.95339481</v>
      </c>
      <c r="CW80">
        <v>0.90878891</v>
      </c>
      <c r="DZ80">
        <v>380</v>
      </c>
      <c r="EA80">
        <v>4.05729361</v>
      </c>
      <c r="EB80">
        <v>4.29359874</v>
      </c>
      <c r="EC80">
        <v>5.01537899</v>
      </c>
      <c r="ED80">
        <v>4.10952993</v>
      </c>
      <c r="EE80">
        <v>4.93434664</v>
      </c>
    </row>
    <row r="81" spans="23:135">
      <c r="W81">
        <v>39.421</v>
      </c>
      <c r="X81">
        <v>1.15339975490915</v>
      </c>
      <c r="Y81">
        <v>39.421</v>
      </c>
      <c r="Z81">
        <v>1.17789286121885</v>
      </c>
      <c r="AA81">
        <v>39.421</v>
      </c>
      <c r="AB81">
        <v>1.16251753790747</v>
      </c>
      <c r="AC81">
        <v>39.421</v>
      </c>
      <c r="AD81">
        <v>1.17104811652816</v>
      </c>
      <c r="AE81">
        <v>39.421</v>
      </c>
      <c r="AF81">
        <v>1.13746300036219</v>
      </c>
      <c r="AJ81">
        <v>390</v>
      </c>
      <c r="AK81">
        <v>4.45367195</v>
      </c>
      <c r="AL81">
        <v>5.92950631</v>
      </c>
      <c r="AM81">
        <v>1.9983033</v>
      </c>
      <c r="AN81">
        <v>3.78113568</v>
      </c>
      <c r="AO81">
        <v>5.13861116</v>
      </c>
      <c r="AP81">
        <v>7.89824236</v>
      </c>
      <c r="AQ81">
        <v>3.56748197</v>
      </c>
      <c r="AR81">
        <v>4.31232588</v>
      </c>
      <c r="AS81">
        <v>3.94430621</v>
      </c>
      <c r="AT81">
        <v>5.11672019</v>
      </c>
      <c r="BN81">
        <v>4.65</v>
      </c>
      <c r="BO81">
        <v>0.38273335</v>
      </c>
      <c r="BP81">
        <v>4.65</v>
      </c>
      <c r="BQ81">
        <v>2.66031929</v>
      </c>
      <c r="BR81">
        <v>4.65</v>
      </c>
      <c r="BS81">
        <v>0.61456332</v>
      </c>
      <c r="BT81">
        <v>4.65</v>
      </c>
      <c r="BU81">
        <v>2.43849945</v>
      </c>
      <c r="BV81">
        <v>4.65</v>
      </c>
      <c r="BW81">
        <v>0.65853185</v>
      </c>
      <c r="BX81">
        <v>4.65</v>
      </c>
      <c r="BY81">
        <v>2.35084516</v>
      </c>
      <c r="BZ81">
        <v>4.65</v>
      </c>
      <c r="CA81">
        <v>0.4082043</v>
      </c>
      <c r="CB81">
        <v>4.65</v>
      </c>
      <c r="CC81">
        <v>2.16684585</v>
      </c>
      <c r="CD81">
        <v>4.65</v>
      </c>
      <c r="CE81">
        <v>0.7364454</v>
      </c>
      <c r="CF81">
        <v>4.65</v>
      </c>
      <c r="CG81">
        <v>2.7197129</v>
      </c>
      <c r="CK81">
        <v>4.65</v>
      </c>
      <c r="CL81">
        <v>0</v>
      </c>
      <c r="CM81">
        <v>0.62379543</v>
      </c>
      <c r="CN81">
        <v>1.85885993</v>
      </c>
      <c r="CO81">
        <v>0</v>
      </c>
      <c r="CP81">
        <v>0.18800476</v>
      </c>
      <c r="CR81">
        <v>4.65</v>
      </c>
      <c r="CS81">
        <v>0</v>
      </c>
      <c r="CT81">
        <v>0</v>
      </c>
      <c r="CU81">
        <v>2.4846331</v>
      </c>
      <c r="CV81">
        <v>2.4157403</v>
      </c>
      <c r="CW81">
        <v>0.94873706</v>
      </c>
      <c r="DZ81">
        <v>385</v>
      </c>
      <c r="EA81">
        <v>4.0432883</v>
      </c>
      <c r="EB81">
        <v>4.2921407</v>
      </c>
      <c r="EC81">
        <v>5.02132475</v>
      </c>
      <c r="ED81">
        <v>4.11878678</v>
      </c>
      <c r="EE81">
        <v>4.9518597</v>
      </c>
    </row>
    <row r="82" spans="23:135">
      <c r="W82">
        <v>39.92</v>
      </c>
      <c r="X82">
        <v>1.15224555493897</v>
      </c>
      <c r="Y82">
        <v>39.92</v>
      </c>
      <c r="Z82">
        <v>1.18321956978661</v>
      </c>
      <c r="AA82">
        <v>39.92</v>
      </c>
      <c r="AB82">
        <v>1.14022372457335</v>
      </c>
      <c r="AC82">
        <v>39.92</v>
      </c>
      <c r="AD82">
        <v>1.16083265306955</v>
      </c>
      <c r="AE82">
        <v>39.92</v>
      </c>
      <c r="AF82">
        <v>1.13994905789254</v>
      </c>
      <c r="AJ82">
        <v>395</v>
      </c>
      <c r="AK82">
        <v>4.58390754</v>
      </c>
      <c r="AL82">
        <v>6.07152392</v>
      </c>
      <c r="AM82">
        <v>2.08065152</v>
      </c>
      <c r="AN82">
        <v>3.8417121</v>
      </c>
      <c r="AO82">
        <v>5.21574049</v>
      </c>
      <c r="AP82">
        <v>8.05774003</v>
      </c>
      <c r="AQ82">
        <v>3.67673884</v>
      </c>
      <c r="AR82">
        <v>4.44282754</v>
      </c>
      <c r="AS82">
        <v>4.07526509</v>
      </c>
      <c r="AT82">
        <v>5.32342681</v>
      </c>
      <c r="BN82">
        <v>4.71</v>
      </c>
      <c r="BO82">
        <v>0.40238499</v>
      </c>
      <c r="BP82">
        <v>4.71</v>
      </c>
      <c r="BQ82">
        <v>2.80464435</v>
      </c>
      <c r="BR82">
        <v>4.71</v>
      </c>
      <c r="BS82">
        <v>0.65034893</v>
      </c>
      <c r="BT82">
        <v>4.71</v>
      </c>
      <c r="BU82">
        <v>1.51248913</v>
      </c>
      <c r="BV82">
        <v>4.71</v>
      </c>
      <c r="BW82">
        <v>0.50906222</v>
      </c>
      <c r="BX82">
        <v>4.71</v>
      </c>
      <c r="BY82">
        <v>2.79430892</v>
      </c>
      <c r="BZ82">
        <v>4.71</v>
      </c>
      <c r="CA82">
        <v>0.40239183</v>
      </c>
      <c r="CB82">
        <v>4.71</v>
      </c>
      <c r="CC82">
        <v>2.45447714</v>
      </c>
      <c r="CD82">
        <v>4.71</v>
      </c>
      <c r="CE82">
        <v>0.74221726</v>
      </c>
      <c r="CF82">
        <v>4.71</v>
      </c>
      <c r="CG82">
        <v>2.52756717</v>
      </c>
      <c r="CK82">
        <v>4.71</v>
      </c>
      <c r="CL82">
        <v>0</v>
      </c>
      <c r="CM82">
        <v>0.405336</v>
      </c>
      <c r="CN82">
        <v>0.6968472</v>
      </c>
      <c r="CO82">
        <v>0</v>
      </c>
      <c r="CP82">
        <v>0.0916227</v>
      </c>
      <c r="CR82">
        <v>4.71</v>
      </c>
      <c r="CS82">
        <v>0</v>
      </c>
      <c r="CT82">
        <v>0</v>
      </c>
      <c r="CU82">
        <v>2.04915987</v>
      </c>
      <c r="CV82">
        <v>1.42702159</v>
      </c>
      <c r="CW82">
        <v>0.86307172</v>
      </c>
      <c r="DZ82">
        <v>390</v>
      </c>
      <c r="EA82">
        <v>4.03911264</v>
      </c>
      <c r="EB82">
        <v>4.27598345</v>
      </c>
      <c r="EC82">
        <v>5.0240641</v>
      </c>
      <c r="ED82">
        <v>4.11148535</v>
      </c>
      <c r="EE82">
        <v>4.93874492</v>
      </c>
    </row>
    <row r="83" spans="23:135">
      <c r="W83">
        <v>40.419</v>
      </c>
      <c r="X83">
        <v>1.15996860180476</v>
      </c>
      <c r="Y83">
        <v>40.419</v>
      </c>
      <c r="Z83">
        <v>1.18187754791253</v>
      </c>
      <c r="AA83">
        <v>40.419</v>
      </c>
      <c r="AB83">
        <v>1.15361671606726</v>
      </c>
      <c r="AC83">
        <v>40.419</v>
      </c>
      <c r="AD83">
        <v>1.15432912610792</v>
      </c>
      <c r="AE83">
        <v>40.419</v>
      </c>
      <c r="AF83">
        <v>1.13499468735587</v>
      </c>
      <c r="AJ83">
        <v>400</v>
      </c>
      <c r="AK83">
        <v>4.63048795</v>
      </c>
      <c r="AL83">
        <v>6.1169761</v>
      </c>
      <c r="AM83">
        <v>2.07484806</v>
      </c>
      <c r="AN83">
        <v>3.85177848</v>
      </c>
      <c r="AO83">
        <v>5.47008343</v>
      </c>
      <c r="AP83">
        <v>8.28482269</v>
      </c>
      <c r="AQ83">
        <v>3.74933466</v>
      </c>
      <c r="AR83">
        <v>4.61819968</v>
      </c>
      <c r="AS83">
        <v>4.14980908</v>
      </c>
      <c r="AT83">
        <v>5.37500519</v>
      </c>
      <c r="BN83">
        <v>4.77</v>
      </c>
      <c r="BO83">
        <v>0.38823917</v>
      </c>
      <c r="BP83">
        <v>4.77</v>
      </c>
      <c r="BQ83">
        <v>3.19888642</v>
      </c>
      <c r="BR83">
        <v>4.77</v>
      </c>
      <c r="BS83">
        <v>0.73421071</v>
      </c>
      <c r="BT83">
        <v>4.77</v>
      </c>
      <c r="BU83">
        <v>1.89601572</v>
      </c>
      <c r="BV83">
        <v>4.77</v>
      </c>
      <c r="BW83">
        <v>0.56970779</v>
      </c>
      <c r="BX83">
        <v>4.77</v>
      </c>
      <c r="BY83">
        <v>2.3430312</v>
      </c>
      <c r="BZ83">
        <v>4.77</v>
      </c>
      <c r="CA83">
        <v>0.44963957</v>
      </c>
      <c r="CB83">
        <v>4.77</v>
      </c>
      <c r="CC83">
        <v>2.78269587</v>
      </c>
      <c r="CD83">
        <v>4.77</v>
      </c>
      <c r="CE83">
        <v>0.95218791</v>
      </c>
      <c r="CF83">
        <v>4.77</v>
      </c>
      <c r="CG83">
        <v>2.58459505</v>
      </c>
      <c r="CK83">
        <v>4.77</v>
      </c>
      <c r="CL83">
        <v>0</v>
      </c>
      <c r="CM83">
        <v>0.19760157</v>
      </c>
      <c r="CN83">
        <v>0.95119772</v>
      </c>
      <c r="CO83">
        <v>0</v>
      </c>
      <c r="CP83">
        <v>0.08933225</v>
      </c>
      <c r="CR83">
        <v>4.77</v>
      </c>
      <c r="CS83">
        <v>0</v>
      </c>
      <c r="CT83">
        <v>0</v>
      </c>
      <c r="CU83">
        <v>2.1795639</v>
      </c>
      <c r="CV83">
        <v>1.32178054</v>
      </c>
      <c r="CW83">
        <v>0.54096175</v>
      </c>
      <c r="DZ83">
        <v>395</v>
      </c>
      <c r="EA83">
        <v>4.02454595</v>
      </c>
      <c r="EB83">
        <v>4.28047636</v>
      </c>
      <c r="EC83">
        <v>5.02845044</v>
      </c>
      <c r="ED83">
        <v>4.11494916</v>
      </c>
      <c r="EE83">
        <v>4.95319069</v>
      </c>
    </row>
    <row r="84" spans="23:135">
      <c r="W84">
        <v>40.918</v>
      </c>
      <c r="X84">
        <v>1.16044303129834</v>
      </c>
      <c r="Y84">
        <v>40.918</v>
      </c>
      <c r="Z84">
        <v>1.17684081648702</v>
      </c>
      <c r="AA84">
        <v>40.918</v>
      </c>
      <c r="AB84">
        <v>1.14833554661643</v>
      </c>
      <c r="AC84">
        <v>40.918</v>
      </c>
      <c r="AD84">
        <v>1.15723664943129</v>
      </c>
      <c r="AE84">
        <v>40.918</v>
      </c>
      <c r="AF84">
        <v>1.14468017212733</v>
      </c>
      <c r="AJ84">
        <v>405</v>
      </c>
      <c r="AK84">
        <v>4.64389852</v>
      </c>
      <c r="AL84">
        <v>6.0697781</v>
      </c>
      <c r="AM84">
        <v>2.1352653</v>
      </c>
      <c r="AN84">
        <v>3.95241873</v>
      </c>
      <c r="AO84">
        <v>5.62040962</v>
      </c>
      <c r="AP84">
        <v>8.46412793</v>
      </c>
      <c r="AQ84">
        <v>3.87453843</v>
      </c>
      <c r="AR84">
        <v>4.78931323</v>
      </c>
      <c r="AS84">
        <v>4.2123915</v>
      </c>
      <c r="AT84">
        <v>5.43019308</v>
      </c>
      <c r="BN84">
        <v>4.83</v>
      </c>
      <c r="BO84">
        <v>0.41452595</v>
      </c>
      <c r="BP84">
        <v>4.83</v>
      </c>
      <c r="BQ84">
        <v>2.41541081</v>
      </c>
      <c r="BR84">
        <v>4.83</v>
      </c>
      <c r="BS84">
        <v>0.64691587</v>
      </c>
      <c r="BT84">
        <v>4.83</v>
      </c>
      <c r="BU84">
        <v>2.15740341</v>
      </c>
      <c r="BV84">
        <v>4.83</v>
      </c>
      <c r="BW84">
        <v>0.50933819</v>
      </c>
      <c r="BX84">
        <v>4.83</v>
      </c>
      <c r="BY84">
        <v>2.81661912</v>
      </c>
      <c r="BZ84">
        <v>4.83</v>
      </c>
      <c r="CA84">
        <v>0.43853793</v>
      </c>
      <c r="CB84">
        <v>4.83</v>
      </c>
      <c r="CC84">
        <v>3.58246794</v>
      </c>
      <c r="CD84">
        <v>4.83</v>
      </c>
      <c r="CE84">
        <v>0.84509726</v>
      </c>
      <c r="CF84">
        <v>4.83</v>
      </c>
      <c r="CG84">
        <v>1.99317581</v>
      </c>
      <c r="CK84">
        <v>4.83</v>
      </c>
      <c r="CL84">
        <v>0</v>
      </c>
      <c r="CM84">
        <v>0.19272277</v>
      </c>
      <c r="CN84">
        <v>1.32530366</v>
      </c>
      <c r="CO84">
        <v>0</v>
      </c>
      <c r="CP84">
        <v>0.17425326</v>
      </c>
      <c r="CR84">
        <v>4.83</v>
      </c>
      <c r="CS84">
        <v>0</v>
      </c>
      <c r="CT84">
        <v>0</v>
      </c>
      <c r="CU84">
        <v>1.86003149</v>
      </c>
      <c r="CV84">
        <v>1.28914566</v>
      </c>
      <c r="CW84">
        <v>0.644851</v>
      </c>
      <c r="DZ84">
        <v>400</v>
      </c>
      <c r="EA84">
        <v>4.03126852</v>
      </c>
      <c r="EB84">
        <v>4.27916974</v>
      </c>
      <c r="EC84">
        <v>5.02205452</v>
      </c>
      <c r="ED84">
        <v>4.13983772</v>
      </c>
      <c r="EE84">
        <v>4.9131712</v>
      </c>
    </row>
    <row r="85" spans="23:135">
      <c r="W85">
        <v>41.417</v>
      </c>
      <c r="X85">
        <v>1.16178466168055</v>
      </c>
      <c r="Y85">
        <v>41.417</v>
      </c>
      <c r="Z85">
        <v>1.18409971892948</v>
      </c>
      <c r="AA85">
        <v>41.417</v>
      </c>
      <c r="AB85">
        <v>1.15911559297388</v>
      </c>
      <c r="AC85">
        <v>41.417</v>
      </c>
      <c r="AD85">
        <v>1.16782752976745</v>
      </c>
      <c r="AE85">
        <v>41.417</v>
      </c>
      <c r="AF85">
        <v>1.14154660842331</v>
      </c>
      <c r="AJ85">
        <v>410</v>
      </c>
      <c r="AK85">
        <v>4.73869676</v>
      </c>
      <c r="AL85">
        <v>6.14574106</v>
      </c>
      <c r="AM85">
        <v>2.17594718</v>
      </c>
      <c r="AN85">
        <v>4.03293338</v>
      </c>
      <c r="AO85">
        <v>5.81152753</v>
      </c>
      <c r="AP85">
        <v>8.64741961</v>
      </c>
      <c r="AQ85">
        <v>4.01214243</v>
      </c>
      <c r="AR85">
        <v>4.98840054</v>
      </c>
      <c r="AS85">
        <v>4.2990306</v>
      </c>
      <c r="AT85">
        <v>5.5785714</v>
      </c>
      <c r="BN85">
        <v>4.89</v>
      </c>
      <c r="BO85">
        <v>0.486077</v>
      </c>
      <c r="BP85">
        <v>4.89</v>
      </c>
      <c r="BQ85">
        <v>2.45468887</v>
      </c>
      <c r="BR85">
        <v>4.89</v>
      </c>
      <c r="BS85">
        <v>0.694649</v>
      </c>
      <c r="BT85">
        <v>4.89</v>
      </c>
      <c r="BU85">
        <v>1.60364682</v>
      </c>
      <c r="BV85">
        <v>4.89</v>
      </c>
      <c r="BW85">
        <v>0.5420901</v>
      </c>
      <c r="BX85">
        <v>4.89</v>
      </c>
      <c r="BY85">
        <v>2.54053401</v>
      </c>
      <c r="BZ85">
        <v>4.89</v>
      </c>
      <c r="CA85">
        <v>0.46978775</v>
      </c>
      <c r="CB85">
        <v>4.89</v>
      </c>
      <c r="CC85">
        <v>3.28327112</v>
      </c>
      <c r="CD85">
        <v>4.89</v>
      </c>
      <c r="CE85">
        <v>0.85619717</v>
      </c>
      <c r="CF85">
        <v>4.89</v>
      </c>
      <c r="CG85">
        <v>2.34491566</v>
      </c>
      <c r="CK85">
        <v>4.89</v>
      </c>
      <c r="CL85">
        <v>0</v>
      </c>
      <c r="CM85">
        <v>0.56406734</v>
      </c>
      <c r="CN85">
        <v>0.90508656</v>
      </c>
      <c r="CO85">
        <v>0.29759887</v>
      </c>
      <c r="CP85">
        <v>0</v>
      </c>
      <c r="CR85">
        <v>4.89</v>
      </c>
      <c r="CS85">
        <v>0</v>
      </c>
      <c r="CT85">
        <v>0</v>
      </c>
      <c r="CU85">
        <v>1.90107987</v>
      </c>
      <c r="CV85">
        <v>1.19150968</v>
      </c>
      <c r="CW85">
        <v>0.62912371</v>
      </c>
      <c r="DZ85">
        <v>405</v>
      </c>
      <c r="EA85">
        <v>4.03310148</v>
      </c>
      <c r="EB85">
        <v>4.2961825</v>
      </c>
      <c r="EC85">
        <v>5.01166211</v>
      </c>
      <c r="ED85">
        <v>4.09777736</v>
      </c>
      <c r="EE85">
        <v>4.93167177</v>
      </c>
    </row>
    <row r="86" spans="23:135">
      <c r="W86">
        <v>41.916</v>
      </c>
      <c r="X86">
        <v>1.14997431485893</v>
      </c>
      <c r="Y86">
        <v>41.916</v>
      </c>
      <c r="Z86">
        <v>1.18286516924432</v>
      </c>
      <c r="AA86">
        <v>41.916</v>
      </c>
      <c r="AB86">
        <v>1.15409751188398</v>
      </c>
      <c r="AC86">
        <v>41.916</v>
      </c>
      <c r="AD86">
        <v>1.17655602203998</v>
      </c>
      <c r="AE86">
        <v>41.916</v>
      </c>
      <c r="AF86">
        <v>1.14295216479686</v>
      </c>
      <c r="AJ86">
        <v>415</v>
      </c>
      <c r="AK86">
        <v>4.91434631</v>
      </c>
      <c r="AL86">
        <v>6.32500808</v>
      </c>
      <c r="AM86">
        <v>2.22036928</v>
      </c>
      <c r="AN86">
        <v>4.08521863</v>
      </c>
      <c r="AO86">
        <v>5.88215392</v>
      </c>
      <c r="AP86">
        <v>8.76219423</v>
      </c>
      <c r="AQ86">
        <v>4.16126139</v>
      </c>
      <c r="AR86">
        <v>5.1373879</v>
      </c>
      <c r="AS86">
        <v>4.42364081</v>
      </c>
      <c r="AT86">
        <v>5.7439754</v>
      </c>
      <c r="BN86">
        <v>4.95</v>
      </c>
      <c r="BO86">
        <v>0.45159536</v>
      </c>
      <c r="BP86">
        <v>4.95</v>
      </c>
      <c r="BQ86">
        <v>3.06629457</v>
      </c>
      <c r="BR86">
        <v>4.95</v>
      </c>
      <c r="BS86">
        <v>0.67791128</v>
      </c>
      <c r="BT86">
        <v>4.95</v>
      </c>
      <c r="BU86">
        <v>1.66281954</v>
      </c>
      <c r="BV86">
        <v>4.95</v>
      </c>
      <c r="BW86">
        <v>0.53704391</v>
      </c>
      <c r="BX86">
        <v>4.95</v>
      </c>
      <c r="BY86">
        <v>2.27692591</v>
      </c>
      <c r="BZ86">
        <v>4.95</v>
      </c>
      <c r="CA86">
        <v>0.4257204</v>
      </c>
      <c r="CB86">
        <v>4.95</v>
      </c>
      <c r="CC86">
        <v>2.42896002</v>
      </c>
      <c r="CD86">
        <v>4.95</v>
      </c>
      <c r="CE86">
        <v>0.75598912</v>
      </c>
      <c r="CF86">
        <v>4.95</v>
      </c>
      <c r="CG86">
        <v>2.40004441</v>
      </c>
      <c r="CK86">
        <v>4.95</v>
      </c>
      <c r="CL86">
        <v>0</v>
      </c>
      <c r="CM86">
        <v>0.55047602</v>
      </c>
      <c r="CN86">
        <v>1.64037401</v>
      </c>
      <c r="CO86">
        <v>0.09680939</v>
      </c>
      <c r="CP86">
        <v>0.08295357</v>
      </c>
      <c r="CR86">
        <v>4.95</v>
      </c>
      <c r="CS86">
        <v>0</v>
      </c>
      <c r="CT86">
        <v>0</v>
      </c>
      <c r="CU86">
        <v>1.43362001</v>
      </c>
      <c r="CV86">
        <v>0.71060001</v>
      </c>
      <c r="CW86">
        <v>0.61396485</v>
      </c>
      <c r="DZ86">
        <v>410</v>
      </c>
      <c r="EA86">
        <v>4.03852449</v>
      </c>
      <c r="EB86">
        <v>4.29773253</v>
      </c>
      <c r="EC86">
        <v>5.0172752</v>
      </c>
      <c r="ED86">
        <v>4.09148253</v>
      </c>
      <c r="EE86">
        <v>4.92191201</v>
      </c>
    </row>
    <row r="87" spans="23:135">
      <c r="W87">
        <v>42.415</v>
      </c>
      <c r="X87">
        <v>1.15670469257176</v>
      </c>
      <c r="Y87">
        <v>42.415</v>
      </c>
      <c r="Z87">
        <v>1.17959658837667</v>
      </c>
      <c r="AA87">
        <v>42.415</v>
      </c>
      <c r="AB87">
        <v>1.15013665745671</v>
      </c>
      <c r="AC87">
        <v>42.415</v>
      </c>
      <c r="AD87">
        <v>1.17673160558264</v>
      </c>
      <c r="AE87">
        <v>42.415</v>
      </c>
      <c r="AF87">
        <v>1.14552231388977</v>
      </c>
      <c r="AJ87">
        <v>420</v>
      </c>
      <c r="AK87">
        <v>5.08929991</v>
      </c>
      <c r="AL87">
        <v>6.49060361</v>
      </c>
      <c r="AM87">
        <v>2.30419205</v>
      </c>
      <c r="AN87">
        <v>4.18467088</v>
      </c>
      <c r="AO87">
        <v>6.11533735</v>
      </c>
      <c r="AP87">
        <v>8.96912866</v>
      </c>
      <c r="AQ87">
        <v>4.19102307</v>
      </c>
      <c r="AR87">
        <v>5.32124024</v>
      </c>
      <c r="AS87">
        <v>4.61969844</v>
      </c>
      <c r="AT87">
        <v>5.9054138</v>
      </c>
      <c r="BN87">
        <v>5.01</v>
      </c>
      <c r="BO87">
        <v>0.50752583</v>
      </c>
      <c r="BP87">
        <v>5.01</v>
      </c>
      <c r="BQ87">
        <v>2.71267001</v>
      </c>
      <c r="BR87">
        <v>5.01</v>
      </c>
      <c r="BS87">
        <v>0.60882961</v>
      </c>
      <c r="BT87">
        <v>5.01</v>
      </c>
      <c r="BU87">
        <v>2.38710366</v>
      </c>
      <c r="BV87">
        <v>5.01</v>
      </c>
      <c r="BW87">
        <v>0.53990725</v>
      </c>
      <c r="BX87">
        <v>5.01</v>
      </c>
      <c r="BY87">
        <v>2.71665286</v>
      </c>
      <c r="BZ87">
        <v>5.01</v>
      </c>
      <c r="CA87">
        <v>0.51948085</v>
      </c>
      <c r="CB87">
        <v>5.01</v>
      </c>
      <c r="CC87">
        <v>3.73326914</v>
      </c>
      <c r="CD87">
        <v>5.01</v>
      </c>
      <c r="CE87">
        <v>0.7466217</v>
      </c>
      <c r="CF87">
        <v>5.01</v>
      </c>
      <c r="CG87">
        <v>2.77879219</v>
      </c>
      <c r="CK87">
        <v>5.01</v>
      </c>
      <c r="CL87">
        <v>0</v>
      </c>
      <c r="CM87">
        <v>1.07474016</v>
      </c>
      <c r="CN87">
        <v>1.60131936</v>
      </c>
      <c r="CO87">
        <v>0.09450451</v>
      </c>
      <c r="CP87">
        <v>0.16195715</v>
      </c>
      <c r="CR87">
        <v>5.01</v>
      </c>
      <c r="CS87">
        <v>0</v>
      </c>
      <c r="CT87">
        <v>0</v>
      </c>
      <c r="CU87">
        <v>0.98787377</v>
      </c>
      <c r="CV87">
        <v>0.8828677</v>
      </c>
      <c r="CW87">
        <v>0.49037509</v>
      </c>
      <c r="DZ87">
        <v>415</v>
      </c>
      <c r="EA87">
        <v>4.04055937</v>
      </c>
      <c r="EB87">
        <v>4.27320036</v>
      </c>
      <c r="EC87">
        <v>5.03107309</v>
      </c>
      <c r="ED87">
        <v>4.08795836</v>
      </c>
      <c r="EE87">
        <v>4.92366877</v>
      </c>
    </row>
    <row r="88" spans="23:135">
      <c r="W88">
        <v>42.914</v>
      </c>
      <c r="X88">
        <v>1.15252053341736</v>
      </c>
      <c r="Y88">
        <v>42.914</v>
      </c>
      <c r="Z88">
        <v>1.19121873949094</v>
      </c>
      <c r="AA88">
        <v>42.914</v>
      </c>
      <c r="AB88">
        <v>1.152275345106</v>
      </c>
      <c r="AC88">
        <v>42.914</v>
      </c>
      <c r="AD88">
        <v>1.17327154478635</v>
      </c>
      <c r="AE88">
        <v>42.914</v>
      </c>
      <c r="AF88">
        <v>1.1399388896019</v>
      </c>
      <c r="AJ88">
        <v>425</v>
      </c>
      <c r="AK88">
        <v>5.35237287</v>
      </c>
      <c r="AL88">
        <v>6.77256248</v>
      </c>
      <c r="AM88">
        <v>2.2935911</v>
      </c>
      <c r="AN88">
        <v>4.25000965</v>
      </c>
      <c r="AO88">
        <v>6.21995511</v>
      </c>
      <c r="AP88">
        <v>9.09292376</v>
      </c>
      <c r="AQ88">
        <v>4.34784446</v>
      </c>
      <c r="AR88">
        <v>5.50221275</v>
      </c>
      <c r="AS88">
        <v>4.86207897</v>
      </c>
      <c r="AT88">
        <v>6.21658324</v>
      </c>
      <c r="BN88">
        <v>5.07</v>
      </c>
      <c r="BO88">
        <v>0.47749758</v>
      </c>
      <c r="BP88">
        <v>5.07</v>
      </c>
      <c r="BQ88">
        <v>3.65357995</v>
      </c>
      <c r="BR88">
        <v>5.07</v>
      </c>
      <c r="BS88">
        <v>0.6388158</v>
      </c>
      <c r="BT88">
        <v>5.07</v>
      </c>
      <c r="BU88">
        <v>2.19108279</v>
      </c>
      <c r="BV88">
        <v>5.07</v>
      </c>
      <c r="BW88">
        <v>0.4622587</v>
      </c>
      <c r="BX88">
        <v>5.07</v>
      </c>
      <c r="BY88">
        <v>2.17041922</v>
      </c>
      <c r="BZ88">
        <v>5.07</v>
      </c>
      <c r="CA88">
        <v>0.53457226</v>
      </c>
      <c r="CB88">
        <v>5.07</v>
      </c>
      <c r="CC88">
        <v>3.30059349</v>
      </c>
      <c r="CD88">
        <v>5.07</v>
      </c>
      <c r="CE88">
        <v>0.87233743</v>
      </c>
      <c r="CF88">
        <v>5.07</v>
      </c>
      <c r="CG88">
        <v>1.80894127</v>
      </c>
      <c r="CK88">
        <v>5.07</v>
      </c>
      <c r="CL88">
        <v>0</v>
      </c>
      <c r="CM88">
        <v>0.17490889</v>
      </c>
      <c r="CN88">
        <v>1.08252209</v>
      </c>
      <c r="CO88">
        <v>0</v>
      </c>
      <c r="CP88">
        <v>0.07907329</v>
      </c>
      <c r="CR88">
        <v>5.07</v>
      </c>
      <c r="CS88">
        <v>0</v>
      </c>
      <c r="CT88">
        <v>0</v>
      </c>
      <c r="CU88">
        <v>1.04501666</v>
      </c>
      <c r="CV88">
        <v>0.43104766</v>
      </c>
      <c r="CW88">
        <v>1.11728725</v>
      </c>
      <c r="DZ88">
        <v>420</v>
      </c>
      <c r="EA88">
        <v>4.06496996</v>
      </c>
      <c r="EB88">
        <v>4.28879787</v>
      </c>
      <c r="EC88">
        <v>5.03574886</v>
      </c>
      <c r="ED88">
        <v>4.1014154</v>
      </c>
      <c r="EE88">
        <v>4.9164184</v>
      </c>
    </row>
    <row r="89" spans="23:135">
      <c r="W89">
        <v>43.413</v>
      </c>
      <c r="X89">
        <v>1.16106231817808</v>
      </c>
      <c r="Y89">
        <v>43.413</v>
      </c>
      <c r="Z89">
        <v>1.18179694938441</v>
      </c>
      <c r="AA89">
        <v>43.413</v>
      </c>
      <c r="AB89">
        <v>1.14936790988133</v>
      </c>
      <c r="AC89">
        <v>43.413</v>
      </c>
      <c r="AD89">
        <v>1.17903048638903</v>
      </c>
      <c r="AE89">
        <v>43.413</v>
      </c>
      <c r="AF89">
        <v>1.14651466044202</v>
      </c>
      <c r="AJ89">
        <v>430</v>
      </c>
      <c r="AK89">
        <v>5.40931673</v>
      </c>
      <c r="AL89">
        <v>6.85658789</v>
      </c>
      <c r="AM89">
        <v>2.47313328</v>
      </c>
      <c r="AN89">
        <v>4.34036817</v>
      </c>
      <c r="AO89">
        <v>6.35402428</v>
      </c>
      <c r="AP89">
        <v>9.27169465</v>
      </c>
      <c r="AQ89">
        <v>4.47994216</v>
      </c>
      <c r="AR89">
        <v>5.72108922</v>
      </c>
      <c r="AS89">
        <v>5.09758837</v>
      </c>
      <c r="AT89">
        <v>6.47076183</v>
      </c>
      <c r="BN89">
        <v>5.13</v>
      </c>
      <c r="BO89">
        <v>0.48759319</v>
      </c>
      <c r="BP89">
        <v>5.13</v>
      </c>
      <c r="BQ89">
        <v>2.45342408</v>
      </c>
      <c r="BR89">
        <v>5.13</v>
      </c>
      <c r="BS89">
        <v>0.56985969</v>
      </c>
      <c r="BT89">
        <v>5.13</v>
      </c>
      <c r="BU89">
        <v>3.05082319</v>
      </c>
      <c r="BV89">
        <v>5.13</v>
      </c>
      <c r="BW89">
        <v>0.51867562</v>
      </c>
      <c r="BX89">
        <v>5.13</v>
      </c>
      <c r="BY89">
        <v>2.26127643</v>
      </c>
      <c r="BZ89">
        <v>5.13</v>
      </c>
      <c r="CA89">
        <v>0.55644214</v>
      </c>
      <c r="CB89">
        <v>5.13</v>
      </c>
      <c r="CC89">
        <v>3.801243</v>
      </c>
      <c r="CD89">
        <v>5.13</v>
      </c>
      <c r="CE89">
        <v>0.73268191</v>
      </c>
      <c r="CF89">
        <v>5.13</v>
      </c>
      <c r="CG89">
        <v>1.50704026</v>
      </c>
      <c r="CK89">
        <v>5.13</v>
      </c>
      <c r="CL89">
        <v>0</v>
      </c>
      <c r="CM89">
        <v>0.34168285</v>
      </c>
      <c r="CN89">
        <v>1.76224717</v>
      </c>
      <c r="CO89">
        <v>0.09013501</v>
      </c>
      <c r="CP89">
        <v>0</v>
      </c>
      <c r="CR89">
        <v>5.13</v>
      </c>
      <c r="CS89">
        <v>0</v>
      </c>
      <c r="CT89">
        <v>0</v>
      </c>
      <c r="CU89">
        <v>1.02071506</v>
      </c>
      <c r="CV89">
        <v>0.78190125</v>
      </c>
      <c r="CW89">
        <v>0.57163596</v>
      </c>
      <c r="DZ89">
        <v>425</v>
      </c>
      <c r="EA89">
        <v>4.05913481</v>
      </c>
      <c r="EB89">
        <v>4.28852756</v>
      </c>
      <c r="EC89">
        <v>5.01952828</v>
      </c>
      <c r="ED89">
        <v>4.08107396</v>
      </c>
      <c r="EE89">
        <v>4.91240735</v>
      </c>
    </row>
    <row r="90" spans="23:135">
      <c r="W90">
        <v>43.912</v>
      </c>
      <c r="X90">
        <v>1.15904397700248</v>
      </c>
      <c r="Y90">
        <v>43.912</v>
      </c>
      <c r="Z90">
        <v>1.18143600364476</v>
      </c>
      <c r="AA90">
        <v>43.912</v>
      </c>
      <c r="AB90">
        <v>1.1553905854774</v>
      </c>
      <c r="AC90">
        <v>43.912</v>
      </c>
      <c r="AD90">
        <v>1.1704814245431</v>
      </c>
      <c r="AE90">
        <v>43.912</v>
      </c>
      <c r="AF90">
        <v>1.13509080657502</v>
      </c>
      <c r="AJ90">
        <v>435</v>
      </c>
      <c r="AK90">
        <v>5.52681945</v>
      </c>
      <c r="AL90">
        <v>7.00226715</v>
      </c>
      <c r="AM90">
        <v>2.55481174</v>
      </c>
      <c r="AN90">
        <v>4.50936473</v>
      </c>
      <c r="AO90">
        <v>6.58476482</v>
      </c>
      <c r="AP90">
        <v>9.59940979</v>
      </c>
      <c r="AQ90">
        <v>4.7263951</v>
      </c>
      <c r="AR90">
        <v>6.03801587</v>
      </c>
      <c r="AS90">
        <v>5.32463133</v>
      </c>
      <c r="AT90">
        <v>6.75075048</v>
      </c>
      <c r="BN90">
        <v>5.19</v>
      </c>
      <c r="BO90">
        <v>0.56959035</v>
      </c>
      <c r="BP90">
        <v>5.19</v>
      </c>
      <c r="BQ90">
        <v>3.57374792</v>
      </c>
      <c r="BR90">
        <v>5.19</v>
      </c>
      <c r="BS90">
        <v>0.59904562</v>
      </c>
      <c r="BT90">
        <v>5.19</v>
      </c>
      <c r="BU90">
        <v>2.66927682</v>
      </c>
      <c r="BV90">
        <v>5.19</v>
      </c>
      <c r="BW90">
        <v>0.47394125</v>
      </c>
      <c r="BX90">
        <v>5.19</v>
      </c>
      <c r="BY90">
        <v>1.84107948</v>
      </c>
      <c r="BZ90">
        <v>5.19</v>
      </c>
      <c r="CA90">
        <v>0.48407275</v>
      </c>
      <c r="CB90">
        <v>5.19</v>
      </c>
      <c r="CC90">
        <v>3.80788382</v>
      </c>
      <c r="CD90">
        <v>5.19</v>
      </c>
      <c r="CE90">
        <v>0.73594725</v>
      </c>
      <c r="CF90">
        <v>5.19</v>
      </c>
      <c r="CG90">
        <v>1.57394183</v>
      </c>
      <c r="CK90">
        <v>5.19</v>
      </c>
      <c r="CL90">
        <v>0</v>
      </c>
      <c r="CM90">
        <v>0.66765685</v>
      </c>
      <c r="CN90">
        <v>1.60695504</v>
      </c>
      <c r="CO90">
        <v>0.17612607</v>
      </c>
      <c r="CP90">
        <v>0.07545903</v>
      </c>
      <c r="CR90">
        <v>5.19</v>
      </c>
      <c r="CS90">
        <v>0</v>
      </c>
      <c r="CT90">
        <v>0</v>
      </c>
      <c r="CU90">
        <v>1.38080961</v>
      </c>
      <c r="CV90">
        <v>0.94021823</v>
      </c>
      <c r="CW90">
        <v>0.96467403</v>
      </c>
      <c r="DZ90">
        <v>430</v>
      </c>
      <c r="EA90">
        <v>4.06978552</v>
      </c>
      <c r="EB90">
        <v>4.28191835</v>
      </c>
      <c r="EC90">
        <v>5.02513513</v>
      </c>
      <c r="ED90">
        <v>4.10191362</v>
      </c>
      <c r="EE90">
        <v>4.93213553</v>
      </c>
    </row>
    <row r="91" spans="23:135">
      <c r="W91">
        <v>44.411</v>
      </c>
      <c r="X91">
        <v>1.15551568916547</v>
      </c>
      <c r="Y91">
        <v>44.411</v>
      </c>
      <c r="Z91">
        <v>1.18887655384691</v>
      </c>
      <c r="AA91">
        <v>44.411</v>
      </c>
      <c r="AB91">
        <v>1.14619169537649</v>
      </c>
      <c r="AC91">
        <v>44.411</v>
      </c>
      <c r="AD91">
        <v>1.17872559512228</v>
      </c>
      <c r="AE91">
        <v>44.411</v>
      </c>
      <c r="AF91">
        <v>1.13871044562492</v>
      </c>
      <c r="AJ91">
        <v>440</v>
      </c>
      <c r="AK91">
        <v>5.59713048</v>
      </c>
      <c r="AL91">
        <v>7.0579212</v>
      </c>
      <c r="AM91">
        <v>2.75873312</v>
      </c>
      <c r="AN91">
        <v>4.72829543</v>
      </c>
      <c r="AO91">
        <v>6.80503439</v>
      </c>
      <c r="AP91">
        <v>9.90454913</v>
      </c>
      <c r="AQ91">
        <v>5.1464864</v>
      </c>
      <c r="AR91">
        <v>6.31226768</v>
      </c>
      <c r="AS91">
        <v>5.53374905</v>
      </c>
      <c r="AT91">
        <v>6.93711941</v>
      </c>
      <c r="BN91">
        <v>5.25</v>
      </c>
      <c r="BO91">
        <v>0.53977762</v>
      </c>
      <c r="BP91">
        <v>5.25</v>
      </c>
      <c r="BQ91">
        <v>4.17399916</v>
      </c>
      <c r="BR91">
        <v>5.25</v>
      </c>
      <c r="BS91">
        <v>0.58543154</v>
      </c>
      <c r="BT91">
        <v>5.25</v>
      </c>
      <c r="BU91">
        <v>2.56513717</v>
      </c>
      <c r="BV91">
        <v>5.25</v>
      </c>
      <c r="BW91">
        <v>0.42041615</v>
      </c>
      <c r="BX91">
        <v>5.25</v>
      </c>
      <c r="BY91">
        <v>3.41855332</v>
      </c>
      <c r="BZ91">
        <v>5.25</v>
      </c>
      <c r="CA91">
        <v>0.62227107</v>
      </c>
      <c r="CB91">
        <v>5.25</v>
      </c>
      <c r="CC91">
        <v>4.13482753</v>
      </c>
      <c r="CD91">
        <v>5.25</v>
      </c>
      <c r="CE91">
        <v>0.67598999</v>
      </c>
      <c r="CF91">
        <v>5.25</v>
      </c>
      <c r="CG91">
        <v>1.98473804</v>
      </c>
      <c r="CK91">
        <v>5.25</v>
      </c>
      <c r="CL91">
        <v>0.31880844</v>
      </c>
      <c r="CM91">
        <v>0.97872523</v>
      </c>
      <c r="CN91">
        <v>1.79478277</v>
      </c>
      <c r="CO91">
        <v>0.34424675</v>
      </c>
      <c r="CP91">
        <v>0</v>
      </c>
      <c r="CR91">
        <v>5.25</v>
      </c>
      <c r="CS91">
        <v>0</v>
      </c>
      <c r="CT91">
        <v>0</v>
      </c>
      <c r="CU91">
        <v>1.04955584</v>
      </c>
      <c r="CV91">
        <v>0.68913792</v>
      </c>
      <c r="CW91">
        <v>1.19084283</v>
      </c>
      <c r="DZ91">
        <v>435</v>
      </c>
      <c r="EA91">
        <v>4.05873381</v>
      </c>
      <c r="EB91">
        <v>4.30439661</v>
      </c>
      <c r="EC91">
        <v>5.02332734</v>
      </c>
      <c r="ED91">
        <v>4.10335025</v>
      </c>
      <c r="EE91">
        <v>4.92526329</v>
      </c>
    </row>
    <row r="92" spans="23:135">
      <c r="W92">
        <v>44.91</v>
      </c>
      <c r="X92">
        <v>1.16736782514618</v>
      </c>
      <c r="Y92">
        <v>44.91</v>
      </c>
      <c r="Z92">
        <v>1.18679332488899</v>
      </c>
      <c r="AA92">
        <v>44.91</v>
      </c>
      <c r="AB92">
        <v>1.15390832769981</v>
      </c>
      <c r="AC92">
        <v>44.91</v>
      </c>
      <c r="AD92">
        <v>1.17669911419182</v>
      </c>
      <c r="AE92">
        <v>44.91</v>
      </c>
      <c r="AF92">
        <v>1.13876707501409</v>
      </c>
      <c r="AJ92">
        <v>445</v>
      </c>
      <c r="AK92">
        <v>5.83175613</v>
      </c>
      <c r="AL92">
        <v>7.31512299</v>
      </c>
      <c r="AM92">
        <v>2.88013306</v>
      </c>
      <c r="AN92">
        <v>4.88096676</v>
      </c>
      <c r="AO92">
        <v>7.19351817</v>
      </c>
      <c r="AP92">
        <v>10.23402551</v>
      </c>
      <c r="AQ92">
        <v>5.44345192</v>
      </c>
      <c r="AR92">
        <v>6.61887319</v>
      </c>
      <c r="AS92">
        <v>5.73892931</v>
      </c>
      <c r="AT92">
        <v>7.25826872</v>
      </c>
      <c r="BN92">
        <v>5.31</v>
      </c>
      <c r="BO92">
        <v>0.54083951</v>
      </c>
      <c r="BP92">
        <v>5.31</v>
      </c>
      <c r="BQ92">
        <v>4.16347491</v>
      </c>
      <c r="BR92">
        <v>5.31</v>
      </c>
      <c r="BS92">
        <v>0.60257332</v>
      </c>
      <c r="BT92">
        <v>5.31</v>
      </c>
      <c r="BU92">
        <v>2.71999577</v>
      </c>
      <c r="BV92">
        <v>5.31</v>
      </c>
      <c r="BW92">
        <v>0.47017639</v>
      </c>
      <c r="BX92">
        <v>5.31</v>
      </c>
      <c r="BY92">
        <v>2.41836098</v>
      </c>
      <c r="BZ92">
        <v>5.31</v>
      </c>
      <c r="CA92">
        <v>0.61895977</v>
      </c>
      <c r="CB92">
        <v>5.31</v>
      </c>
      <c r="CC92">
        <v>4.40119526</v>
      </c>
      <c r="CD92">
        <v>5.31</v>
      </c>
      <c r="CE92">
        <v>0.73763704</v>
      </c>
      <c r="CF92">
        <v>5.31</v>
      </c>
      <c r="CG92">
        <v>2.37667038</v>
      </c>
      <c r="CK92">
        <v>5.31</v>
      </c>
      <c r="CL92">
        <v>0</v>
      </c>
      <c r="CM92">
        <v>1.43509851</v>
      </c>
      <c r="CN92">
        <v>2.19306537</v>
      </c>
      <c r="CO92">
        <v>0.42063899</v>
      </c>
      <c r="CP92">
        <v>0.21626108</v>
      </c>
      <c r="CR92">
        <v>5.31</v>
      </c>
      <c r="CS92">
        <v>0</v>
      </c>
      <c r="CT92">
        <v>0</v>
      </c>
      <c r="CU92">
        <v>1.02597132</v>
      </c>
      <c r="CV92">
        <v>1.0666162</v>
      </c>
      <c r="CW92">
        <v>1.11557997</v>
      </c>
      <c r="DZ92">
        <v>440</v>
      </c>
      <c r="EA92">
        <v>4.05883367</v>
      </c>
      <c r="EB92">
        <v>4.28913563</v>
      </c>
      <c r="EC92">
        <v>5.02499847</v>
      </c>
      <c r="ED92">
        <v>4.11526169</v>
      </c>
      <c r="EE92">
        <v>4.92299253</v>
      </c>
    </row>
    <row r="93" spans="23:135">
      <c r="W93">
        <v>45.409</v>
      </c>
      <c r="X93">
        <v>1.16411987176048</v>
      </c>
      <c r="Y93">
        <v>45.409</v>
      </c>
      <c r="Z93">
        <v>1.1910165593626</v>
      </c>
      <c r="AA93">
        <v>45.409</v>
      </c>
      <c r="AB93">
        <v>1.14321761405743</v>
      </c>
      <c r="AC93">
        <v>45.409</v>
      </c>
      <c r="AD93">
        <v>1.17799698052665</v>
      </c>
      <c r="AE93">
        <v>45.409</v>
      </c>
      <c r="AF93">
        <v>1.13392902064109</v>
      </c>
      <c r="AJ93">
        <v>450</v>
      </c>
      <c r="AK93">
        <v>6.07995044</v>
      </c>
      <c r="AL93">
        <v>7.62250971</v>
      </c>
      <c r="AM93">
        <v>3.06744595</v>
      </c>
      <c r="AN93">
        <v>5.01233349</v>
      </c>
      <c r="AO93">
        <v>7.48713571</v>
      </c>
      <c r="AP93">
        <v>10.51414002</v>
      </c>
      <c r="AQ93">
        <v>5.59816974</v>
      </c>
      <c r="AR93">
        <v>7.00612946</v>
      </c>
      <c r="AS93">
        <v>5.86888861</v>
      </c>
      <c r="AT93">
        <v>7.53890738</v>
      </c>
      <c r="BN93">
        <v>5.37</v>
      </c>
      <c r="BO93">
        <v>0.60620985</v>
      </c>
      <c r="BP93">
        <v>5.37</v>
      </c>
      <c r="BQ93">
        <v>4.92585809</v>
      </c>
      <c r="BR93">
        <v>5.37</v>
      </c>
      <c r="BS93">
        <v>0.60234947</v>
      </c>
      <c r="BT93">
        <v>5.37</v>
      </c>
      <c r="BU93">
        <v>3.53222006</v>
      </c>
      <c r="BV93">
        <v>5.37</v>
      </c>
      <c r="BW93">
        <v>0.47335005</v>
      </c>
      <c r="BX93">
        <v>5.37</v>
      </c>
      <c r="BY93">
        <v>3.1384981</v>
      </c>
      <c r="BZ93">
        <v>5.37</v>
      </c>
      <c r="CA93">
        <v>0.62955304</v>
      </c>
      <c r="CB93">
        <v>5.37</v>
      </c>
      <c r="CC93">
        <v>4.96207789</v>
      </c>
      <c r="CD93">
        <v>5.37</v>
      </c>
      <c r="CE93">
        <v>0.75881067</v>
      </c>
      <c r="CF93">
        <v>5.37</v>
      </c>
      <c r="CG93">
        <v>2.08672935</v>
      </c>
      <c r="CK93">
        <v>5.37</v>
      </c>
      <c r="CL93">
        <v>0</v>
      </c>
      <c r="CM93">
        <v>0.93547251</v>
      </c>
      <c r="CN93">
        <v>1.3938162</v>
      </c>
      <c r="CO93">
        <v>0.24677511</v>
      </c>
      <c r="CP93">
        <v>0</v>
      </c>
      <c r="CR93">
        <v>5.37</v>
      </c>
      <c r="CS93">
        <v>0</v>
      </c>
      <c r="CT93">
        <v>0</v>
      </c>
      <c r="CU93">
        <v>0.85986249</v>
      </c>
      <c r="CV93">
        <v>1.4271463</v>
      </c>
      <c r="CW93">
        <v>1.09079034</v>
      </c>
      <c r="DZ93">
        <v>445</v>
      </c>
      <c r="EA93">
        <v>4.05551559</v>
      </c>
      <c r="EB93">
        <v>4.28646726</v>
      </c>
      <c r="EC93">
        <v>5.03604011</v>
      </c>
      <c r="ED93">
        <v>4.10017562</v>
      </c>
      <c r="EE93">
        <v>4.93426345</v>
      </c>
    </row>
    <row r="94" spans="23:135">
      <c r="W94">
        <v>45.908</v>
      </c>
      <c r="X94">
        <v>1.17094292429532</v>
      </c>
      <c r="Y94">
        <v>45.908</v>
      </c>
      <c r="Z94">
        <v>1.18922347764505</v>
      </c>
      <c r="AA94">
        <v>45.908</v>
      </c>
      <c r="AB94">
        <v>1.14385525929905</v>
      </c>
      <c r="AC94">
        <v>45.908</v>
      </c>
      <c r="AD94">
        <v>1.18012812106076</v>
      </c>
      <c r="AE94">
        <v>45.908</v>
      </c>
      <c r="AF94">
        <v>1.14404639192478</v>
      </c>
      <c r="AJ94">
        <v>455</v>
      </c>
      <c r="AK94">
        <v>6.3880181</v>
      </c>
      <c r="AL94">
        <v>7.85216582</v>
      </c>
      <c r="AM94">
        <v>3.26327214</v>
      </c>
      <c r="AN94">
        <v>5.2492945</v>
      </c>
      <c r="AO94">
        <v>7.76433759</v>
      </c>
      <c r="AP94">
        <v>10.76821187</v>
      </c>
      <c r="AQ94">
        <v>5.98595801</v>
      </c>
      <c r="AR94">
        <v>7.17241247</v>
      </c>
      <c r="AS94">
        <v>6.16895021</v>
      </c>
      <c r="AT94">
        <v>7.73291434</v>
      </c>
      <c r="BN94">
        <v>5.43</v>
      </c>
      <c r="BO94">
        <v>0.59604075</v>
      </c>
      <c r="BP94">
        <v>5.43</v>
      </c>
      <c r="BQ94">
        <v>5.81297417</v>
      </c>
      <c r="BR94">
        <v>5.43</v>
      </c>
      <c r="BS94">
        <v>0.5762348</v>
      </c>
      <c r="BT94">
        <v>5.43</v>
      </c>
      <c r="BU94">
        <v>4.79578656</v>
      </c>
      <c r="BV94">
        <v>5.43</v>
      </c>
      <c r="BW94">
        <v>0.46960828</v>
      </c>
      <c r="BX94">
        <v>5.43</v>
      </c>
      <c r="BY94">
        <v>3.32181248</v>
      </c>
      <c r="BZ94">
        <v>5.43</v>
      </c>
      <c r="CA94">
        <v>0.68035057</v>
      </c>
      <c r="CB94">
        <v>5.43</v>
      </c>
      <c r="CC94">
        <v>4.63829003</v>
      </c>
      <c r="CD94">
        <v>5.43</v>
      </c>
      <c r="CE94">
        <v>0.75315599</v>
      </c>
      <c r="CF94">
        <v>5.43</v>
      </c>
      <c r="CG94">
        <v>2.73661983</v>
      </c>
      <c r="CK94">
        <v>5.43</v>
      </c>
      <c r="CL94">
        <v>0</v>
      </c>
      <c r="CM94">
        <v>0.76242792</v>
      </c>
      <c r="CN94">
        <v>1.15346349</v>
      </c>
      <c r="CO94">
        <v>0.40225284</v>
      </c>
      <c r="CP94">
        <v>0.0689361</v>
      </c>
      <c r="CR94">
        <v>5.43</v>
      </c>
      <c r="CS94">
        <v>0</v>
      </c>
      <c r="CT94">
        <v>0</v>
      </c>
      <c r="CU94">
        <v>1.05120648</v>
      </c>
      <c r="CV94">
        <v>1.93262084</v>
      </c>
      <c r="CW94">
        <v>0.60298403</v>
      </c>
      <c r="DZ94">
        <v>450</v>
      </c>
      <c r="EA94">
        <v>4.04449715</v>
      </c>
      <c r="EB94">
        <v>4.29447962</v>
      </c>
      <c r="EC94">
        <v>5.01928465</v>
      </c>
      <c r="ED94">
        <v>4.12155151</v>
      </c>
      <c r="EE94">
        <v>4.91669643</v>
      </c>
    </row>
    <row r="95" spans="23:135">
      <c r="W95">
        <v>46.407</v>
      </c>
      <c r="X95">
        <v>1.16368422394882</v>
      </c>
      <c r="Y95">
        <v>46.407</v>
      </c>
      <c r="Z95">
        <v>1.18711218980955</v>
      </c>
      <c r="AA95">
        <v>46.407</v>
      </c>
      <c r="AB95">
        <v>1.14795935936347</v>
      </c>
      <c r="AC95">
        <v>46.407</v>
      </c>
      <c r="AD95">
        <v>1.18204435224386</v>
      </c>
      <c r="AE95">
        <v>46.407</v>
      </c>
      <c r="AF95">
        <v>1.1413685731126</v>
      </c>
      <c r="AJ95">
        <v>460</v>
      </c>
      <c r="AK95">
        <v>6.50569213</v>
      </c>
      <c r="AL95">
        <v>7.9762456</v>
      </c>
      <c r="AM95">
        <v>3.51836217</v>
      </c>
      <c r="AN95">
        <v>5.49696901</v>
      </c>
      <c r="AO95">
        <v>8.00233856</v>
      </c>
      <c r="AP95">
        <v>11.03935527</v>
      </c>
      <c r="AQ95">
        <v>6.52359323</v>
      </c>
      <c r="AR95">
        <v>7.75934996</v>
      </c>
      <c r="AS95">
        <v>6.28767131</v>
      </c>
      <c r="AT95">
        <v>8.00297712</v>
      </c>
      <c r="BN95">
        <v>5.49</v>
      </c>
      <c r="BO95">
        <v>0.62010506</v>
      </c>
      <c r="BP95">
        <v>5.49</v>
      </c>
      <c r="BQ95">
        <v>4.51812865</v>
      </c>
      <c r="BR95">
        <v>5.49</v>
      </c>
      <c r="BS95">
        <v>0.57315608</v>
      </c>
      <c r="BT95">
        <v>5.49</v>
      </c>
      <c r="BU95">
        <v>4.01563544</v>
      </c>
      <c r="BV95">
        <v>5.49</v>
      </c>
      <c r="BW95">
        <v>0.56691892</v>
      </c>
      <c r="BX95">
        <v>5.49</v>
      </c>
      <c r="BY95">
        <v>2.96166262</v>
      </c>
      <c r="BZ95">
        <v>5.49</v>
      </c>
      <c r="CA95">
        <v>0.70882239</v>
      </c>
      <c r="CB95">
        <v>5.49</v>
      </c>
      <c r="CC95">
        <v>4.07531278</v>
      </c>
      <c r="CD95">
        <v>5.49</v>
      </c>
      <c r="CE95">
        <v>0.85538789</v>
      </c>
      <c r="CF95">
        <v>5.49</v>
      </c>
      <c r="CG95">
        <v>3.26700667</v>
      </c>
      <c r="CK95">
        <v>5.49</v>
      </c>
      <c r="CL95">
        <v>0.58308803</v>
      </c>
      <c r="CM95">
        <v>0.89502488</v>
      </c>
      <c r="CN95">
        <v>1.53871253</v>
      </c>
      <c r="CO95">
        <v>0.47221027</v>
      </c>
      <c r="CP95">
        <v>0.13487509</v>
      </c>
      <c r="CR95">
        <v>5.49</v>
      </c>
      <c r="CS95">
        <v>0.38949385</v>
      </c>
      <c r="CT95">
        <v>0</v>
      </c>
      <c r="CU95">
        <v>0.95979807</v>
      </c>
      <c r="CV95">
        <v>1.89060902</v>
      </c>
      <c r="CW95">
        <v>0.6352513</v>
      </c>
      <c r="DZ95">
        <v>455</v>
      </c>
      <c r="EA95">
        <v>4.05313705</v>
      </c>
      <c r="EB95">
        <v>4.29172894</v>
      </c>
      <c r="EC95">
        <v>5.01223003</v>
      </c>
      <c r="ED95">
        <v>4.12007352</v>
      </c>
      <c r="EE95">
        <v>4.90646507</v>
      </c>
    </row>
    <row r="96" spans="23:135">
      <c r="W96">
        <v>46.906</v>
      </c>
      <c r="X96">
        <v>1.16090263663692</v>
      </c>
      <c r="Y96">
        <v>46.906</v>
      </c>
      <c r="Z96">
        <v>1.18778139645729</v>
      </c>
      <c r="AA96">
        <v>46.906</v>
      </c>
      <c r="AB96">
        <v>1.15328365856066</v>
      </c>
      <c r="AC96">
        <v>46.906</v>
      </c>
      <c r="AD96">
        <v>1.17259209712373</v>
      </c>
      <c r="AE96">
        <v>46.906</v>
      </c>
      <c r="AF96">
        <v>1.14016060414533</v>
      </c>
      <c r="AJ96">
        <v>465</v>
      </c>
      <c r="AK96">
        <v>6.61995678</v>
      </c>
      <c r="AL96">
        <v>8.31149059</v>
      </c>
      <c r="AM96">
        <v>3.82012517</v>
      </c>
      <c r="AN96">
        <v>5.87108511</v>
      </c>
      <c r="AO96">
        <v>8.35934496</v>
      </c>
      <c r="AP96">
        <v>11.30784046</v>
      </c>
      <c r="AQ96">
        <v>6.88825701</v>
      </c>
      <c r="AR96">
        <v>8.20439907</v>
      </c>
      <c r="AS96">
        <v>6.60801626</v>
      </c>
      <c r="AT96">
        <v>8.2417395</v>
      </c>
      <c r="BN96">
        <v>5.55</v>
      </c>
      <c r="BO96">
        <v>0.64601382</v>
      </c>
      <c r="BP96">
        <v>5.55</v>
      </c>
      <c r="BQ96">
        <v>5.2213161</v>
      </c>
      <c r="BR96">
        <v>5.55</v>
      </c>
      <c r="BS96">
        <v>0.57931955</v>
      </c>
      <c r="BT96">
        <v>5.55</v>
      </c>
      <c r="BU96">
        <v>4.74626029</v>
      </c>
      <c r="BV96">
        <v>5.55</v>
      </c>
      <c r="BW96">
        <v>0.52922287</v>
      </c>
      <c r="BX96">
        <v>5.55</v>
      </c>
      <c r="BY96">
        <v>3.38096901</v>
      </c>
      <c r="BZ96">
        <v>5.55</v>
      </c>
      <c r="CA96">
        <v>0.7489356</v>
      </c>
      <c r="CB96">
        <v>5.55</v>
      </c>
      <c r="CC96">
        <v>4.43988563</v>
      </c>
      <c r="CD96">
        <v>5.55</v>
      </c>
      <c r="CE96">
        <v>0.82644283</v>
      </c>
      <c r="CF96">
        <v>5.55</v>
      </c>
      <c r="CG96">
        <v>3.41874781</v>
      </c>
      <c r="CK96">
        <v>5.55</v>
      </c>
      <c r="CL96">
        <v>0.2852745</v>
      </c>
      <c r="CM96">
        <v>0.72981482</v>
      </c>
      <c r="CN96">
        <v>1.50562323</v>
      </c>
      <c r="CO96">
        <v>0.30803707</v>
      </c>
      <c r="CP96">
        <v>0.32993667</v>
      </c>
      <c r="CR96">
        <v>5.55</v>
      </c>
      <c r="CS96">
        <v>0.19055898</v>
      </c>
      <c r="CT96">
        <v>0</v>
      </c>
      <c r="CU96">
        <v>0.7379099</v>
      </c>
      <c r="CV96">
        <v>2.10689017</v>
      </c>
      <c r="CW96">
        <v>0.31079526</v>
      </c>
      <c r="DZ96">
        <v>460</v>
      </c>
      <c r="EA96">
        <v>4.04818103</v>
      </c>
      <c r="EB96">
        <v>4.28576775</v>
      </c>
      <c r="EC96">
        <v>5.01691066</v>
      </c>
      <c r="ED96">
        <v>4.11297812</v>
      </c>
      <c r="EE96">
        <v>4.91312724</v>
      </c>
    </row>
    <row r="97" spans="23:141">
      <c r="W97">
        <v>47.405</v>
      </c>
      <c r="X97">
        <v>1.16382560886009</v>
      </c>
      <c r="Y97">
        <v>47.405</v>
      </c>
      <c r="Z97">
        <v>1.18437816316392</v>
      </c>
      <c r="AA97">
        <v>47.405</v>
      </c>
      <c r="AB97">
        <v>1.16391520066313</v>
      </c>
      <c r="AC97">
        <v>47.405</v>
      </c>
      <c r="AD97">
        <v>1.18247406606404</v>
      </c>
      <c r="AE97">
        <v>47.405</v>
      </c>
      <c r="AF97">
        <v>1.1472078255362</v>
      </c>
      <c r="AJ97">
        <v>470</v>
      </c>
      <c r="AK97">
        <v>6.85523912</v>
      </c>
      <c r="AL97">
        <v>8.59711356</v>
      </c>
      <c r="AM97">
        <v>4.20687754</v>
      </c>
      <c r="AN97">
        <v>6.24174032</v>
      </c>
      <c r="AO97">
        <v>8.51449145</v>
      </c>
      <c r="AP97">
        <v>11.59936638</v>
      </c>
      <c r="AQ97">
        <v>7.41968867</v>
      </c>
      <c r="AR97">
        <v>8.71119977</v>
      </c>
      <c r="AS97">
        <v>6.63633096</v>
      </c>
      <c r="AT97">
        <v>8.28167537</v>
      </c>
      <c r="BN97">
        <v>5.61</v>
      </c>
      <c r="BO97">
        <v>0.72385979</v>
      </c>
      <c r="BP97">
        <v>5.61</v>
      </c>
      <c r="BQ97">
        <v>5.18483038</v>
      </c>
      <c r="BR97">
        <v>5.61</v>
      </c>
      <c r="BS97">
        <v>0.71477444</v>
      </c>
      <c r="BT97">
        <v>5.61</v>
      </c>
      <c r="BU97">
        <v>5.86371394</v>
      </c>
      <c r="BV97">
        <v>5.61</v>
      </c>
      <c r="BW97">
        <v>0.53980506</v>
      </c>
      <c r="BX97">
        <v>5.61</v>
      </c>
      <c r="BY97">
        <v>3.38782282</v>
      </c>
      <c r="BZ97">
        <v>5.61</v>
      </c>
      <c r="CA97">
        <v>0.7170666</v>
      </c>
      <c r="CB97">
        <v>5.61</v>
      </c>
      <c r="CC97">
        <v>3.70165712</v>
      </c>
      <c r="CD97">
        <v>5.61</v>
      </c>
      <c r="CE97">
        <v>0.75378832</v>
      </c>
      <c r="CF97">
        <v>5.61</v>
      </c>
      <c r="CG97">
        <v>3.25910189</v>
      </c>
      <c r="CK97">
        <v>5.61</v>
      </c>
      <c r="CL97">
        <v>0.27920506</v>
      </c>
      <c r="CM97">
        <v>0.85714492</v>
      </c>
      <c r="CN97">
        <v>0.78591462</v>
      </c>
      <c r="CO97">
        <v>0.52759585</v>
      </c>
      <c r="CP97">
        <v>0.2583336</v>
      </c>
      <c r="CR97">
        <v>5.61</v>
      </c>
      <c r="CS97">
        <v>0.37300938</v>
      </c>
      <c r="CT97">
        <v>0</v>
      </c>
      <c r="CU97">
        <v>1.11614318</v>
      </c>
      <c r="CV97">
        <v>2.16265294</v>
      </c>
      <c r="CW97">
        <v>0.5214563</v>
      </c>
      <c r="DZ97">
        <v>465</v>
      </c>
      <c r="EA97">
        <v>4.03595639</v>
      </c>
      <c r="EB97">
        <v>4.28707132</v>
      </c>
      <c r="EC97">
        <v>5.01461664</v>
      </c>
      <c r="ED97">
        <v>4.11068706</v>
      </c>
      <c r="EE97">
        <v>4.91933221</v>
      </c>
    </row>
    <row r="98" spans="23:141">
      <c r="W98">
        <v>47.904</v>
      </c>
      <c r="X98">
        <v>1.16751630717565</v>
      </c>
      <c r="Y98">
        <v>47.904</v>
      </c>
      <c r="Z98">
        <v>1.19280380739268</v>
      </c>
      <c r="AA98">
        <v>47.904</v>
      </c>
      <c r="AB98">
        <v>1.15946970210367</v>
      </c>
      <c r="AC98">
        <v>47.904</v>
      </c>
      <c r="AD98">
        <v>1.18669639329423</v>
      </c>
      <c r="AE98">
        <v>47.904</v>
      </c>
      <c r="AF98">
        <v>1.14927535422665</v>
      </c>
      <c r="AJ98">
        <v>475</v>
      </c>
      <c r="AK98">
        <v>7.16788613</v>
      </c>
      <c r="AL98">
        <v>8.8037531</v>
      </c>
      <c r="AM98">
        <v>4.66540825</v>
      </c>
      <c r="AN98">
        <v>6.65619878</v>
      </c>
      <c r="AO98">
        <v>8.80880412</v>
      </c>
      <c r="AP98">
        <v>11.83794011</v>
      </c>
      <c r="AQ98">
        <v>8.19818434</v>
      </c>
      <c r="AR98">
        <v>9.38909937</v>
      </c>
      <c r="AS98">
        <v>7.10079744</v>
      </c>
      <c r="AT98">
        <v>8.89310195</v>
      </c>
      <c r="BN98">
        <v>5.67</v>
      </c>
      <c r="BO98">
        <v>0.73754452</v>
      </c>
      <c r="BP98">
        <v>5.67</v>
      </c>
      <c r="BQ98">
        <v>5.76947814</v>
      </c>
      <c r="BR98">
        <v>5.67</v>
      </c>
      <c r="BS98">
        <v>0.69677468</v>
      </c>
      <c r="BT98">
        <v>5.67</v>
      </c>
      <c r="BU98">
        <v>6.15029137</v>
      </c>
      <c r="BV98">
        <v>5.67</v>
      </c>
      <c r="BW98">
        <v>0.55287776</v>
      </c>
      <c r="BX98">
        <v>5.67</v>
      </c>
      <c r="BY98">
        <v>3.97209067</v>
      </c>
      <c r="BZ98">
        <v>5.67</v>
      </c>
      <c r="CA98">
        <v>0.78308767</v>
      </c>
      <c r="CB98">
        <v>5.67</v>
      </c>
      <c r="CC98">
        <v>3.54495366</v>
      </c>
      <c r="CD98">
        <v>5.67</v>
      </c>
      <c r="CE98">
        <v>0.98726241</v>
      </c>
      <c r="CF98">
        <v>5.67</v>
      </c>
      <c r="CG98">
        <v>2.93525244</v>
      </c>
      <c r="CK98">
        <v>5.67</v>
      </c>
      <c r="CL98">
        <v>0.81998183</v>
      </c>
      <c r="CM98">
        <v>0.27970015</v>
      </c>
      <c r="CN98">
        <v>2.21193779</v>
      </c>
      <c r="CO98">
        <v>0.3689207</v>
      </c>
      <c r="CP98">
        <v>0.2528952</v>
      </c>
      <c r="CR98">
        <v>5.67</v>
      </c>
      <c r="CS98">
        <v>0.18257842</v>
      </c>
      <c r="CT98">
        <v>0</v>
      </c>
      <c r="CU98">
        <v>1.47828617</v>
      </c>
      <c r="CV98">
        <v>1.9694187</v>
      </c>
      <c r="CW98">
        <v>0.55301857</v>
      </c>
      <c r="DZ98">
        <v>470</v>
      </c>
      <c r="EA98">
        <v>4.04950868</v>
      </c>
      <c r="EB98">
        <v>4.28886237</v>
      </c>
      <c r="EC98">
        <v>5.01740088</v>
      </c>
      <c r="ED98">
        <v>4.11041877</v>
      </c>
      <c r="EE98">
        <v>4.91634907</v>
      </c>
    </row>
    <row r="99" spans="23:141">
      <c r="W99">
        <v>48.403</v>
      </c>
      <c r="X99">
        <v>1.17311891384086</v>
      </c>
      <c r="Y99">
        <v>48.403</v>
      </c>
      <c r="Z99">
        <v>1.19402353832706</v>
      </c>
      <c r="AA99">
        <v>48.403</v>
      </c>
      <c r="AB99">
        <v>1.1548523405663</v>
      </c>
      <c r="AC99">
        <v>48.403</v>
      </c>
      <c r="AD99">
        <v>1.19647230883816</v>
      </c>
      <c r="AE99">
        <v>48.403</v>
      </c>
      <c r="AF99">
        <v>1.14470551206488</v>
      </c>
      <c r="AJ99">
        <v>480</v>
      </c>
      <c r="AK99">
        <v>7.39627524</v>
      </c>
      <c r="AL99">
        <v>8.89886024</v>
      </c>
      <c r="AM99">
        <v>4.98954196</v>
      </c>
      <c r="AN99">
        <v>7.22555004</v>
      </c>
      <c r="AO99">
        <v>9.20783203</v>
      </c>
      <c r="AP99">
        <v>12.32348354</v>
      </c>
      <c r="AQ99">
        <v>9.07373781</v>
      </c>
      <c r="AR99">
        <v>10.09930699</v>
      </c>
      <c r="AS99">
        <v>7.6371243</v>
      </c>
      <c r="AT99">
        <v>9.44468817</v>
      </c>
      <c r="BN99">
        <v>5.73</v>
      </c>
      <c r="BO99">
        <v>0.75050033</v>
      </c>
      <c r="BP99">
        <v>5.73</v>
      </c>
      <c r="BQ99">
        <v>6.36438444</v>
      </c>
      <c r="BR99">
        <v>5.73</v>
      </c>
      <c r="BS99">
        <v>0.68515</v>
      </c>
      <c r="BT99">
        <v>5.73</v>
      </c>
      <c r="BU99">
        <v>5.43819746</v>
      </c>
      <c r="BV99">
        <v>5.73</v>
      </c>
      <c r="BW99">
        <v>0.62510617</v>
      </c>
      <c r="BX99">
        <v>5.73</v>
      </c>
      <c r="BY99">
        <v>4.30470841</v>
      </c>
      <c r="BZ99">
        <v>5.73</v>
      </c>
      <c r="CA99">
        <v>0.94395677</v>
      </c>
      <c r="CB99">
        <v>5.73</v>
      </c>
      <c r="CC99">
        <v>4.43529848</v>
      </c>
      <c r="CD99">
        <v>5.73</v>
      </c>
      <c r="CE99">
        <v>0.94030078</v>
      </c>
      <c r="CF99">
        <v>5.73</v>
      </c>
      <c r="CG99">
        <v>3.62386973</v>
      </c>
      <c r="CK99">
        <v>5.73</v>
      </c>
      <c r="CL99">
        <v>0.53526633</v>
      </c>
      <c r="CM99">
        <v>0.68468318</v>
      </c>
      <c r="CN99">
        <v>0.84750943</v>
      </c>
      <c r="CO99">
        <v>0.65022324</v>
      </c>
      <c r="CP99">
        <v>0.37144012</v>
      </c>
      <c r="CR99">
        <v>5.73</v>
      </c>
      <c r="CS99">
        <v>0</v>
      </c>
      <c r="CT99">
        <v>0</v>
      </c>
      <c r="CU99">
        <v>1.00694934</v>
      </c>
      <c r="CV99">
        <v>1.59092228</v>
      </c>
      <c r="CW99">
        <v>0.41653675</v>
      </c>
      <c r="DZ99">
        <v>475</v>
      </c>
      <c r="EA99">
        <v>4.05585681</v>
      </c>
      <c r="EB99">
        <v>4.29982968</v>
      </c>
      <c r="EC99">
        <v>5.02279504</v>
      </c>
      <c r="ED99">
        <v>4.10181977</v>
      </c>
      <c r="EE99">
        <v>4.92873019</v>
      </c>
    </row>
    <row r="100" spans="23:141">
      <c r="W100">
        <v>48.902</v>
      </c>
      <c r="X100">
        <v>1.17127820761018</v>
      </c>
      <c r="Y100">
        <v>48.902</v>
      </c>
      <c r="Z100">
        <v>1.19027078327971</v>
      </c>
      <c r="AA100">
        <v>48.902</v>
      </c>
      <c r="AB100">
        <v>1.14768174669063</v>
      </c>
      <c r="AC100">
        <v>48.902</v>
      </c>
      <c r="AD100">
        <v>1.18702133926737</v>
      </c>
      <c r="AE100">
        <v>48.902</v>
      </c>
      <c r="AF100">
        <v>1.14122210539238</v>
      </c>
      <c r="AJ100">
        <v>485</v>
      </c>
      <c r="AK100">
        <v>8.11670541</v>
      </c>
      <c r="AL100">
        <v>9.41429798</v>
      </c>
      <c r="AM100">
        <v>5.70398693</v>
      </c>
      <c r="AN100">
        <v>8.01444873</v>
      </c>
      <c r="AO100">
        <v>9.66541359</v>
      </c>
      <c r="AP100">
        <v>12.81939381</v>
      </c>
      <c r="AQ100">
        <v>9.29331452</v>
      </c>
      <c r="AR100">
        <v>10.68196707</v>
      </c>
      <c r="AS100">
        <v>8.29821992</v>
      </c>
      <c r="AT100">
        <v>10.12899533</v>
      </c>
      <c r="BN100">
        <v>5.79</v>
      </c>
      <c r="BO100">
        <v>0.76831088</v>
      </c>
      <c r="BP100">
        <v>5.79</v>
      </c>
      <c r="BQ100">
        <v>6.44327139</v>
      </c>
      <c r="BR100">
        <v>5.79</v>
      </c>
      <c r="BS100">
        <v>0.77012003</v>
      </c>
      <c r="BT100">
        <v>5.79</v>
      </c>
      <c r="BU100">
        <v>6.61291029</v>
      </c>
      <c r="BV100">
        <v>5.79</v>
      </c>
      <c r="BW100">
        <v>0.58292513</v>
      </c>
      <c r="BX100">
        <v>5.79</v>
      </c>
      <c r="BY100">
        <v>4.62275736</v>
      </c>
      <c r="BZ100">
        <v>5.79</v>
      </c>
      <c r="CA100">
        <v>0.86465661</v>
      </c>
      <c r="CB100">
        <v>5.79</v>
      </c>
      <c r="CC100">
        <v>3.66394498</v>
      </c>
      <c r="CD100">
        <v>5.79</v>
      </c>
      <c r="CE100">
        <v>1.0501649</v>
      </c>
      <c r="CF100">
        <v>5.79</v>
      </c>
      <c r="CG100">
        <v>3.75312778</v>
      </c>
      <c r="CK100">
        <v>5.79</v>
      </c>
      <c r="CL100">
        <v>0.78634546</v>
      </c>
      <c r="CM100">
        <v>0.1341133</v>
      </c>
      <c r="CN100">
        <v>1.10671418</v>
      </c>
      <c r="CO100">
        <v>0.63681705</v>
      </c>
      <c r="CP100">
        <v>0.60630306</v>
      </c>
      <c r="CR100">
        <v>5.79</v>
      </c>
      <c r="CS100">
        <v>0.52526669</v>
      </c>
      <c r="CT100">
        <v>0</v>
      </c>
      <c r="CU100">
        <v>0.92455147</v>
      </c>
      <c r="CV100">
        <v>0.9915315</v>
      </c>
      <c r="CW100">
        <v>0.53033327</v>
      </c>
      <c r="DZ100">
        <v>480</v>
      </c>
      <c r="EA100">
        <v>4.05951331</v>
      </c>
      <c r="EB100">
        <v>4.28093951</v>
      </c>
      <c r="EC100">
        <v>5.02201211</v>
      </c>
      <c r="ED100">
        <v>4.10398342</v>
      </c>
      <c r="EE100">
        <v>4.92383737</v>
      </c>
    </row>
    <row r="101" spans="23:141">
      <c r="W101">
        <v>49.401</v>
      </c>
      <c r="X101">
        <v>1.16661134764893</v>
      </c>
      <c r="Y101">
        <v>49.401</v>
      </c>
      <c r="Z101">
        <v>1.19139336289828</v>
      </c>
      <c r="AA101">
        <v>49.401</v>
      </c>
      <c r="AB101">
        <v>1.15268523745562</v>
      </c>
      <c r="AC101">
        <v>49.401</v>
      </c>
      <c r="AD101">
        <v>1.18258711544464</v>
      </c>
      <c r="AE101">
        <v>49.401</v>
      </c>
      <c r="AF101">
        <v>1.14370738187122</v>
      </c>
      <c r="AJ101">
        <v>490</v>
      </c>
      <c r="AK101">
        <v>9.05444466</v>
      </c>
      <c r="AL101">
        <v>10.01004599</v>
      </c>
      <c r="AM101">
        <v>6.18155202</v>
      </c>
      <c r="AN101">
        <v>9.19612958</v>
      </c>
      <c r="AO101">
        <v>11.27501846</v>
      </c>
      <c r="AP101">
        <v>14.08830648</v>
      </c>
      <c r="AQ101">
        <v>10.22118269</v>
      </c>
      <c r="AR101">
        <v>12.09842103</v>
      </c>
      <c r="AS101">
        <v>9.24525573</v>
      </c>
      <c r="AT101">
        <v>11.08681939</v>
      </c>
      <c r="BN101">
        <v>5.85</v>
      </c>
      <c r="BO101">
        <v>0.83686115</v>
      </c>
      <c r="BP101">
        <v>5.85</v>
      </c>
      <c r="BQ101">
        <v>6.68911538</v>
      </c>
      <c r="BR101">
        <v>5.85</v>
      </c>
      <c r="BS101">
        <v>0.79323346</v>
      </c>
      <c r="BT101">
        <v>5.85</v>
      </c>
      <c r="BU101">
        <v>5.0072862</v>
      </c>
      <c r="BV101">
        <v>5.85</v>
      </c>
      <c r="BW101">
        <v>0.63989694</v>
      </c>
      <c r="BX101">
        <v>5.85</v>
      </c>
      <c r="BY101">
        <v>4.52841868</v>
      </c>
      <c r="BZ101">
        <v>5.85</v>
      </c>
      <c r="CA101">
        <v>1.12837129</v>
      </c>
      <c r="CB101">
        <v>5.85</v>
      </c>
      <c r="CC101">
        <v>3.44116608</v>
      </c>
      <c r="CD101">
        <v>5.85</v>
      </c>
      <c r="CE101">
        <v>1.11736308</v>
      </c>
      <c r="CF101">
        <v>5.85</v>
      </c>
      <c r="CG101">
        <v>3.67653602</v>
      </c>
      <c r="CK101">
        <v>5.85</v>
      </c>
      <c r="CL101">
        <v>0.77029816</v>
      </c>
      <c r="CM101">
        <v>0.78825835</v>
      </c>
      <c r="CN101">
        <v>1.4455053</v>
      </c>
      <c r="CO101">
        <v>0.62382124</v>
      </c>
      <c r="CP101">
        <v>0.47514397</v>
      </c>
      <c r="CR101">
        <v>5.85</v>
      </c>
      <c r="CS101">
        <v>0.34303156</v>
      </c>
      <c r="CT101">
        <v>0</v>
      </c>
      <c r="CU101">
        <v>1.44909398</v>
      </c>
      <c r="CV101">
        <v>1.20255804</v>
      </c>
      <c r="CW101">
        <v>0.83920931</v>
      </c>
      <c r="DZ101">
        <v>485</v>
      </c>
      <c r="EA101">
        <v>4.06643501</v>
      </c>
      <c r="EB101">
        <v>4.29225284</v>
      </c>
      <c r="EC101">
        <v>5.02537668</v>
      </c>
      <c r="ED101">
        <v>4.08631006</v>
      </c>
      <c r="EE101">
        <v>4.92491605</v>
      </c>
      <c r="EG101">
        <v>4.05184216142857</v>
      </c>
      <c r="EH101">
        <v>4.28841201095238</v>
      </c>
      <c r="EI101">
        <v>5.02193067190476</v>
      </c>
      <c r="EJ101">
        <v>4.10528099</v>
      </c>
      <c r="EK101">
        <v>4.91963246285714</v>
      </c>
    </row>
    <row r="102" spans="23:141">
      <c r="W102">
        <v>49.9</v>
      </c>
      <c r="X102">
        <v>1.17095026505706</v>
      </c>
      <c r="Y102">
        <v>49.9</v>
      </c>
      <c r="Z102">
        <v>1.19211534216944</v>
      </c>
      <c r="AA102">
        <v>49.9</v>
      </c>
      <c r="AB102">
        <v>1.15220112673647</v>
      </c>
      <c r="AC102">
        <v>49.9</v>
      </c>
      <c r="AD102">
        <v>1.18560159057979</v>
      </c>
      <c r="AE102">
        <v>49.9</v>
      </c>
      <c r="AF102">
        <v>1.13901876547509</v>
      </c>
      <c r="AJ102">
        <v>495</v>
      </c>
      <c r="AK102">
        <v>10.56766366</v>
      </c>
      <c r="AL102">
        <v>11.12185638</v>
      </c>
      <c r="AM102">
        <v>6.6986471</v>
      </c>
      <c r="AN102">
        <v>9.98926533</v>
      </c>
      <c r="AO102">
        <v>13.38964819</v>
      </c>
      <c r="AP102">
        <v>16.00397201</v>
      </c>
      <c r="AQ102">
        <v>12.15959562</v>
      </c>
      <c r="AR102">
        <v>14.15572943</v>
      </c>
      <c r="AS102">
        <v>9.32010107</v>
      </c>
      <c r="AT102">
        <v>11.98137818</v>
      </c>
      <c r="BN102">
        <v>5.91</v>
      </c>
      <c r="BO102">
        <v>0.83060421</v>
      </c>
      <c r="BP102">
        <v>5.91</v>
      </c>
      <c r="BQ102">
        <v>6.85647806</v>
      </c>
      <c r="BR102">
        <v>5.91</v>
      </c>
      <c r="BS102">
        <v>0.7989492</v>
      </c>
      <c r="BT102">
        <v>5.91</v>
      </c>
      <c r="BU102">
        <v>6.24416848</v>
      </c>
      <c r="BV102">
        <v>5.91</v>
      </c>
      <c r="BW102">
        <v>0.64946238</v>
      </c>
      <c r="BX102">
        <v>5.91</v>
      </c>
      <c r="BY102">
        <v>5.07585778</v>
      </c>
      <c r="BZ102">
        <v>5.91</v>
      </c>
      <c r="CA102">
        <v>0.99071158</v>
      </c>
      <c r="CB102">
        <v>5.91</v>
      </c>
      <c r="CC102">
        <v>3.51666716</v>
      </c>
      <c r="CD102">
        <v>5.91</v>
      </c>
      <c r="CE102">
        <v>1.27157012</v>
      </c>
      <c r="CF102">
        <v>5.91</v>
      </c>
      <c r="CG102">
        <v>3.523955</v>
      </c>
      <c r="CK102">
        <v>5.91</v>
      </c>
      <c r="CL102">
        <v>1.00631615</v>
      </c>
      <c r="CM102">
        <v>0.12872241</v>
      </c>
      <c r="CN102">
        <v>1.59334219</v>
      </c>
      <c r="CO102">
        <v>0.67913247</v>
      </c>
      <c r="CP102">
        <v>0.69831815</v>
      </c>
      <c r="CR102">
        <v>5.91</v>
      </c>
      <c r="CS102">
        <v>1.34440746</v>
      </c>
      <c r="CT102">
        <v>0</v>
      </c>
      <c r="CU102">
        <v>1.30150199</v>
      </c>
      <c r="CV102">
        <v>0.99699327</v>
      </c>
      <c r="CW102">
        <v>1.21380672</v>
      </c>
      <c r="DZ102">
        <v>490</v>
      </c>
      <c r="EA102">
        <v>4.04433617</v>
      </c>
      <c r="EB102">
        <v>4.2781514</v>
      </c>
      <c r="EC102">
        <v>5.01613281</v>
      </c>
      <c r="ED102">
        <v>4.10784111</v>
      </c>
      <c r="EE102">
        <v>4.91104582</v>
      </c>
    </row>
    <row r="103" spans="23:141">
      <c r="W103">
        <v>50.399</v>
      </c>
      <c r="X103">
        <v>1.16339742116537</v>
      </c>
      <c r="Y103">
        <v>50.399</v>
      </c>
      <c r="Z103">
        <v>1.19521649982244</v>
      </c>
      <c r="AA103">
        <v>50.399</v>
      </c>
      <c r="AB103">
        <v>1.1621864245314</v>
      </c>
      <c r="AC103">
        <v>50.399</v>
      </c>
      <c r="AD103">
        <v>1.19035137516781</v>
      </c>
      <c r="AE103">
        <v>50.399</v>
      </c>
      <c r="AF103">
        <v>1.14789852397153</v>
      </c>
      <c r="BN103">
        <v>5.97</v>
      </c>
      <c r="BO103">
        <v>0.92356863</v>
      </c>
      <c r="BP103">
        <v>5.97</v>
      </c>
      <c r="BQ103">
        <v>5.96177899</v>
      </c>
      <c r="BR103">
        <v>5.97</v>
      </c>
      <c r="BS103">
        <v>0.86020257</v>
      </c>
      <c r="BT103">
        <v>5.97</v>
      </c>
      <c r="BU103">
        <v>5.78306463</v>
      </c>
      <c r="BV103">
        <v>5.97</v>
      </c>
      <c r="BW103">
        <v>0.67229243</v>
      </c>
      <c r="BX103">
        <v>5.97</v>
      </c>
      <c r="BY103">
        <v>4.55691657</v>
      </c>
      <c r="BZ103">
        <v>5.97</v>
      </c>
      <c r="CA103">
        <v>1.03281035</v>
      </c>
      <c r="CB103">
        <v>5.97</v>
      </c>
      <c r="CC103">
        <v>3.5529239</v>
      </c>
      <c r="CD103">
        <v>5.97</v>
      </c>
      <c r="CE103">
        <v>1.13976181</v>
      </c>
      <c r="CF103">
        <v>5.97</v>
      </c>
      <c r="CG103">
        <v>4.37440582</v>
      </c>
      <c r="CK103">
        <v>5.97</v>
      </c>
      <c r="CL103">
        <v>0.98619051</v>
      </c>
      <c r="CM103">
        <v>0.37844416</v>
      </c>
      <c r="CN103">
        <v>1.47472773</v>
      </c>
      <c r="CO103">
        <v>0.9317704</v>
      </c>
      <c r="CP103">
        <v>0.68435225</v>
      </c>
      <c r="CR103">
        <v>5.97</v>
      </c>
      <c r="CS103">
        <v>0.98814016</v>
      </c>
      <c r="CT103">
        <v>0</v>
      </c>
      <c r="CU103">
        <v>1.91320925</v>
      </c>
      <c r="CV103">
        <v>0.71058478</v>
      </c>
      <c r="CW103">
        <v>0.61395169</v>
      </c>
      <c r="DZ103">
        <v>495</v>
      </c>
      <c r="EA103">
        <v>4.06768121</v>
      </c>
      <c r="EB103">
        <v>4.28529417</v>
      </c>
      <c r="EC103">
        <v>5.0212233</v>
      </c>
      <c r="ED103">
        <v>4.0973566</v>
      </c>
      <c r="EE103">
        <v>4.90600298</v>
      </c>
      <c r="EG103">
        <v>1</v>
      </c>
      <c r="EH103">
        <v>4.05184216142857</v>
      </c>
    </row>
    <row r="104" spans="23:141">
      <c r="W104">
        <v>50.898</v>
      </c>
      <c r="X104">
        <v>1.15467577352755</v>
      </c>
      <c r="Y104">
        <v>50.898</v>
      </c>
      <c r="Z104">
        <v>1.19506790857427</v>
      </c>
      <c r="AA104">
        <v>50.898</v>
      </c>
      <c r="AB104">
        <v>1.15788899386386</v>
      </c>
      <c r="AC104">
        <v>50.898</v>
      </c>
      <c r="AD104">
        <v>1.18572789944275</v>
      </c>
      <c r="AE104">
        <v>50.898</v>
      </c>
      <c r="AF104">
        <v>1.15146505280159</v>
      </c>
      <c r="BN104">
        <v>6.03</v>
      </c>
      <c r="BO104">
        <v>0.86947868</v>
      </c>
      <c r="BP104">
        <v>6.03</v>
      </c>
      <c r="BQ104">
        <v>6.3280147</v>
      </c>
      <c r="BR104">
        <v>6.03</v>
      </c>
      <c r="BS104">
        <v>0.73875215</v>
      </c>
      <c r="BT104">
        <v>6.03</v>
      </c>
      <c r="BU104">
        <v>6.03107597</v>
      </c>
      <c r="BV104">
        <v>6.03</v>
      </c>
      <c r="BW104">
        <v>0.78591485</v>
      </c>
      <c r="BX104">
        <v>6.03</v>
      </c>
      <c r="BY104">
        <v>4.22800583</v>
      </c>
      <c r="BZ104">
        <v>6.03</v>
      </c>
      <c r="CA104">
        <v>1.10338893</v>
      </c>
      <c r="CB104">
        <v>6.03</v>
      </c>
      <c r="CC104">
        <v>3.13431417</v>
      </c>
      <c r="CD104">
        <v>6.03</v>
      </c>
      <c r="CE104">
        <v>1.18571418</v>
      </c>
      <c r="CF104">
        <v>6.03</v>
      </c>
      <c r="CG104">
        <v>3.94927729</v>
      </c>
      <c r="CK104">
        <v>6.03</v>
      </c>
      <c r="CL104">
        <v>1.6916596</v>
      </c>
      <c r="CM104">
        <v>0.12365015</v>
      </c>
      <c r="CN104">
        <v>1.53055712</v>
      </c>
      <c r="CO104">
        <v>0.91332011</v>
      </c>
      <c r="CP104">
        <v>0.78260137</v>
      </c>
      <c r="CR104">
        <v>6.03</v>
      </c>
      <c r="CS104">
        <v>2.26000525</v>
      </c>
      <c r="CT104">
        <v>0</v>
      </c>
      <c r="CU104">
        <v>1.47752892</v>
      </c>
      <c r="CV104">
        <v>1.00123925</v>
      </c>
      <c r="CW104">
        <v>1.12836494</v>
      </c>
      <c r="DZ104">
        <v>500</v>
      </c>
      <c r="EA104">
        <v>4.05315536</v>
      </c>
      <c r="EB104">
        <v>4.28674622</v>
      </c>
      <c r="EC104">
        <v>5.0257182</v>
      </c>
      <c r="ED104">
        <v>4.11763434</v>
      </c>
      <c r="EE104">
        <v>4.91187499</v>
      </c>
      <c r="EG104">
        <v>2</v>
      </c>
      <c r="EH104">
        <v>4.28841201095238</v>
      </c>
    </row>
    <row r="105" spans="23:141">
      <c r="W105">
        <v>51.397</v>
      </c>
      <c r="X105">
        <v>1.1593262177381</v>
      </c>
      <c r="Y105">
        <v>51.397</v>
      </c>
      <c r="Z105">
        <v>1.20162340844012</v>
      </c>
      <c r="AA105">
        <v>51.397</v>
      </c>
      <c r="AB105">
        <v>1.15713050154169</v>
      </c>
      <c r="AC105">
        <v>51.397</v>
      </c>
      <c r="AD105">
        <v>1.18713074269194</v>
      </c>
      <c r="AE105">
        <v>51.397</v>
      </c>
      <c r="AF105">
        <v>1.14908892160575</v>
      </c>
      <c r="BN105">
        <v>6.09</v>
      </c>
      <c r="BO105">
        <v>0.97778808</v>
      </c>
      <c r="BP105">
        <v>6.09</v>
      </c>
      <c r="BQ105">
        <v>5.85575969</v>
      </c>
      <c r="BR105">
        <v>6.09</v>
      </c>
      <c r="BS105">
        <v>0.82663722</v>
      </c>
      <c r="BT105">
        <v>6.09</v>
      </c>
      <c r="BU105">
        <v>5.94513392</v>
      </c>
      <c r="BV105">
        <v>6.09</v>
      </c>
      <c r="BW105">
        <v>0.72019735</v>
      </c>
      <c r="BX105">
        <v>6.09</v>
      </c>
      <c r="BY105">
        <v>5.04766993</v>
      </c>
      <c r="BZ105">
        <v>6.09</v>
      </c>
      <c r="CA105">
        <v>1.02496243</v>
      </c>
      <c r="CB105">
        <v>6.09</v>
      </c>
      <c r="CC105">
        <v>2.79971599</v>
      </c>
      <c r="CD105">
        <v>6.09</v>
      </c>
      <c r="CE105">
        <v>1.18583178</v>
      </c>
      <c r="CF105">
        <v>6.09</v>
      </c>
      <c r="CG105">
        <v>4.12996586</v>
      </c>
      <c r="CK105">
        <v>6.09</v>
      </c>
      <c r="CL105">
        <v>1.65849088</v>
      </c>
      <c r="CM105">
        <v>0.24245144</v>
      </c>
      <c r="CN105">
        <v>1.00036478</v>
      </c>
      <c r="CO105">
        <v>0.76749638</v>
      </c>
      <c r="CP105">
        <v>0.65764863</v>
      </c>
      <c r="CR105">
        <v>6.09</v>
      </c>
      <c r="CS105">
        <v>1.10784643</v>
      </c>
      <c r="CT105">
        <v>0</v>
      </c>
      <c r="CU105">
        <v>1.55998629</v>
      </c>
      <c r="CV105">
        <v>0.81089335</v>
      </c>
      <c r="CW105">
        <v>0.66374451</v>
      </c>
      <c r="EA105">
        <f>AVERAGEA(EA84:EA104)</f>
        <v>4.05184216142857</v>
      </c>
      <c r="EB105">
        <f t="shared" ref="EB105:EE105" si="14">AVERAGEA(EB84:EB104)</f>
        <v>4.28841201095238</v>
      </c>
      <c r="EC105">
        <f t="shared" si="14"/>
        <v>5.02193067190476</v>
      </c>
      <c r="ED105">
        <f t="shared" si="14"/>
        <v>4.10528099</v>
      </c>
      <c r="EE105">
        <f t="shared" si="14"/>
        <v>4.91963246285714</v>
      </c>
      <c r="EG105">
        <v>3</v>
      </c>
      <c r="EH105">
        <v>5.02193067190476</v>
      </c>
    </row>
    <row r="106" spans="23:141">
      <c r="W106">
        <v>51.896</v>
      </c>
      <c r="X106">
        <v>1.16000067726482</v>
      </c>
      <c r="Y106">
        <v>51.896</v>
      </c>
      <c r="Z106">
        <v>1.19631574340607</v>
      </c>
      <c r="AA106">
        <v>51.896</v>
      </c>
      <c r="AB106">
        <v>1.16433606106416</v>
      </c>
      <c r="AC106">
        <v>51.896</v>
      </c>
      <c r="AD106">
        <v>1.1932276656879</v>
      </c>
      <c r="AE106">
        <v>51.896</v>
      </c>
      <c r="AF106">
        <v>1.14384906252742</v>
      </c>
      <c r="BN106">
        <v>6.15</v>
      </c>
      <c r="BO106">
        <v>0.94896863</v>
      </c>
      <c r="BP106">
        <v>6.15</v>
      </c>
      <c r="BQ106">
        <v>5.15233422</v>
      </c>
      <c r="BR106">
        <v>6.15</v>
      </c>
      <c r="BS106">
        <v>0.88336364</v>
      </c>
      <c r="BT106">
        <v>6.15</v>
      </c>
      <c r="BU106">
        <v>6.36831149</v>
      </c>
      <c r="BV106">
        <v>6.15</v>
      </c>
      <c r="BW106">
        <v>0.6854424</v>
      </c>
      <c r="BX106">
        <v>6.15</v>
      </c>
      <c r="BY106">
        <v>4.68742639</v>
      </c>
      <c r="BZ106">
        <v>6.15</v>
      </c>
      <c r="CA106">
        <v>1.03423152</v>
      </c>
      <c r="CB106">
        <v>6.15</v>
      </c>
      <c r="CC106">
        <v>2.77883423</v>
      </c>
      <c r="CD106">
        <v>6.15</v>
      </c>
      <c r="CE106">
        <v>1.2630486</v>
      </c>
      <c r="CF106">
        <v>6.15</v>
      </c>
      <c r="CG106">
        <v>4.19440971</v>
      </c>
      <c r="CK106">
        <v>6.15</v>
      </c>
      <c r="CL106">
        <v>1.16163442</v>
      </c>
      <c r="CM106">
        <v>0.1188719</v>
      </c>
      <c r="CN106">
        <v>0.40872535</v>
      </c>
      <c r="CO106">
        <v>1.00345868</v>
      </c>
      <c r="CP106">
        <v>0.64487916</v>
      </c>
      <c r="CR106">
        <v>6.15</v>
      </c>
      <c r="CS106">
        <v>1.24152632</v>
      </c>
      <c r="CT106">
        <v>0</v>
      </c>
      <c r="CU106">
        <v>1.25653621</v>
      </c>
      <c r="CV106">
        <v>1.08809774</v>
      </c>
      <c r="CW106">
        <v>0.68701538</v>
      </c>
      <c r="EG106">
        <v>4</v>
      </c>
      <c r="EH106">
        <v>4.10528099</v>
      </c>
    </row>
    <row r="107" spans="23:141">
      <c r="W107">
        <v>52.395</v>
      </c>
      <c r="X107">
        <v>1.15800537990966</v>
      </c>
      <c r="Y107">
        <v>52.395</v>
      </c>
      <c r="Z107">
        <v>1.19964476778132</v>
      </c>
      <c r="AA107">
        <v>52.395</v>
      </c>
      <c r="AB107">
        <v>1.16896473311807</v>
      </c>
      <c r="AC107">
        <v>52.395</v>
      </c>
      <c r="AD107">
        <v>1.20038977023345</v>
      </c>
      <c r="AE107">
        <v>52.395</v>
      </c>
      <c r="AF107">
        <v>1.14301241072648</v>
      </c>
      <c r="BN107">
        <v>6.21</v>
      </c>
      <c r="BO107">
        <v>0.94759814</v>
      </c>
      <c r="BP107">
        <v>6.21</v>
      </c>
      <c r="BQ107">
        <v>5.479432</v>
      </c>
      <c r="BR107">
        <v>6.21</v>
      </c>
      <c r="BS107">
        <v>0.96236697</v>
      </c>
      <c r="BT107">
        <v>6.21</v>
      </c>
      <c r="BU107">
        <v>4.81644978</v>
      </c>
      <c r="BV107">
        <v>6.21</v>
      </c>
      <c r="BW107">
        <v>0.73082943</v>
      </c>
      <c r="BX107">
        <v>6.21</v>
      </c>
      <c r="BY107">
        <v>4.30794668</v>
      </c>
      <c r="BZ107">
        <v>6.21</v>
      </c>
      <c r="CA107">
        <v>1.15218969</v>
      </c>
      <c r="CB107">
        <v>6.21</v>
      </c>
      <c r="CC107">
        <v>2.79106898</v>
      </c>
      <c r="CD107">
        <v>6.21</v>
      </c>
      <c r="CE107">
        <v>1.32864731</v>
      </c>
      <c r="CF107">
        <v>6.21</v>
      </c>
      <c r="CG107">
        <v>4.22014059</v>
      </c>
      <c r="CK107">
        <v>6.21</v>
      </c>
      <c r="CL107">
        <v>0.9114368</v>
      </c>
      <c r="CM107">
        <v>0.34975791</v>
      </c>
      <c r="CN107">
        <v>1.12242337</v>
      </c>
      <c r="CO107">
        <v>1.2302025</v>
      </c>
      <c r="CP107">
        <v>0.73789103</v>
      </c>
      <c r="CR107">
        <v>6.21</v>
      </c>
      <c r="CS107">
        <v>1.369858</v>
      </c>
      <c r="CT107">
        <v>0</v>
      </c>
      <c r="CU107">
        <v>1.0180471</v>
      </c>
      <c r="CV107">
        <v>1.10821857</v>
      </c>
      <c r="CW107">
        <v>0.56741386</v>
      </c>
      <c r="EG107">
        <v>5</v>
      </c>
      <c r="EH107">
        <v>4.91963246285714</v>
      </c>
    </row>
    <row r="108" spans="23:141">
      <c r="W108">
        <v>52.894</v>
      </c>
      <c r="X108">
        <v>1.15896654692364</v>
      </c>
      <c r="Y108">
        <v>52.894</v>
      </c>
      <c r="Z108">
        <v>1.19410872930962</v>
      </c>
      <c r="AA108">
        <v>52.894</v>
      </c>
      <c r="AB108">
        <v>1.15742583483383</v>
      </c>
      <c r="AC108">
        <v>52.894</v>
      </c>
      <c r="AD108">
        <v>1.1911525706079</v>
      </c>
      <c r="AE108">
        <v>52.894</v>
      </c>
      <c r="AF108">
        <v>1.13727796780146</v>
      </c>
      <c r="BN108">
        <v>6.27</v>
      </c>
      <c r="BO108">
        <v>0.98868083</v>
      </c>
      <c r="BP108">
        <v>6.27</v>
      </c>
      <c r="BQ108">
        <v>5.434788</v>
      </c>
      <c r="BR108">
        <v>6.27</v>
      </c>
      <c r="BS108">
        <v>0.81365826</v>
      </c>
      <c r="BT108">
        <v>6.27</v>
      </c>
      <c r="BU108">
        <v>4.99904872</v>
      </c>
      <c r="BV108">
        <v>6.27</v>
      </c>
      <c r="BW108">
        <v>0.73439489</v>
      </c>
      <c r="BX108">
        <v>6.27</v>
      </c>
      <c r="BY108">
        <v>4.38357563</v>
      </c>
      <c r="BZ108">
        <v>6.27</v>
      </c>
      <c r="CA108">
        <v>1.04349831</v>
      </c>
      <c r="CB108">
        <v>6.27</v>
      </c>
      <c r="CC108">
        <v>3.67201697</v>
      </c>
      <c r="CD108">
        <v>6.27</v>
      </c>
      <c r="CE108">
        <v>1.41080411</v>
      </c>
      <c r="CF108">
        <v>6.27</v>
      </c>
      <c r="CG108">
        <v>3.617941</v>
      </c>
      <c r="CK108">
        <v>6.27</v>
      </c>
      <c r="CL108">
        <v>2.45871072</v>
      </c>
      <c r="CM108">
        <v>0.45746141</v>
      </c>
      <c r="CN108">
        <v>1.49427472</v>
      </c>
      <c r="CO108">
        <v>1.20677079</v>
      </c>
      <c r="CP108">
        <v>0.3102156</v>
      </c>
      <c r="CR108">
        <v>6.27</v>
      </c>
      <c r="CS108">
        <v>1.1944589</v>
      </c>
      <c r="CT108">
        <v>0</v>
      </c>
      <c r="CU108">
        <v>0.99865632</v>
      </c>
      <c r="CV108">
        <v>1.16763697</v>
      </c>
      <c r="CW108">
        <v>0.76533367</v>
      </c>
    </row>
    <row r="109" spans="23:141">
      <c r="W109">
        <v>53.393</v>
      </c>
      <c r="X109">
        <v>1.16535722217445</v>
      </c>
      <c r="Y109">
        <v>53.393</v>
      </c>
      <c r="Z109">
        <v>1.20050505112181</v>
      </c>
      <c r="AA109">
        <v>53.393</v>
      </c>
      <c r="AB109">
        <v>1.15185035314027</v>
      </c>
      <c r="AC109">
        <v>53.393</v>
      </c>
      <c r="AD109">
        <v>1.18818582795921</v>
      </c>
      <c r="AE109">
        <v>53.393</v>
      </c>
      <c r="AF109">
        <v>1.14331399835196</v>
      </c>
      <c r="BN109">
        <v>6.33</v>
      </c>
      <c r="BO109">
        <v>0.88184276</v>
      </c>
      <c r="BP109">
        <v>6.33</v>
      </c>
      <c r="BQ109">
        <v>4.86347885</v>
      </c>
      <c r="BR109">
        <v>6.33</v>
      </c>
      <c r="BS109">
        <v>0.81015099</v>
      </c>
      <c r="BT109">
        <v>6.33</v>
      </c>
      <c r="BU109">
        <v>5.20379876</v>
      </c>
      <c r="BV109">
        <v>6.33</v>
      </c>
      <c r="BW109">
        <v>0.77445667</v>
      </c>
      <c r="BX109">
        <v>6.33</v>
      </c>
      <c r="BY109">
        <v>4.36275214</v>
      </c>
      <c r="BZ109">
        <v>6.33</v>
      </c>
      <c r="CA109">
        <v>1.16148644</v>
      </c>
      <c r="CB109">
        <v>6.33</v>
      </c>
      <c r="CC109">
        <v>3.72914748</v>
      </c>
      <c r="CD109">
        <v>6.33</v>
      </c>
      <c r="CE109">
        <v>1.31389527</v>
      </c>
      <c r="CF109">
        <v>6.33</v>
      </c>
      <c r="CG109">
        <v>3.54968001</v>
      </c>
      <c r="CK109">
        <v>6.33</v>
      </c>
      <c r="CL109">
        <v>2.63162328</v>
      </c>
      <c r="CM109">
        <v>0.22441516</v>
      </c>
      <c r="CN109">
        <v>1.4660817</v>
      </c>
      <c r="CO109">
        <v>1.00640188</v>
      </c>
      <c r="CP109">
        <v>1.06526926</v>
      </c>
      <c r="CR109">
        <v>6.33</v>
      </c>
      <c r="CS109">
        <v>1.17192261</v>
      </c>
      <c r="CT109">
        <v>0</v>
      </c>
      <c r="CU109">
        <v>0.92824514</v>
      </c>
      <c r="CV109">
        <v>0.86908098</v>
      </c>
      <c r="CW109">
        <v>1.09220923</v>
      </c>
    </row>
    <row r="110" spans="23:141">
      <c r="W110">
        <v>53.892</v>
      </c>
      <c r="X110">
        <v>1.16366412753127</v>
      </c>
      <c r="Y110">
        <v>53.892</v>
      </c>
      <c r="Z110">
        <v>1.18976733779528</v>
      </c>
      <c r="AA110">
        <v>53.892</v>
      </c>
      <c r="AB110">
        <v>1.1626135849484</v>
      </c>
      <c r="AC110">
        <v>53.892</v>
      </c>
      <c r="AD110">
        <v>1.18546817354311</v>
      </c>
      <c r="AE110">
        <v>53.892</v>
      </c>
      <c r="AF110">
        <v>1.14932092438231</v>
      </c>
      <c r="BN110">
        <v>6.39</v>
      </c>
      <c r="BO110">
        <v>0.91090548</v>
      </c>
      <c r="BP110">
        <v>6.39</v>
      </c>
      <c r="BQ110">
        <v>4.9450781</v>
      </c>
      <c r="BR110">
        <v>6.39</v>
      </c>
      <c r="BS110">
        <v>0.89496562</v>
      </c>
      <c r="BT110">
        <v>6.39</v>
      </c>
      <c r="BU110">
        <v>4.69566377</v>
      </c>
      <c r="BV110">
        <v>6.39</v>
      </c>
      <c r="BW110">
        <v>0.72390621</v>
      </c>
      <c r="BX110">
        <v>6.39</v>
      </c>
      <c r="BY110">
        <v>4.2508446</v>
      </c>
      <c r="BZ110">
        <v>6.39</v>
      </c>
      <c r="CA110">
        <v>1.16434122</v>
      </c>
      <c r="CB110">
        <v>6.39</v>
      </c>
      <c r="CC110">
        <v>3.50438457</v>
      </c>
      <c r="CD110">
        <v>6.39</v>
      </c>
      <c r="CE110">
        <v>1.3264786</v>
      </c>
      <c r="CF110">
        <v>6.39</v>
      </c>
      <c r="CG110">
        <v>3.55031997</v>
      </c>
      <c r="CK110">
        <v>6.39</v>
      </c>
      <c r="CL110">
        <v>1.72162367</v>
      </c>
      <c r="CM110">
        <v>0.44044122</v>
      </c>
      <c r="CN110">
        <v>1.36295916</v>
      </c>
      <c r="CO110">
        <v>0.92949758</v>
      </c>
      <c r="CP110">
        <v>0.64712655</v>
      </c>
      <c r="CR110">
        <v>6.39</v>
      </c>
      <c r="CS110">
        <v>1.00626589</v>
      </c>
      <c r="CT110">
        <v>0</v>
      </c>
      <c r="CU110">
        <v>1.4169482</v>
      </c>
      <c r="CV110">
        <v>0.93036759</v>
      </c>
      <c r="CW110">
        <v>0.83733961</v>
      </c>
    </row>
    <row r="111" spans="23:141">
      <c r="W111">
        <v>54.391</v>
      </c>
      <c r="X111">
        <v>1.16801389460763</v>
      </c>
      <c r="Y111">
        <v>54.391</v>
      </c>
      <c r="Z111">
        <v>1.1896690884618</v>
      </c>
      <c r="AA111">
        <v>54.391</v>
      </c>
      <c r="AB111">
        <v>1.16347763359611</v>
      </c>
      <c r="AC111">
        <v>54.391</v>
      </c>
      <c r="AD111">
        <v>1.20074554689499</v>
      </c>
      <c r="AE111">
        <v>54.391</v>
      </c>
      <c r="AF111">
        <v>1.14728946292841</v>
      </c>
      <c r="BN111">
        <v>6.45</v>
      </c>
      <c r="BO111">
        <v>0.86498113</v>
      </c>
      <c r="BP111">
        <v>6.45</v>
      </c>
      <c r="BQ111">
        <v>4.14805388</v>
      </c>
      <c r="BR111">
        <v>6.45</v>
      </c>
      <c r="BS111">
        <v>0.84416957</v>
      </c>
      <c r="BT111">
        <v>6.45</v>
      </c>
      <c r="BU111">
        <v>4.03262085</v>
      </c>
      <c r="BV111">
        <v>6.45</v>
      </c>
      <c r="BW111">
        <v>0.70341952</v>
      </c>
      <c r="BX111">
        <v>6.45</v>
      </c>
      <c r="BY111">
        <v>4.67874301</v>
      </c>
      <c r="BZ111">
        <v>6.45</v>
      </c>
      <c r="CA111">
        <v>1.20064224</v>
      </c>
      <c r="CB111">
        <v>6.45</v>
      </c>
      <c r="CC111">
        <v>2.73941716</v>
      </c>
      <c r="CD111">
        <v>6.45</v>
      </c>
      <c r="CE111">
        <v>1.20036553</v>
      </c>
      <c r="CF111">
        <v>6.45</v>
      </c>
      <c r="CG111">
        <v>3.09009499</v>
      </c>
      <c r="CK111">
        <v>6.45</v>
      </c>
      <c r="CL111">
        <v>1.9009605</v>
      </c>
      <c r="CM111">
        <v>0.32421385</v>
      </c>
      <c r="CN111">
        <v>0.81749549</v>
      </c>
      <c r="CO111">
        <v>1.08333863</v>
      </c>
      <c r="CP111">
        <v>1.3191433</v>
      </c>
      <c r="CR111">
        <v>6.45</v>
      </c>
      <c r="CS111">
        <v>0.56436107</v>
      </c>
      <c r="CT111">
        <v>0</v>
      </c>
      <c r="CU111">
        <v>1.14236825</v>
      </c>
      <c r="CV111">
        <v>1.29361366</v>
      </c>
      <c r="CW111">
        <v>0.85470712</v>
      </c>
    </row>
    <row r="112" spans="23:141">
      <c r="W112">
        <v>54.89</v>
      </c>
      <c r="X112">
        <v>1.16792929391157</v>
      </c>
      <c r="Y112">
        <v>54.89</v>
      </c>
      <c r="Z112">
        <v>1.1887324554945</v>
      </c>
      <c r="AA112">
        <v>54.89</v>
      </c>
      <c r="AB112">
        <v>1.1634925697838</v>
      </c>
      <c r="AC112">
        <v>54.89</v>
      </c>
      <c r="AD112">
        <v>1.198652822151</v>
      </c>
      <c r="AE112">
        <v>54.89</v>
      </c>
      <c r="AF112">
        <v>1.14912302895156</v>
      </c>
      <c r="BN112">
        <v>6.51</v>
      </c>
      <c r="BO112">
        <v>0.90615654</v>
      </c>
      <c r="BP112">
        <v>6.51</v>
      </c>
      <c r="BQ112">
        <v>4.2935474</v>
      </c>
      <c r="BR112">
        <v>6.51</v>
      </c>
      <c r="BS112">
        <v>0.94066453</v>
      </c>
      <c r="BT112">
        <v>6.51</v>
      </c>
      <c r="BU112">
        <v>4.24138918</v>
      </c>
      <c r="BV112">
        <v>6.51</v>
      </c>
      <c r="BW112">
        <v>0.85734849</v>
      </c>
      <c r="BX112">
        <v>6.51</v>
      </c>
      <c r="BY112">
        <v>4.03706865</v>
      </c>
      <c r="BZ112">
        <v>6.51</v>
      </c>
      <c r="CA112">
        <v>1.08631173</v>
      </c>
      <c r="CB112">
        <v>6.51</v>
      </c>
      <c r="CC112">
        <v>2.62939507</v>
      </c>
      <c r="CD112">
        <v>6.51</v>
      </c>
      <c r="CE112">
        <v>1.31381198</v>
      </c>
      <c r="CF112">
        <v>6.51</v>
      </c>
      <c r="CG112">
        <v>2.64615535</v>
      </c>
      <c r="CK112">
        <v>6.51</v>
      </c>
      <c r="CL112">
        <v>1.03671193</v>
      </c>
      <c r="CM112">
        <v>0.31826514</v>
      </c>
      <c r="CN112">
        <v>1.31317528</v>
      </c>
      <c r="CO112">
        <v>1.06346142</v>
      </c>
      <c r="CP112">
        <v>1.00717518</v>
      </c>
      <c r="CR112">
        <v>6.51</v>
      </c>
      <c r="CS112">
        <v>0.27700306</v>
      </c>
      <c r="CT112">
        <v>0</v>
      </c>
      <c r="CU112">
        <v>1.41394916</v>
      </c>
      <c r="CV112">
        <v>1.15783022</v>
      </c>
      <c r="CW112">
        <v>0.83902487</v>
      </c>
    </row>
    <row r="113" spans="23:101">
      <c r="W113">
        <v>55.389</v>
      </c>
      <c r="X113">
        <v>1.16739845916582</v>
      </c>
      <c r="Y113">
        <v>55.389</v>
      </c>
      <c r="Z113">
        <v>1.19330508753757</v>
      </c>
      <c r="AA113">
        <v>55.389</v>
      </c>
      <c r="AB113">
        <v>1.16287210928298</v>
      </c>
      <c r="AC113">
        <v>55.389</v>
      </c>
      <c r="AD113">
        <v>1.1904102224877</v>
      </c>
      <c r="AE113">
        <v>55.389</v>
      </c>
      <c r="AF113">
        <v>1.14862776214974</v>
      </c>
      <c r="BN113">
        <v>6.57</v>
      </c>
      <c r="BO113">
        <v>0.92630269</v>
      </c>
      <c r="BP113">
        <v>6.57</v>
      </c>
      <c r="BQ113">
        <v>4.29707511</v>
      </c>
      <c r="BR113">
        <v>6.57</v>
      </c>
      <c r="BS113">
        <v>0.87958287</v>
      </c>
      <c r="BT113">
        <v>6.57</v>
      </c>
      <c r="BU113">
        <v>4.16427516</v>
      </c>
      <c r="BV113">
        <v>6.57</v>
      </c>
      <c r="BW113">
        <v>0.81218539</v>
      </c>
      <c r="BX113">
        <v>6.57</v>
      </c>
      <c r="BY113">
        <v>2.9871132</v>
      </c>
      <c r="BZ113">
        <v>6.57</v>
      </c>
      <c r="CA113">
        <v>1.04332453</v>
      </c>
      <c r="CB113">
        <v>6.57</v>
      </c>
      <c r="CC113">
        <v>2.46424425</v>
      </c>
      <c r="CD113">
        <v>6.57</v>
      </c>
      <c r="CE113">
        <v>1.15942689</v>
      </c>
      <c r="CF113">
        <v>6.57</v>
      </c>
      <c r="CG113">
        <v>2.02774226</v>
      </c>
      <c r="CK113">
        <v>6.57</v>
      </c>
      <c r="CL113">
        <v>1.22143578</v>
      </c>
      <c r="CM113">
        <v>0.41663821</v>
      </c>
      <c r="CN113">
        <v>1.14604447</v>
      </c>
      <c r="CO113">
        <v>1.4288044</v>
      </c>
      <c r="CP113">
        <v>0.84759721</v>
      </c>
      <c r="CR113">
        <v>6.57</v>
      </c>
      <c r="CS113">
        <v>0.40795017</v>
      </c>
      <c r="CT113">
        <v>0</v>
      </c>
      <c r="CU113">
        <v>1.34037131</v>
      </c>
      <c r="CV113">
        <v>1.21011994</v>
      </c>
      <c r="CW113">
        <v>0.76040335</v>
      </c>
    </row>
    <row r="114" spans="23:101">
      <c r="W114">
        <v>55.888</v>
      </c>
      <c r="X114">
        <v>1.16717568661503</v>
      </c>
      <c r="Y114">
        <v>55.888</v>
      </c>
      <c r="Z114">
        <v>1.2027143214933</v>
      </c>
      <c r="AA114">
        <v>55.888</v>
      </c>
      <c r="AB114">
        <v>1.1668076461311</v>
      </c>
      <c r="AC114">
        <v>55.888</v>
      </c>
      <c r="AD114">
        <v>1.18994756930033</v>
      </c>
      <c r="AE114">
        <v>55.888</v>
      </c>
      <c r="AF114">
        <v>1.14930697923691</v>
      </c>
      <c r="BN114">
        <v>6.63</v>
      </c>
      <c r="BO114">
        <v>0.9307668</v>
      </c>
      <c r="BP114">
        <v>6.63</v>
      </c>
      <c r="BQ114">
        <v>3.0178527</v>
      </c>
      <c r="BR114">
        <v>6.63</v>
      </c>
      <c r="BS114">
        <v>0.95442714</v>
      </c>
      <c r="BT114">
        <v>6.63</v>
      </c>
      <c r="BU114">
        <v>3.87115214</v>
      </c>
      <c r="BV114">
        <v>6.63</v>
      </c>
      <c r="BW114">
        <v>0.82659432</v>
      </c>
      <c r="BX114">
        <v>6.63</v>
      </c>
      <c r="BY114">
        <v>2.67945017</v>
      </c>
      <c r="BZ114">
        <v>6.63</v>
      </c>
      <c r="CA114">
        <v>1.00627204</v>
      </c>
      <c r="CB114">
        <v>6.63</v>
      </c>
      <c r="CC114">
        <v>1.95892187</v>
      </c>
      <c r="CD114">
        <v>6.63</v>
      </c>
      <c r="CE114">
        <v>1.15332308</v>
      </c>
      <c r="CF114">
        <v>6.63</v>
      </c>
      <c r="CG114">
        <v>1.49340552</v>
      </c>
      <c r="CK114">
        <v>6.63</v>
      </c>
      <c r="CL114">
        <v>1.99904755</v>
      </c>
      <c r="CM114">
        <v>0.10228286</v>
      </c>
      <c r="CN114">
        <v>1.26607003</v>
      </c>
      <c r="CO114">
        <v>0.97134984</v>
      </c>
      <c r="CP114">
        <v>0.55488374</v>
      </c>
      <c r="CR114">
        <v>6.63</v>
      </c>
      <c r="CS114">
        <v>0.53413322</v>
      </c>
      <c r="CT114">
        <v>0</v>
      </c>
      <c r="CU114">
        <v>1.26921324</v>
      </c>
      <c r="CV114">
        <v>1.83648926</v>
      </c>
      <c r="CW114">
        <v>0.96449107</v>
      </c>
    </row>
    <row r="115" spans="23:101">
      <c r="W115">
        <v>56.387</v>
      </c>
      <c r="X115">
        <v>1.1691616167256</v>
      </c>
      <c r="Y115">
        <v>56.387</v>
      </c>
      <c r="Z115">
        <v>1.1929116273845</v>
      </c>
      <c r="AA115">
        <v>56.387</v>
      </c>
      <c r="AB115">
        <v>1.16462012637311</v>
      </c>
      <c r="AC115">
        <v>56.387</v>
      </c>
      <c r="AD115">
        <v>1.19947121330882</v>
      </c>
      <c r="AE115">
        <v>56.387</v>
      </c>
      <c r="AF115">
        <v>1.14735225002585</v>
      </c>
      <c r="BN115">
        <v>6.69</v>
      </c>
      <c r="BO115">
        <v>0.92868965</v>
      </c>
      <c r="BP115">
        <v>6.69</v>
      </c>
      <c r="BQ115">
        <v>2.36067923</v>
      </c>
      <c r="BR115">
        <v>6.69</v>
      </c>
      <c r="BS115">
        <v>0.82286219</v>
      </c>
      <c r="BT115">
        <v>6.69</v>
      </c>
      <c r="BU115">
        <v>2.57038396</v>
      </c>
      <c r="BV115">
        <v>6.69</v>
      </c>
      <c r="BW115">
        <v>0.930318</v>
      </c>
      <c r="BX115">
        <v>6.69</v>
      </c>
      <c r="BY115">
        <v>2.16068549</v>
      </c>
      <c r="BZ115">
        <v>6.69</v>
      </c>
      <c r="CA115">
        <v>0.93675921</v>
      </c>
      <c r="CB115">
        <v>6.69</v>
      </c>
      <c r="CC115">
        <v>1.52783634</v>
      </c>
      <c r="CD115">
        <v>6.69</v>
      </c>
      <c r="CE115">
        <v>1.10126389</v>
      </c>
      <c r="CF115">
        <v>6.69</v>
      </c>
      <c r="CG115">
        <v>1.19172485</v>
      </c>
      <c r="CK115">
        <v>6.69</v>
      </c>
      <c r="CL115">
        <v>1.57068098</v>
      </c>
      <c r="CM115">
        <v>0.30136928</v>
      </c>
      <c r="CN115">
        <v>1.10529977</v>
      </c>
      <c r="CO115">
        <v>0.79500398</v>
      </c>
      <c r="CP115">
        <v>0.95370689</v>
      </c>
      <c r="CR115">
        <v>6.69</v>
      </c>
      <c r="CS115">
        <v>0.13114885</v>
      </c>
      <c r="CT115">
        <v>0</v>
      </c>
      <c r="CU115">
        <v>1.84673974</v>
      </c>
      <c r="CV115">
        <v>1.69759594</v>
      </c>
      <c r="CW115">
        <v>0.85559733</v>
      </c>
    </row>
    <row r="116" spans="23:101">
      <c r="W116">
        <v>56.886</v>
      </c>
      <c r="X116">
        <v>1.16927860909882</v>
      </c>
      <c r="Y116">
        <v>56.886</v>
      </c>
      <c r="Z116">
        <v>1.19413126478252</v>
      </c>
      <c r="AA116">
        <v>56.886</v>
      </c>
      <c r="AB116">
        <v>1.15286011732639</v>
      </c>
      <c r="AC116">
        <v>56.886</v>
      </c>
      <c r="AD116">
        <v>1.20075434917246</v>
      </c>
      <c r="AE116">
        <v>56.886</v>
      </c>
      <c r="AF116">
        <v>1.1528618886948</v>
      </c>
      <c r="BN116">
        <v>6.75</v>
      </c>
      <c r="BO116">
        <v>0.90817143</v>
      </c>
      <c r="BP116">
        <v>6.75</v>
      </c>
      <c r="BQ116">
        <v>2.34466393</v>
      </c>
      <c r="BR116">
        <v>6.75</v>
      </c>
      <c r="BS116">
        <v>0.91662733</v>
      </c>
      <c r="BT116">
        <v>6.75</v>
      </c>
      <c r="BU116">
        <v>2.34078496</v>
      </c>
      <c r="BV116">
        <v>6.75</v>
      </c>
      <c r="BW116">
        <v>0.84057199</v>
      </c>
      <c r="BX116">
        <v>6.75</v>
      </c>
      <c r="BY116">
        <v>1.5782278</v>
      </c>
      <c r="BZ116">
        <v>6.75</v>
      </c>
      <c r="CA116">
        <v>1.00383255</v>
      </c>
      <c r="CB116">
        <v>6.75</v>
      </c>
      <c r="CC116">
        <v>1.55638073</v>
      </c>
      <c r="CD116">
        <v>6.75</v>
      </c>
      <c r="CE116">
        <v>1.11030329</v>
      </c>
      <c r="CF116">
        <v>6.75</v>
      </c>
      <c r="CG116">
        <v>0.99053556</v>
      </c>
      <c r="CK116">
        <v>6.75</v>
      </c>
      <c r="CL116">
        <v>0.77144103</v>
      </c>
      <c r="CM116">
        <v>0.09867848</v>
      </c>
      <c r="CN116">
        <v>1.5607476</v>
      </c>
      <c r="CO116">
        <v>0.78093348</v>
      </c>
      <c r="CP116">
        <v>0.66916255</v>
      </c>
      <c r="CR116">
        <v>6.75</v>
      </c>
      <c r="CS116">
        <v>0.12882769</v>
      </c>
      <c r="CT116">
        <v>0</v>
      </c>
      <c r="CU116">
        <v>1.76870356</v>
      </c>
      <c r="CV116">
        <v>2.36236361</v>
      </c>
      <c r="CW116">
        <v>1.440779</v>
      </c>
    </row>
    <row r="117" spans="23:101">
      <c r="W117">
        <v>57.385</v>
      </c>
      <c r="X117">
        <v>1.16829339997378</v>
      </c>
      <c r="Y117">
        <v>57.385</v>
      </c>
      <c r="Z117">
        <v>1.20227063059996</v>
      </c>
      <c r="AA117">
        <v>57.385</v>
      </c>
      <c r="AB117">
        <v>1.16794706975432</v>
      </c>
      <c r="AC117">
        <v>57.385</v>
      </c>
      <c r="AD117">
        <v>1.20181503417258</v>
      </c>
      <c r="AE117">
        <v>57.385</v>
      </c>
      <c r="AF117">
        <v>1.152405990711</v>
      </c>
      <c r="BN117">
        <v>6.81</v>
      </c>
      <c r="BO117">
        <v>0.93233964</v>
      </c>
      <c r="BP117">
        <v>6.81</v>
      </c>
      <c r="BQ117">
        <v>1.74663305</v>
      </c>
      <c r="BR117">
        <v>6.81</v>
      </c>
      <c r="BS117">
        <v>0.98241443</v>
      </c>
      <c r="BT117">
        <v>6.81</v>
      </c>
      <c r="BU117">
        <v>1.93796597</v>
      </c>
      <c r="BV117">
        <v>6.81</v>
      </c>
      <c r="BW117">
        <v>0.90840805</v>
      </c>
      <c r="BX117">
        <v>6.81</v>
      </c>
      <c r="BY117">
        <v>1.33667268</v>
      </c>
      <c r="BZ117">
        <v>6.81</v>
      </c>
      <c r="CA117">
        <v>1.06408153</v>
      </c>
      <c r="CB117">
        <v>6.81</v>
      </c>
      <c r="CC117">
        <v>1.31063701</v>
      </c>
      <c r="CD117">
        <v>6.81</v>
      </c>
      <c r="CE117">
        <v>1.0931606</v>
      </c>
      <c r="CF117">
        <v>6.81</v>
      </c>
      <c r="CG117">
        <v>0.73724106</v>
      </c>
      <c r="CK117">
        <v>6.81</v>
      </c>
      <c r="CL117">
        <v>1.32633781</v>
      </c>
      <c r="CM117">
        <v>0.09694733</v>
      </c>
      <c r="CN117">
        <v>1.40003053</v>
      </c>
      <c r="CO117">
        <v>0.66493548</v>
      </c>
      <c r="CP117">
        <v>0.61359495</v>
      </c>
      <c r="CR117">
        <v>6.81</v>
      </c>
      <c r="CS117">
        <v>0.37970284</v>
      </c>
      <c r="CT117">
        <v>0</v>
      </c>
      <c r="CU117">
        <v>2.49512233</v>
      </c>
      <c r="CV117">
        <v>2.52570674</v>
      </c>
      <c r="CW117">
        <v>1.26805462</v>
      </c>
    </row>
    <row r="118" spans="23:101">
      <c r="W118">
        <v>57.884</v>
      </c>
      <c r="X118">
        <v>1.15860646174073</v>
      </c>
      <c r="Y118">
        <v>57.884</v>
      </c>
      <c r="Z118">
        <v>1.20627726385468</v>
      </c>
      <c r="AA118">
        <v>57.884</v>
      </c>
      <c r="AB118">
        <v>1.17207389707366</v>
      </c>
      <c r="AC118">
        <v>57.884</v>
      </c>
      <c r="AD118">
        <v>1.20138602468833</v>
      </c>
      <c r="AE118">
        <v>57.884</v>
      </c>
      <c r="AF118">
        <v>1.14484421938315</v>
      </c>
      <c r="BN118">
        <v>6.87</v>
      </c>
      <c r="BO118">
        <v>0.96734967</v>
      </c>
      <c r="BP118">
        <v>6.87</v>
      </c>
      <c r="BQ118">
        <v>1.5421445</v>
      </c>
      <c r="BR118">
        <v>6.87</v>
      </c>
      <c r="BS118">
        <v>0.91304072</v>
      </c>
      <c r="BT118">
        <v>6.87</v>
      </c>
      <c r="BU118">
        <v>1.95504342</v>
      </c>
      <c r="BV118">
        <v>6.87</v>
      </c>
      <c r="BW118">
        <v>1.02161196</v>
      </c>
      <c r="BX118">
        <v>6.87</v>
      </c>
      <c r="BY118">
        <v>2.04894579</v>
      </c>
      <c r="BZ118">
        <v>6.87</v>
      </c>
      <c r="CA118">
        <v>1.02007438</v>
      </c>
      <c r="CB118">
        <v>6.87</v>
      </c>
      <c r="CC118">
        <v>1.04637317</v>
      </c>
      <c r="CD118">
        <v>6.87</v>
      </c>
      <c r="CE118">
        <v>1.07414959</v>
      </c>
      <c r="CF118">
        <v>6.87</v>
      </c>
      <c r="CG118">
        <v>0.37669829</v>
      </c>
      <c r="CK118">
        <v>6.87</v>
      </c>
      <c r="CL118">
        <v>1.48945332</v>
      </c>
      <c r="CM118">
        <v>0.28578399</v>
      </c>
      <c r="CN118">
        <v>2.16178724</v>
      </c>
      <c r="CO118">
        <v>0.7538904</v>
      </c>
      <c r="CP118">
        <v>0.64599</v>
      </c>
      <c r="CR118">
        <v>6.87</v>
      </c>
      <c r="CS118">
        <v>0</v>
      </c>
      <c r="CT118">
        <v>0</v>
      </c>
      <c r="CU118">
        <v>2.45173</v>
      </c>
      <c r="CV118">
        <v>2.54885772</v>
      </c>
      <c r="CW118">
        <v>1.01418772</v>
      </c>
    </row>
    <row r="119" spans="23:101">
      <c r="W119">
        <v>58.383</v>
      </c>
      <c r="X119">
        <v>1.15920708275668</v>
      </c>
      <c r="Y119">
        <v>58.383</v>
      </c>
      <c r="Z119">
        <v>1.20777410813492</v>
      </c>
      <c r="AA119">
        <v>58.383</v>
      </c>
      <c r="AB119">
        <v>1.16357802438675</v>
      </c>
      <c r="AC119">
        <v>58.383</v>
      </c>
      <c r="AD119">
        <v>1.20675796276944</v>
      </c>
      <c r="AE119">
        <v>58.383</v>
      </c>
      <c r="AF119">
        <v>1.15245153524324</v>
      </c>
      <c r="BN119">
        <v>6.93</v>
      </c>
      <c r="BO119">
        <v>0.98939554</v>
      </c>
      <c r="BP119">
        <v>6.93</v>
      </c>
      <c r="BQ119">
        <v>1.05111174</v>
      </c>
      <c r="BR119">
        <v>6.93</v>
      </c>
      <c r="BS119">
        <v>0.85381758</v>
      </c>
      <c r="BT119">
        <v>6.93</v>
      </c>
      <c r="BU119">
        <v>1.44724057</v>
      </c>
      <c r="BV119">
        <v>6.93</v>
      </c>
      <c r="BW119">
        <v>0.96310234</v>
      </c>
      <c r="BX119">
        <v>6.93</v>
      </c>
      <c r="BY119">
        <v>1.23915078</v>
      </c>
      <c r="BZ119">
        <v>6.93</v>
      </c>
      <c r="CA119">
        <v>0.96907108</v>
      </c>
      <c r="CB119">
        <v>6.93</v>
      </c>
      <c r="CC119">
        <v>0.79102516</v>
      </c>
      <c r="CD119">
        <v>6.93</v>
      </c>
      <c r="CE119">
        <v>1.04886338</v>
      </c>
      <c r="CF119">
        <v>6.93</v>
      </c>
      <c r="CG119">
        <v>0.42715807</v>
      </c>
      <c r="CK119">
        <v>6.93</v>
      </c>
      <c r="CL119">
        <v>1.46377373</v>
      </c>
      <c r="CM119">
        <v>0.09361893</v>
      </c>
      <c r="CN119">
        <v>2.0601367</v>
      </c>
      <c r="CO119">
        <v>0.64210693</v>
      </c>
      <c r="CP119">
        <v>0.84647003</v>
      </c>
      <c r="CR119">
        <v>6.93</v>
      </c>
      <c r="CS119">
        <v>0.24444459</v>
      </c>
      <c r="CT119">
        <v>0</v>
      </c>
      <c r="CU119">
        <v>2.28038165</v>
      </c>
      <c r="CV119">
        <v>2.40603486</v>
      </c>
      <c r="CW119">
        <v>0.99670216</v>
      </c>
    </row>
    <row r="120" spans="23:101">
      <c r="W120">
        <v>58.882</v>
      </c>
      <c r="X120">
        <v>1.16824029042465</v>
      </c>
      <c r="Y120">
        <v>58.882</v>
      </c>
      <c r="Z120">
        <v>1.1935422540683</v>
      </c>
      <c r="AA120">
        <v>58.882</v>
      </c>
      <c r="AB120">
        <v>1.16032646387564</v>
      </c>
      <c r="AC120">
        <v>58.882</v>
      </c>
      <c r="AD120">
        <v>1.20247082427518</v>
      </c>
      <c r="AE120">
        <v>58.882</v>
      </c>
      <c r="AF120">
        <v>1.14926575125588</v>
      </c>
    </row>
    <row r="121" spans="23:101">
      <c r="W121">
        <v>59.381</v>
      </c>
      <c r="X121">
        <v>1.17055387519126</v>
      </c>
      <c r="Y121">
        <v>59.381</v>
      </c>
      <c r="Z121">
        <v>1.19663294926024</v>
      </c>
      <c r="AA121">
        <v>59.381</v>
      </c>
      <c r="AB121">
        <v>1.16469307507432</v>
      </c>
      <c r="AC121">
        <v>59.381</v>
      </c>
      <c r="AD121">
        <v>1.20540464700113</v>
      </c>
      <c r="AE121">
        <v>59.381</v>
      </c>
      <c r="AF121">
        <v>1.14761337385359</v>
      </c>
    </row>
    <row r="122" spans="23:101">
      <c r="W122">
        <v>59.88</v>
      </c>
      <c r="X122">
        <v>1.17544780909651</v>
      </c>
      <c r="Y122">
        <v>59.88</v>
      </c>
      <c r="Z122">
        <v>1.20009985994767</v>
      </c>
      <c r="AA122">
        <v>59.88</v>
      </c>
      <c r="AB122">
        <v>1.17031147119762</v>
      </c>
      <c r="AC122">
        <v>59.88</v>
      </c>
      <c r="AD122">
        <v>1.20539485768741</v>
      </c>
      <c r="AE122">
        <v>59.88</v>
      </c>
      <c r="AF122">
        <v>1.14699374121387</v>
      </c>
    </row>
    <row r="123" spans="23:101">
      <c r="W123">
        <v>60.379</v>
      </c>
      <c r="X123">
        <v>1.17204718347419</v>
      </c>
      <c r="Y123">
        <v>60.379</v>
      </c>
      <c r="Z123">
        <v>1.20236309521929</v>
      </c>
      <c r="AA123">
        <v>60.379</v>
      </c>
      <c r="AB123">
        <v>1.1642579049472</v>
      </c>
      <c r="AC123">
        <v>60.379</v>
      </c>
      <c r="AD123">
        <v>1.19895424440392</v>
      </c>
      <c r="AE123">
        <v>60.379</v>
      </c>
      <c r="AF123">
        <v>1.14929728352989</v>
      </c>
    </row>
    <row r="124" spans="23:101">
      <c r="W124">
        <v>60.878</v>
      </c>
      <c r="X124">
        <v>1.16806072375807</v>
      </c>
      <c r="Y124">
        <v>60.878</v>
      </c>
      <c r="Z124">
        <v>1.19588663709065</v>
      </c>
      <c r="AA124">
        <v>60.878</v>
      </c>
      <c r="AB124">
        <v>1.16025022915535</v>
      </c>
      <c r="AC124">
        <v>60.878</v>
      </c>
      <c r="AD124">
        <v>1.20716989939063</v>
      </c>
      <c r="AE124">
        <v>60.878</v>
      </c>
      <c r="AF124">
        <v>1.14541657134173</v>
      </c>
    </row>
    <row r="125" spans="23:101">
      <c r="W125">
        <v>61.377</v>
      </c>
      <c r="X125">
        <v>1.16970915560653</v>
      </c>
      <c r="Y125">
        <v>61.377</v>
      </c>
      <c r="Z125">
        <v>1.19757001249629</v>
      </c>
      <c r="AA125">
        <v>61.377</v>
      </c>
      <c r="AB125">
        <v>1.17425255888711</v>
      </c>
      <c r="AC125">
        <v>61.377</v>
      </c>
      <c r="AD125">
        <v>1.20407442374789</v>
      </c>
      <c r="AE125">
        <v>61.377</v>
      </c>
      <c r="AF125">
        <v>1.15978601115192</v>
      </c>
    </row>
    <row r="126" spans="23:101">
      <c r="W126">
        <v>61.876</v>
      </c>
      <c r="X126">
        <v>1.16693530232727</v>
      </c>
      <c r="Y126">
        <v>61.876</v>
      </c>
      <c r="Z126">
        <v>1.20300491554329</v>
      </c>
      <c r="AA126">
        <v>61.876</v>
      </c>
      <c r="AB126">
        <v>1.1785908547552</v>
      </c>
      <c r="AC126">
        <v>61.876</v>
      </c>
      <c r="AD126">
        <v>1.20507240831047</v>
      </c>
      <c r="AE126">
        <v>61.876</v>
      </c>
      <c r="AF126">
        <v>1.14894627549889</v>
      </c>
    </row>
    <row r="127" spans="23:101">
      <c r="W127">
        <v>62.375</v>
      </c>
      <c r="X127">
        <v>1.16866309792472</v>
      </c>
      <c r="Y127">
        <v>62.375</v>
      </c>
      <c r="Z127">
        <v>1.20694008143354</v>
      </c>
      <c r="AA127">
        <v>62.375</v>
      </c>
      <c r="AB127">
        <v>1.17458555161423</v>
      </c>
      <c r="AC127">
        <v>62.375</v>
      </c>
      <c r="AD127">
        <v>1.1986051223133</v>
      </c>
      <c r="AE127">
        <v>62.375</v>
      </c>
      <c r="AF127">
        <v>1.14843950651114</v>
      </c>
    </row>
    <row r="128" spans="23:101">
      <c r="W128">
        <v>62.874</v>
      </c>
      <c r="X128">
        <v>1.1732444492405</v>
      </c>
      <c r="Y128">
        <v>62.874</v>
      </c>
      <c r="Z128">
        <v>1.2101728391309</v>
      </c>
      <c r="AA128">
        <v>62.874</v>
      </c>
      <c r="AB128">
        <v>1.1727587069957</v>
      </c>
      <c r="AC128">
        <v>62.874</v>
      </c>
      <c r="AD128">
        <v>1.21330272421543</v>
      </c>
      <c r="AE128">
        <v>62.874</v>
      </c>
      <c r="AF128">
        <v>1.15357668898857</v>
      </c>
    </row>
    <row r="129" spans="23:32">
      <c r="W129">
        <v>63.373</v>
      </c>
      <c r="X129">
        <v>1.17060064578903</v>
      </c>
      <c r="Y129">
        <v>63.373</v>
      </c>
      <c r="Z129">
        <v>1.2034516274063</v>
      </c>
      <c r="AA129">
        <v>63.373</v>
      </c>
      <c r="AB129">
        <v>1.17878541134957</v>
      </c>
      <c r="AC129">
        <v>63.373</v>
      </c>
      <c r="AD129">
        <v>1.21363822117747</v>
      </c>
      <c r="AE129">
        <v>63.373</v>
      </c>
      <c r="AF129">
        <v>1.1504080370987</v>
      </c>
    </row>
    <row r="130" spans="23:32">
      <c r="W130">
        <v>63.872</v>
      </c>
      <c r="X130">
        <v>1.17085527868209</v>
      </c>
      <c r="Y130">
        <v>63.872</v>
      </c>
      <c r="Z130">
        <v>1.20373640790459</v>
      </c>
      <c r="AA130">
        <v>63.872</v>
      </c>
      <c r="AB130">
        <v>1.16712472787069</v>
      </c>
      <c r="AC130">
        <v>63.872</v>
      </c>
      <c r="AD130">
        <v>1.20555638385675</v>
      </c>
      <c r="AE130">
        <v>63.872</v>
      </c>
      <c r="AF130">
        <v>1.1515512393263</v>
      </c>
    </row>
    <row r="131" spans="23:32">
      <c r="W131">
        <v>64.371</v>
      </c>
      <c r="X131">
        <v>1.17203920699571</v>
      </c>
      <c r="Y131">
        <v>64.371</v>
      </c>
      <c r="Z131">
        <v>1.20676866186349</v>
      </c>
      <c r="AA131">
        <v>64.371</v>
      </c>
      <c r="AB131">
        <v>1.17282750409156</v>
      </c>
      <c r="AC131">
        <v>64.371</v>
      </c>
      <c r="AD131">
        <v>1.20834634634168</v>
      </c>
      <c r="AE131">
        <v>64.371</v>
      </c>
      <c r="AF131">
        <v>1.14929555567395</v>
      </c>
    </row>
    <row r="132" spans="23:32">
      <c r="W132">
        <v>64.87</v>
      </c>
      <c r="X132">
        <v>1.16905645695742</v>
      </c>
      <c r="Y132">
        <v>64.87</v>
      </c>
      <c r="Z132">
        <v>1.21314768374125</v>
      </c>
      <c r="AA132">
        <v>64.87</v>
      </c>
      <c r="AB132">
        <v>1.16679620273716</v>
      </c>
      <c r="AC132">
        <v>64.87</v>
      </c>
      <c r="AD132">
        <v>1.20120392795458</v>
      </c>
      <c r="AE132">
        <v>64.87</v>
      </c>
      <c r="AF132">
        <v>1.1457762560931</v>
      </c>
    </row>
    <row r="133" spans="23:32">
      <c r="W133">
        <v>65.369</v>
      </c>
      <c r="X133">
        <v>1.1788698230501</v>
      </c>
      <c r="Y133">
        <v>65.369</v>
      </c>
      <c r="Z133">
        <v>1.20078598841146</v>
      </c>
      <c r="AA133">
        <v>65.369</v>
      </c>
      <c r="AB133">
        <v>1.18064275116615</v>
      </c>
      <c r="AC133">
        <v>65.369</v>
      </c>
      <c r="AD133">
        <v>1.18587097591742</v>
      </c>
      <c r="AE133">
        <v>65.369</v>
      </c>
      <c r="AF133">
        <v>1.15770216970393</v>
      </c>
    </row>
    <row r="134" spans="23:32">
      <c r="W134">
        <v>65.868</v>
      </c>
      <c r="X134">
        <v>1.17365639118212</v>
      </c>
      <c r="Y134">
        <v>65.868</v>
      </c>
      <c r="Z134">
        <v>1.20634723532196</v>
      </c>
      <c r="AA134">
        <v>65.868</v>
      </c>
      <c r="AB134">
        <v>1.18135313911403</v>
      </c>
      <c r="AC134">
        <v>65.868</v>
      </c>
      <c r="AD134">
        <v>1.19952815974244</v>
      </c>
      <c r="AE134">
        <v>65.868</v>
      </c>
      <c r="AF134">
        <v>1.15670707270385</v>
      </c>
    </row>
    <row r="135" spans="23:32">
      <c r="W135">
        <v>66.367</v>
      </c>
      <c r="X135">
        <v>1.16878737996514</v>
      </c>
      <c r="Y135">
        <v>66.367</v>
      </c>
      <c r="Z135">
        <v>1.21274033077326</v>
      </c>
      <c r="AA135">
        <v>66.367</v>
      </c>
      <c r="AB135">
        <v>1.18403462234736</v>
      </c>
      <c r="AC135">
        <v>66.367</v>
      </c>
      <c r="AD135">
        <v>1.18920587611274</v>
      </c>
      <c r="AE135">
        <v>66.367</v>
      </c>
      <c r="AF135">
        <v>1.16355056149313</v>
      </c>
    </row>
    <row r="136" spans="23:32">
      <c r="W136">
        <v>66.866</v>
      </c>
      <c r="X136">
        <v>1.17034712787527</v>
      </c>
      <c r="Y136">
        <v>66.866</v>
      </c>
      <c r="Z136">
        <v>1.20995651040246</v>
      </c>
      <c r="AA136">
        <v>66.866</v>
      </c>
      <c r="AB136">
        <v>1.18553020696236</v>
      </c>
      <c r="AC136">
        <v>66.866</v>
      </c>
      <c r="AD136">
        <v>1.19153519311585</v>
      </c>
      <c r="AE136">
        <v>66.866</v>
      </c>
      <c r="AF136">
        <v>1.15585541420825</v>
      </c>
    </row>
    <row r="137" spans="23:32">
      <c r="W137">
        <v>67.365</v>
      </c>
      <c r="X137">
        <v>1.17083879140639</v>
      </c>
      <c r="Y137">
        <v>67.365</v>
      </c>
      <c r="Z137">
        <v>1.21356331462157</v>
      </c>
      <c r="AA137">
        <v>67.365</v>
      </c>
      <c r="AB137">
        <v>1.1888513310808</v>
      </c>
      <c r="AC137">
        <v>67.365</v>
      </c>
      <c r="AD137">
        <v>1.19480970484359</v>
      </c>
      <c r="AE137">
        <v>67.365</v>
      </c>
      <c r="AF137">
        <v>1.15577434039754</v>
      </c>
    </row>
    <row r="138" spans="23:32">
      <c r="W138">
        <v>67.864</v>
      </c>
      <c r="X138">
        <v>1.17272407426907</v>
      </c>
      <c r="Y138">
        <v>67.864</v>
      </c>
      <c r="Z138">
        <v>1.2152874811378</v>
      </c>
      <c r="AA138">
        <v>67.864</v>
      </c>
      <c r="AB138">
        <v>1.1816328269689</v>
      </c>
      <c r="AC138">
        <v>67.864</v>
      </c>
      <c r="AD138">
        <v>1.20450872141548</v>
      </c>
      <c r="AE138">
        <v>67.864</v>
      </c>
      <c r="AF138">
        <v>1.15870522999101</v>
      </c>
    </row>
    <row r="139" spans="23:32">
      <c r="W139">
        <v>68.363</v>
      </c>
      <c r="X139">
        <v>1.17325450551899</v>
      </c>
      <c r="Y139">
        <v>68.363</v>
      </c>
      <c r="Z139">
        <v>1.21093129673627</v>
      </c>
      <c r="AA139">
        <v>68.363</v>
      </c>
      <c r="AB139">
        <v>1.18821995457551</v>
      </c>
      <c r="AC139">
        <v>68.363</v>
      </c>
      <c r="AD139">
        <v>1.20117124870029</v>
      </c>
      <c r="AE139">
        <v>68.363</v>
      </c>
      <c r="AF139">
        <v>1.15182259600041</v>
      </c>
    </row>
    <row r="140" spans="23:32">
      <c r="W140">
        <v>68.862</v>
      </c>
      <c r="X140">
        <v>1.17611143123376</v>
      </c>
      <c r="Y140">
        <v>68.862</v>
      </c>
      <c r="Z140">
        <v>1.21420814580184</v>
      </c>
      <c r="AA140">
        <v>68.862</v>
      </c>
      <c r="AB140">
        <v>1.18632851922072</v>
      </c>
      <c r="AC140">
        <v>68.862</v>
      </c>
      <c r="AD140">
        <v>1.19942821440669</v>
      </c>
      <c r="AE140">
        <v>68.862</v>
      </c>
      <c r="AF140">
        <v>1.14823976466399</v>
      </c>
    </row>
    <row r="141" spans="23:32">
      <c r="W141">
        <v>69.361</v>
      </c>
      <c r="X141">
        <v>1.17492032687094</v>
      </c>
      <c r="Y141">
        <v>69.361</v>
      </c>
      <c r="Z141">
        <v>1.21365143555467</v>
      </c>
      <c r="AA141">
        <v>69.361</v>
      </c>
      <c r="AB141">
        <v>1.1887624057507</v>
      </c>
      <c r="AC141">
        <v>69.361</v>
      </c>
      <c r="AD141">
        <v>1.20046661924763</v>
      </c>
      <c r="AE141">
        <v>69.361</v>
      </c>
      <c r="AF141">
        <v>1.15632461576635</v>
      </c>
    </row>
    <row r="142" spans="23:32">
      <c r="W142">
        <v>69.86</v>
      </c>
      <c r="X142">
        <v>1.17151373369448</v>
      </c>
      <c r="Y142">
        <v>69.86</v>
      </c>
      <c r="Z142">
        <v>1.21081159467565</v>
      </c>
      <c r="AA142">
        <v>69.86</v>
      </c>
      <c r="AB142">
        <v>1.18568857770937</v>
      </c>
      <c r="AC142">
        <v>69.86</v>
      </c>
      <c r="AD142">
        <v>1.20050855755545</v>
      </c>
      <c r="AE142">
        <v>69.86</v>
      </c>
      <c r="AF142">
        <v>1.14830220933593</v>
      </c>
    </row>
    <row r="143" spans="23:32">
      <c r="W143">
        <v>70.359</v>
      </c>
      <c r="X143">
        <v>1.17732313195828</v>
      </c>
      <c r="Y143">
        <v>70.359</v>
      </c>
      <c r="Z143">
        <v>1.21098304404929</v>
      </c>
      <c r="AA143">
        <v>70.359</v>
      </c>
      <c r="AB143">
        <v>1.17994690180495</v>
      </c>
      <c r="AC143">
        <v>70.359</v>
      </c>
      <c r="AD143">
        <v>1.19994986831409</v>
      </c>
      <c r="AE143">
        <v>70.359</v>
      </c>
      <c r="AF143">
        <v>1.15272862880079</v>
      </c>
    </row>
    <row r="144" spans="23:32">
      <c r="W144">
        <v>70.858</v>
      </c>
      <c r="X144">
        <v>1.16870920254624</v>
      </c>
      <c r="Y144">
        <v>70.858</v>
      </c>
      <c r="Z144">
        <v>1.21652798045594</v>
      </c>
      <c r="AA144">
        <v>70.858</v>
      </c>
      <c r="AB144">
        <v>1.1785299227209</v>
      </c>
      <c r="AC144">
        <v>70.858</v>
      </c>
      <c r="AD144">
        <v>1.20865160386825</v>
      </c>
      <c r="AE144">
        <v>70.858</v>
      </c>
      <c r="AF144">
        <v>1.16468543489268</v>
      </c>
    </row>
    <row r="145" spans="23:32">
      <c r="W145">
        <v>71.357</v>
      </c>
      <c r="X145">
        <v>1.1717038252247</v>
      </c>
      <c r="Y145">
        <v>71.357</v>
      </c>
      <c r="Z145">
        <v>1.20882726088458</v>
      </c>
      <c r="AA145">
        <v>71.357</v>
      </c>
      <c r="AB145">
        <v>1.17870138514025</v>
      </c>
      <c r="AC145">
        <v>71.357</v>
      </c>
      <c r="AD145">
        <v>1.20754476597688</v>
      </c>
      <c r="AE145">
        <v>71.357</v>
      </c>
      <c r="AF145">
        <v>1.1569269956842</v>
      </c>
    </row>
    <row r="146" spans="23:32">
      <c r="W146">
        <v>71.856</v>
      </c>
      <c r="X146">
        <v>1.17558429479773</v>
      </c>
      <c r="Y146">
        <v>71.856</v>
      </c>
      <c r="Z146">
        <v>1.2075433341374</v>
      </c>
      <c r="AA146">
        <v>71.856</v>
      </c>
      <c r="AB146">
        <v>1.17577023046506</v>
      </c>
      <c r="AC146">
        <v>71.856</v>
      </c>
      <c r="AD146">
        <v>1.20319418214851</v>
      </c>
      <c r="AE146">
        <v>71.856</v>
      </c>
      <c r="AF146">
        <v>1.14705011632802</v>
      </c>
    </row>
    <row r="147" spans="23:32">
      <c r="W147">
        <v>72.355</v>
      </c>
      <c r="X147">
        <v>1.17447326825947</v>
      </c>
      <c r="Y147">
        <v>72.355</v>
      </c>
      <c r="Z147">
        <v>1.21054110806007</v>
      </c>
      <c r="AA147">
        <v>72.355</v>
      </c>
      <c r="AB147">
        <v>1.18038163192605</v>
      </c>
      <c r="AC147">
        <v>72.355</v>
      </c>
      <c r="AD147">
        <v>1.21313144441256</v>
      </c>
      <c r="AE147">
        <v>72.355</v>
      </c>
      <c r="AF147">
        <v>1.14868257202891</v>
      </c>
    </row>
    <row r="148" spans="23:32">
      <c r="W148">
        <v>72.854</v>
      </c>
      <c r="X148">
        <v>1.18481797645278</v>
      </c>
      <c r="Y148">
        <v>72.854</v>
      </c>
      <c r="Z148">
        <v>1.20651751560153</v>
      </c>
      <c r="AA148">
        <v>72.854</v>
      </c>
      <c r="AB148">
        <v>1.18144329624127</v>
      </c>
      <c r="AC148">
        <v>72.854</v>
      </c>
      <c r="AD148">
        <v>1.2023053556889</v>
      </c>
      <c r="AE148">
        <v>72.854</v>
      </c>
      <c r="AF148">
        <v>1.15390927762753</v>
      </c>
    </row>
    <row r="149" spans="23:32">
      <c r="W149">
        <v>73.353</v>
      </c>
      <c r="X149">
        <v>1.17227245823947</v>
      </c>
      <c r="Y149">
        <v>73.353</v>
      </c>
      <c r="Z149">
        <v>1.2061555033746</v>
      </c>
      <c r="AA149">
        <v>73.353</v>
      </c>
      <c r="AB149">
        <v>1.18108454576134</v>
      </c>
      <c r="AC149">
        <v>73.353</v>
      </c>
      <c r="AD149">
        <v>1.21342753230398</v>
      </c>
      <c r="AE149">
        <v>73.353</v>
      </c>
      <c r="AF149">
        <v>1.1490409956842</v>
      </c>
    </row>
    <row r="150" spans="23:32">
      <c r="W150">
        <v>73.852</v>
      </c>
      <c r="X150">
        <v>1.17464890041327</v>
      </c>
      <c r="Y150">
        <v>73.852</v>
      </c>
      <c r="Z150">
        <v>1.20816008413993</v>
      </c>
      <c r="AA150">
        <v>73.852</v>
      </c>
      <c r="AB150">
        <v>1.18377471430011</v>
      </c>
      <c r="AC150">
        <v>73.852</v>
      </c>
      <c r="AD150">
        <v>1.2156713925188</v>
      </c>
      <c r="AE150">
        <v>73.852</v>
      </c>
      <c r="AF150">
        <v>1.15074238048926</v>
      </c>
    </row>
    <row r="151" spans="23:32">
      <c r="W151">
        <v>74.351</v>
      </c>
      <c r="X151">
        <v>1.17655223780738</v>
      </c>
      <c r="Y151">
        <v>74.351</v>
      </c>
      <c r="Z151">
        <v>1.20925354188176</v>
      </c>
      <c r="AA151">
        <v>74.351</v>
      </c>
      <c r="AB151">
        <v>1.17521642888915</v>
      </c>
      <c r="AC151">
        <v>74.351</v>
      </c>
      <c r="AD151">
        <v>1.20988981329869</v>
      </c>
      <c r="AE151">
        <v>74.351</v>
      </c>
      <c r="AF151">
        <v>1.15673665176351</v>
      </c>
    </row>
    <row r="152" spans="23:32">
      <c r="W152">
        <v>74.85</v>
      </c>
      <c r="X152">
        <v>1.18172409131685</v>
      </c>
      <c r="Y152">
        <v>74.85</v>
      </c>
      <c r="Z152">
        <v>1.21295433920876</v>
      </c>
      <c r="AA152">
        <v>74.85</v>
      </c>
      <c r="AB152">
        <v>1.18359113725611</v>
      </c>
      <c r="AC152">
        <v>74.85</v>
      </c>
      <c r="AD152">
        <v>1.21572365747405</v>
      </c>
      <c r="AE152">
        <v>74.85</v>
      </c>
      <c r="AF152">
        <v>1.15660253624905</v>
      </c>
    </row>
    <row r="153" spans="23:32">
      <c r="W153">
        <v>75.349</v>
      </c>
      <c r="X153">
        <v>1.16613824063555</v>
      </c>
      <c r="Y153">
        <v>75.349</v>
      </c>
      <c r="Z153">
        <v>1.20376774214916</v>
      </c>
      <c r="AA153">
        <v>75.349</v>
      </c>
      <c r="AB153">
        <v>1.18662334469897</v>
      </c>
      <c r="AC153">
        <v>75.349</v>
      </c>
      <c r="AD153">
        <v>1.21307584502343</v>
      </c>
      <c r="AE153">
        <v>75.349</v>
      </c>
      <c r="AF153">
        <v>1.15237105746883</v>
      </c>
    </row>
    <row r="154" spans="23:32">
      <c r="W154">
        <v>75.848</v>
      </c>
      <c r="X154">
        <v>1.16896266547551</v>
      </c>
      <c r="Y154">
        <v>75.848</v>
      </c>
      <c r="Z154">
        <v>1.21163824742741</v>
      </c>
      <c r="AA154">
        <v>75.848</v>
      </c>
      <c r="AB154">
        <v>1.17805239838775</v>
      </c>
      <c r="AC154">
        <v>75.848</v>
      </c>
      <c r="AD154">
        <v>1.21466756019543</v>
      </c>
      <c r="AE154">
        <v>75.848</v>
      </c>
      <c r="AF154">
        <v>1.14648611780618</v>
      </c>
    </row>
    <row r="155" spans="23:32">
      <c r="W155">
        <v>76.347</v>
      </c>
      <c r="X155">
        <v>1.17491464765174</v>
      </c>
      <c r="Y155">
        <v>76.347</v>
      </c>
      <c r="Z155">
        <v>1.20857206819045</v>
      </c>
      <c r="AA155">
        <v>76.347</v>
      </c>
      <c r="AB155">
        <v>1.18424896086733</v>
      </c>
      <c r="AC155">
        <v>76.347</v>
      </c>
      <c r="AD155">
        <v>1.2132532284802</v>
      </c>
      <c r="AE155">
        <v>76.347</v>
      </c>
      <c r="AF155">
        <v>1.15411719863296</v>
      </c>
    </row>
    <row r="156" spans="23:32">
      <c r="W156">
        <v>76.846</v>
      </c>
      <c r="X156">
        <v>1.17180753168909</v>
      </c>
      <c r="Y156">
        <v>76.846</v>
      </c>
      <c r="Z156">
        <v>1.21135318870325</v>
      </c>
      <c r="AA156">
        <v>76.846</v>
      </c>
      <c r="AB156">
        <v>1.19034991480101</v>
      </c>
      <c r="AC156">
        <v>76.846</v>
      </c>
      <c r="AD156">
        <v>1.21819429313928</v>
      </c>
      <c r="AE156">
        <v>76.846</v>
      </c>
      <c r="AF156">
        <v>1.15612151044976</v>
      </c>
    </row>
    <row r="157" spans="23:32">
      <c r="W157">
        <v>77.345</v>
      </c>
      <c r="X157">
        <v>1.17823111178104</v>
      </c>
      <c r="Y157">
        <v>77.345</v>
      </c>
      <c r="Z157">
        <v>1.2067877135354</v>
      </c>
      <c r="AA157">
        <v>77.345</v>
      </c>
      <c r="AB157">
        <v>1.17874919986508</v>
      </c>
      <c r="AC157">
        <v>77.345</v>
      </c>
      <c r="AD157">
        <v>1.21648936735985</v>
      </c>
      <c r="AE157">
        <v>77.345</v>
      </c>
      <c r="AF157">
        <v>1.14322360449648</v>
      </c>
    </row>
    <row r="158" spans="23:32">
      <c r="W158">
        <v>77.844</v>
      </c>
      <c r="X158">
        <v>1.17584795408073</v>
      </c>
      <c r="Y158">
        <v>77.844</v>
      </c>
      <c r="Z158">
        <v>1.21236163654013</v>
      </c>
      <c r="AA158">
        <v>77.844</v>
      </c>
      <c r="AB158">
        <v>1.19046373420993</v>
      </c>
      <c r="AC158">
        <v>77.844</v>
      </c>
      <c r="AD158">
        <v>1.21283744963741</v>
      </c>
      <c r="AE158">
        <v>77.844</v>
      </c>
      <c r="AF158">
        <v>1.15929876371519</v>
      </c>
    </row>
    <row r="159" spans="23:32">
      <c r="W159">
        <v>78.343</v>
      </c>
      <c r="X159">
        <v>1.16870892456622</v>
      </c>
      <c r="Y159">
        <v>78.343</v>
      </c>
      <c r="Z159">
        <v>1.20196438738203</v>
      </c>
      <c r="AA159">
        <v>78.343</v>
      </c>
      <c r="AB159">
        <v>1.18676312035174</v>
      </c>
      <c r="AC159">
        <v>78.343</v>
      </c>
      <c r="AD159">
        <v>1.21705525341503</v>
      </c>
      <c r="AE159">
        <v>78.343</v>
      </c>
      <c r="AF159">
        <v>1.15368130971139</v>
      </c>
    </row>
    <row r="160" spans="23:32">
      <c r="W160">
        <v>78.842</v>
      </c>
      <c r="X160">
        <v>1.17156234646511</v>
      </c>
      <c r="Y160">
        <v>78.842</v>
      </c>
      <c r="Z160">
        <v>1.20499648463966</v>
      </c>
      <c r="AA160">
        <v>78.842</v>
      </c>
      <c r="AB160">
        <v>1.18081958202253</v>
      </c>
      <c r="AC160">
        <v>78.842</v>
      </c>
      <c r="AD160">
        <v>1.20634561551904</v>
      </c>
      <c r="AE160">
        <v>78.842</v>
      </c>
      <c r="AF160">
        <v>1.15665212710904</v>
      </c>
    </row>
    <row r="161" spans="23:32">
      <c r="W161">
        <v>79.341</v>
      </c>
      <c r="X161">
        <v>1.17775053906107</v>
      </c>
      <c r="Y161">
        <v>79.341</v>
      </c>
      <c r="Z161">
        <v>1.20727175807318</v>
      </c>
      <c r="AA161">
        <v>79.341</v>
      </c>
      <c r="AB161">
        <v>1.18454821312763</v>
      </c>
      <c r="AC161">
        <v>79.341</v>
      </c>
      <c r="AD161">
        <v>1.21768809361371</v>
      </c>
      <c r="AE161">
        <v>79.341</v>
      </c>
      <c r="AF161">
        <v>1.16185307016289</v>
      </c>
    </row>
    <row r="162" spans="23:32">
      <c r="W162">
        <v>79.84</v>
      </c>
      <c r="X162">
        <v>1.17250683639393</v>
      </c>
      <c r="Y162">
        <v>79.84</v>
      </c>
      <c r="Z162">
        <v>1.21470975151818</v>
      </c>
      <c r="AA162">
        <v>79.84</v>
      </c>
      <c r="AB162">
        <v>1.18787686274639</v>
      </c>
      <c r="AC162">
        <v>79.84</v>
      </c>
      <c r="AD162">
        <v>1.21268657070668</v>
      </c>
      <c r="AE162">
        <v>79.84</v>
      </c>
      <c r="AF162">
        <v>1.1627891273423</v>
      </c>
    </row>
    <row r="163" spans="23:32">
      <c r="W163">
        <v>80.339</v>
      </c>
      <c r="X163">
        <v>1.17428441783343</v>
      </c>
      <c r="Y163">
        <v>80.339</v>
      </c>
      <c r="Z163">
        <v>1.20327807288296</v>
      </c>
      <c r="AA163">
        <v>80.339</v>
      </c>
      <c r="AB163">
        <v>1.18254931311979</v>
      </c>
      <c r="AC163">
        <v>80.339</v>
      </c>
      <c r="AD163">
        <v>1.21974412651517</v>
      </c>
      <c r="AE163">
        <v>80.339</v>
      </c>
      <c r="AF163">
        <v>1.16599092404488</v>
      </c>
    </row>
    <row r="164" spans="23:32">
      <c r="W164">
        <v>80.838</v>
      </c>
      <c r="X164">
        <v>1.17234343835975</v>
      </c>
      <c r="Y164">
        <v>80.838</v>
      </c>
      <c r="Z164">
        <v>1.20791637962964</v>
      </c>
      <c r="AA164">
        <v>80.838</v>
      </c>
      <c r="AB164">
        <v>1.18704169742381</v>
      </c>
      <c r="AC164">
        <v>80.838</v>
      </c>
      <c r="AD164">
        <v>1.21747214003113</v>
      </c>
      <c r="AE164">
        <v>80.838</v>
      </c>
      <c r="AF164">
        <v>1.15579706750327</v>
      </c>
    </row>
    <row r="165" spans="23:32">
      <c r="W165">
        <v>81.337</v>
      </c>
      <c r="X165">
        <v>1.18199280848975</v>
      </c>
      <c r="Y165">
        <v>81.337</v>
      </c>
      <c r="Z165">
        <v>1.20459084672978</v>
      </c>
      <c r="AA165">
        <v>81.337</v>
      </c>
      <c r="AB165">
        <v>1.18270611098336</v>
      </c>
      <c r="AC165">
        <v>81.337</v>
      </c>
      <c r="AD165">
        <v>1.23104634003586</v>
      </c>
      <c r="AE165">
        <v>81.337</v>
      </c>
      <c r="AF165">
        <v>1.1528278632422</v>
      </c>
    </row>
    <row r="166" spans="23:32">
      <c r="W166">
        <v>81.836</v>
      </c>
      <c r="X166">
        <v>1.18385258165655</v>
      </c>
      <c r="Y166">
        <v>81.836</v>
      </c>
      <c r="Z166">
        <v>1.21164659558391</v>
      </c>
      <c r="AA166">
        <v>81.836</v>
      </c>
      <c r="AB166">
        <v>1.18846142255573</v>
      </c>
      <c r="AC166">
        <v>81.836</v>
      </c>
      <c r="AD166">
        <v>1.22976009814175</v>
      </c>
      <c r="AE166">
        <v>81.836</v>
      </c>
      <c r="AF166">
        <v>1.16054554413961</v>
      </c>
    </row>
    <row r="167" spans="23:32">
      <c r="W167">
        <v>82.335</v>
      </c>
      <c r="X167">
        <v>1.18383104607516</v>
      </c>
      <c r="Y167">
        <v>82.335</v>
      </c>
      <c r="Z167">
        <v>1.20829795311131</v>
      </c>
      <c r="AA167">
        <v>82.335</v>
      </c>
      <c r="AB167">
        <v>1.19617747785334</v>
      </c>
      <c r="AC167">
        <v>82.335</v>
      </c>
      <c r="AD167">
        <v>1.2263698572572</v>
      </c>
      <c r="AE167">
        <v>82.335</v>
      </c>
      <c r="AF167">
        <v>1.16366356526009</v>
      </c>
    </row>
    <row r="168" spans="23:32">
      <c r="W168">
        <v>82.834</v>
      </c>
      <c r="X168">
        <v>1.18119126361307</v>
      </c>
      <c r="Y168">
        <v>82.834</v>
      </c>
      <c r="Z168">
        <v>1.21507024305203</v>
      </c>
      <c r="AA168">
        <v>82.834</v>
      </c>
      <c r="AB168">
        <v>1.19820122913264</v>
      </c>
      <c r="AC168">
        <v>82.834</v>
      </c>
      <c r="AD168">
        <v>1.21531139933479</v>
      </c>
      <c r="AE168">
        <v>82.834</v>
      </c>
      <c r="AF168">
        <v>1.16969276734027</v>
      </c>
    </row>
    <row r="169" spans="23:32">
      <c r="W169">
        <v>83.333</v>
      </c>
      <c r="X169">
        <v>1.18765302477548</v>
      </c>
      <c r="Y169">
        <v>83.333</v>
      </c>
      <c r="Z169">
        <v>1.21334403483403</v>
      </c>
      <c r="AA169">
        <v>83.333</v>
      </c>
      <c r="AB169">
        <v>1.18647913781122</v>
      </c>
      <c r="AC169">
        <v>83.333</v>
      </c>
      <c r="AD169">
        <v>1.21992986465477</v>
      </c>
      <c r="AE169">
        <v>83.333</v>
      </c>
      <c r="AF169">
        <v>1.1586988988685</v>
      </c>
    </row>
    <row r="170" spans="23:32">
      <c r="W170">
        <v>83.832</v>
      </c>
      <c r="X170">
        <v>1.18443498915599</v>
      </c>
      <c r="Y170">
        <v>83.832</v>
      </c>
      <c r="Z170">
        <v>1.21258838652513</v>
      </c>
      <c r="AA170">
        <v>83.832</v>
      </c>
      <c r="AB170">
        <v>1.1879983689703</v>
      </c>
      <c r="AC170">
        <v>83.832</v>
      </c>
      <c r="AD170">
        <v>1.21696982668883</v>
      </c>
      <c r="AE170">
        <v>83.832</v>
      </c>
      <c r="AF170">
        <v>1.15996366864279</v>
      </c>
    </row>
    <row r="171" spans="23:32">
      <c r="W171">
        <v>84.331</v>
      </c>
      <c r="X171">
        <v>1.17673162001797</v>
      </c>
      <c r="Y171">
        <v>84.331</v>
      </c>
      <c r="Z171">
        <v>1.21015481362273</v>
      </c>
      <c r="AA171">
        <v>84.331</v>
      </c>
      <c r="AB171">
        <v>1.18886426809474</v>
      </c>
      <c r="AC171">
        <v>84.331</v>
      </c>
      <c r="AD171">
        <v>1.20819116970543</v>
      </c>
      <c r="AE171">
        <v>84.331</v>
      </c>
      <c r="AF171">
        <v>1.14796418742106</v>
      </c>
    </row>
    <row r="172" spans="23:32">
      <c r="W172">
        <v>84.83</v>
      </c>
      <c r="X172">
        <v>1.18152117099694</v>
      </c>
      <c r="Y172">
        <v>84.83</v>
      </c>
      <c r="Z172">
        <v>1.20860912336148</v>
      </c>
      <c r="AA172">
        <v>84.83</v>
      </c>
      <c r="AB172">
        <v>1.19448501411545</v>
      </c>
      <c r="AC172">
        <v>84.83</v>
      </c>
      <c r="AD172">
        <v>1.21868884167624</v>
      </c>
      <c r="AE172">
        <v>84.83</v>
      </c>
      <c r="AF172">
        <v>1.1608457943614</v>
      </c>
    </row>
    <row r="173" spans="23:32">
      <c r="W173">
        <v>85.329</v>
      </c>
      <c r="X173">
        <v>1.17909275811079</v>
      </c>
      <c r="Y173">
        <v>85.329</v>
      </c>
      <c r="Z173">
        <v>1.21087743721578</v>
      </c>
      <c r="AA173">
        <v>85.329</v>
      </c>
      <c r="AB173">
        <v>1.19916434966167</v>
      </c>
      <c r="AC173">
        <v>85.329</v>
      </c>
      <c r="AD173">
        <v>1.21259012847822</v>
      </c>
      <c r="AE173">
        <v>85.329</v>
      </c>
      <c r="AF173">
        <v>1.16121408286505</v>
      </c>
    </row>
    <row r="174" spans="23:32">
      <c r="W174">
        <v>85.828</v>
      </c>
      <c r="X174">
        <v>1.18001861550581</v>
      </c>
      <c r="Y174">
        <v>85.828</v>
      </c>
      <c r="Z174">
        <v>1.20308732107441</v>
      </c>
      <c r="AA174">
        <v>85.828</v>
      </c>
      <c r="AB174">
        <v>1.19970864017642</v>
      </c>
      <c r="AC174">
        <v>85.828</v>
      </c>
      <c r="AD174">
        <v>1.21340652142749</v>
      </c>
      <c r="AE174">
        <v>85.828</v>
      </c>
      <c r="AF174">
        <v>1.16191916586609</v>
      </c>
    </row>
    <row r="175" spans="23:32">
      <c r="W175">
        <v>86.327</v>
      </c>
      <c r="X175">
        <v>1.1729706814943</v>
      </c>
      <c r="Y175">
        <v>86.327</v>
      </c>
      <c r="Z175">
        <v>1.20112772269221</v>
      </c>
      <c r="AA175">
        <v>86.327</v>
      </c>
      <c r="AB175">
        <v>1.19276922519987</v>
      </c>
      <c r="AC175">
        <v>86.327</v>
      </c>
      <c r="AD175">
        <v>1.2152102534938</v>
      </c>
      <c r="AE175">
        <v>86.327</v>
      </c>
      <c r="AF175">
        <v>1.15952789795176</v>
      </c>
    </row>
    <row r="176" spans="23:32">
      <c r="W176">
        <v>86.826</v>
      </c>
      <c r="X176">
        <v>1.18544139926108</v>
      </c>
      <c r="Y176">
        <v>86.826</v>
      </c>
      <c r="Z176">
        <v>1.20493483339952</v>
      </c>
      <c r="AA176">
        <v>86.826</v>
      </c>
      <c r="AB176">
        <v>1.19134572922981</v>
      </c>
      <c r="AC176">
        <v>86.826</v>
      </c>
      <c r="AD176">
        <v>1.20651374829973</v>
      </c>
      <c r="AE176">
        <v>86.826</v>
      </c>
      <c r="AF176">
        <v>1.15949285860846</v>
      </c>
    </row>
    <row r="177" spans="23:32">
      <c r="W177">
        <v>87.325</v>
      </c>
      <c r="X177">
        <v>1.18205019701371</v>
      </c>
      <c r="Y177">
        <v>87.325</v>
      </c>
      <c r="Z177">
        <v>1.20726383896065</v>
      </c>
      <c r="AA177">
        <v>87.325</v>
      </c>
      <c r="AB177">
        <v>1.19331141479581</v>
      </c>
      <c r="AC177">
        <v>87.325</v>
      </c>
      <c r="AD177">
        <v>1.21562992088253</v>
      </c>
      <c r="AE177">
        <v>87.325</v>
      </c>
      <c r="AF177">
        <v>1.16695748180494</v>
      </c>
    </row>
    <row r="178" spans="23:32">
      <c r="W178">
        <v>87.824</v>
      </c>
      <c r="X178">
        <v>1.1787366088964</v>
      </c>
      <c r="Y178">
        <v>87.824</v>
      </c>
      <c r="Z178">
        <v>1.21337191521184</v>
      </c>
      <c r="AA178">
        <v>87.824</v>
      </c>
      <c r="AB178">
        <v>1.20631370165052</v>
      </c>
      <c r="AC178">
        <v>87.824</v>
      </c>
      <c r="AD178">
        <v>1.22231792467188</v>
      </c>
      <c r="AE178">
        <v>87.824</v>
      </c>
      <c r="AF178">
        <v>1.15682548443762</v>
      </c>
    </row>
    <row r="179" spans="23:32">
      <c r="W179">
        <v>88.323</v>
      </c>
      <c r="X179">
        <v>1.1799998396469</v>
      </c>
      <c r="Y179">
        <v>88.323</v>
      </c>
      <c r="Z179">
        <v>1.21022790598947</v>
      </c>
      <c r="AA179">
        <v>88.323</v>
      </c>
      <c r="AB179">
        <v>1.19234052085253</v>
      </c>
      <c r="AC179">
        <v>88.323</v>
      </c>
      <c r="AD179">
        <v>1.22269687588913</v>
      </c>
      <c r="AE179">
        <v>88.323</v>
      </c>
      <c r="AF179">
        <v>1.15218090992308</v>
      </c>
    </row>
    <row r="180" spans="23:32">
      <c r="W180">
        <v>88.822</v>
      </c>
      <c r="X180">
        <v>1.1890699726063</v>
      </c>
      <c r="Y180">
        <v>88.822</v>
      </c>
      <c r="Z180">
        <v>1.20337671191955</v>
      </c>
      <c r="AA180">
        <v>88.822</v>
      </c>
      <c r="AB180">
        <v>1.19397557842424</v>
      </c>
      <c r="AC180">
        <v>88.822</v>
      </c>
      <c r="AD180">
        <v>1.22671933430335</v>
      </c>
      <c r="AE180">
        <v>88.822</v>
      </c>
      <c r="AF180">
        <v>1.16157075349504</v>
      </c>
    </row>
    <row r="181" spans="23:32">
      <c r="W181">
        <v>89.321</v>
      </c>
      <c r="X181">
        <v>1.18801225920316</v>
      </c>
      <c r="Y181">
        <v>89.321</v>
      </c>
      <c r="Z181">
        <v>1.21125566156294</v>
      </c>
      <c r="AA181">
        <v>89.321</v>
      </c>
      <c r="AB181">
        <v>1.19388570952194</v>
      </c>
      <c r="AC181">
        <v>89.321</v>
      </c>
      <c r="AD181">
        <v>1.22546286590709</v>
      </c>
      <c r="AE181">
        <v>89.321</v>
      </c>
      <c r="AF181">
        <v>1.16062213839295</v>
      </c>
    </row>
    <row r="182" spans="23:32">
      <c r="W182">
        <v>89.82</v>
      </c>
      <c r="X182">
        <v>1.17964005367556</v>
      </c>
      <c r="Y182">
        <v>89.82</v>
      </c>
      <c r="Z182">
        <v>1.21771080636658</v>
      </c>
      <c r="AA182">
        <v>89.82</v>
      </c>
      <c r="AB182">
        <v>1.18179261904</v>
      </c>
      <c r="AC182">
        <v>89.82</v>
      </c>
      <c r="AD182">
        <v>1.21841572867599</v>
      </c>
      <c r="AE182">
        <v>89.82</v>
      </c>
      <c r="AF182">
        <v>1.16518109138127</v>
      </c>
    </row>
    <row r="183" spans="23:32">
      <c r="W183">
        <v>90.319</v>
      </c>
      <c r="X183">
        <v>1.18350501609764</v>
      </c>
      <c r="Y183">
        <v>90.319</v>
      </c>
      <c r="Z183">
        <v>1.19982175221263</v>
      </c>
      <c r="AA183">
        <v>90.319</v>
      </c>
      <c r="AB183">
        <v>1.19171411470568</v>
      </c>
      <c r="AC183">
        <v>90.319</v>
      </c>
      <c r="AD183">
        <v>1.22092675416281</v>
      </c>
      <c r="AE183">
        <v>90.319</v>
      </c>
      <c r="AF183">
        <v>1.15733365389935</v>
      </c>
    </row>
    <row r="184" spans="23:32">
      <c r="W184">
        <v>90.818</v>
      </c>
      <c r="X184">
        <v>1.18286116249583</v>
      </c>
      <c r="Y184">
        <v>90.818</v>
      </c>
      <c r="Z184">
        <v>1.2150858713064</v>
      </c>
      <c r="AA184">
        <v>90.818</v>
      </c>
      <c r="AB184">
        <v>1.19344970539389</v>
      </c>
      <c r="AC184">
        <v>90.818</v>
      </c>
      <c r="AD184">
        <v>1.21072812670147</v>
      </c>
      <c r="AE184">
        <v>90.818</v>
      </c>
      <c r="AF184">
        <v>1.15686579269832</v>
      </c>
    </row>
    <row r="185" spans="23:32">
      <c r="W185">
        <v>91.317</v>
      </c>
      <c r="X185">
        <v>1.17496666839027</v>
      </c>
      <c r="Y185">
        <v>91.317</v>
      </c>
      <c r="Z185">
        <v>1.21896537340116</v>
      </c>
      <c r="AA185">
        <v>91.317</v>
      </c>
      <c r="AB185">
        <v>1.19912509815957</v>
      </c>
      <c r="AC185">
        <v>91.317</v>
      </c>
      <c r="AD185">
        <v>1.20936841177941</v>
      </c>
      <c r="AE185">
        <v>91.317</v>
      </c>
      <c r="AF185">
        <v>1.17068794965898</v>
      </c>
    </row>
    <row r="186" spans="23:32">
      <c r="W186">
        <v>91.816</v>
      </c>
      <c r="X186">
        <v>1.18284210250727</v>
      </c>
      <c r="Y186">
        <v>91.816</v>
      </c>
      <c r="Z186">
        <v>1.22234212371518</v>
      </c>
      <c r="AA186">
        <v>91.816</v>
      </c>
      <c r="AB186">
        <v>1.18903099277225</v>
      </c>
      <c r="AC186">
        <v>91.816</v>
      </c>
      <c r="AD186">
        <v>1.21961380096294</v>
      </c>
      <c r="AE186">
        <v>91.816</v>
      </c>
      <c r="AF186">
        <v>1.16365976066752</v>
      </c>
    </row>
    <row r="187" spans="23:32">
      <c r="W187">
        <v>92.315</v>
      </c>
      <c r="X187">
        <v>1.17766874075984</v>
      </c>
      <c r="Y187">
        <v>92.315</v>
      </c>
      <c r="Z187">
        <v>1.20822108263716</v>
      </c>
      <c r="AA187">
        <v>92.315</v>
      </c>
      <c r="AB187">
        <v>1.20023421371997</v>
      </c>
      <c r="AC187">
        <v>92.315</v>
      </c>
      <c r="AD187">
        <v>1.22419092628784</v>
      </c>
      <c r="AE187">
        <v>92.315</v>
      </c>
      <c r="AF187">
        <v>1.15893110347762</v>
      </c>
    </row>
    <row r="188" spans="23:32">
      <c r="W188">
        <v>92.814</v>
      </c>
      <c r="X188">
        <v>1.17419422293462</v>
      </c>
      <c r="Y188">
        <v>92.814</v>
      </c>
      <c r="Z188">
        <v>1.22172534509223</v>
      </c>
      <c r="AA188">
        <v>92.814</v>
      </c>
      <c r="AB188">
        <v>1.19389023997218</v>
      </c>
      <c r="AC188">
        <v>92.814</v>
      </c>
      <c r="AD188">
        <v>1.22153056232366</v>
      </c>
      <c r="AE188">
        <v>92.814</v>
      </c>
      <c r="AF188">
        <v>1.16255136730611</v>
      </c>
    </row>
    <row r="189" spans="23:32">
      <c r="W189">
        <v>93.313</v>
      </c>
      <c r="X189">
        <v>1.18286336823433</v>
      </c>
      <c r="Y189">
        <v>93.313</v>
      </c>
      <c r="Z189">
        <v>1.21656470540005</v>
      </c>
      <c r="AA189">
        <v>93.313</v>
      </c>
      <c r="AB189">
        <v>1.18865937027723</v>
      </c>
      <c r="AC189">
        <v>93.313</v>
      </c>
      <c r="AD189">
        <v>1.22301908682337</v>
      </c>
      <c r="AE189">
        <v>93.313</v>
      </c>
      <c r="AF189">
        <v>1.16019874335749</v>
      </c>
    </row>
    <row r="190" spans="23:32">
      <c r="W190">
        <v>93.812</v>
      </c>
      <c r="X190">
        <v>1.1775189645438</v>
      </c>
      <c r="Y190">
        <v>93.812</v>
      </c>
      <c r="Z190">
        <v>1.21995462023707</v>
      </c>
      <c r="AA190">
        <v>93.812</v>
      </c>
      <c r="AB190">
        <v>1.21102246707186</v>
      </c>
      <c r="AC190">
        <v>93.812</v>
      </c>
      <c r="AD190">
        <v>1.22644806373605</v>
      </c>
      <c r="AE190">
        <v>93.812</v>
      </c>
      <c r="AF190">
        <v>1.1555474112487</v>
      </c>
    </row>
    <row r="191" spans="23:32">
      <c r="W191">
        <v>94.311</v>
      </c>
      <c r="X191">
        <v>1.18139639647533</v>
      </c>
      <c r="Y191">
        <v>94.311</v>
      </c>
      <c r="Z191">
        <v>1.21384381426639</v>
      </c>
      <c r="AA191">
        <v>94.311</v>
      </c>
      <c r="AB191">
        <v>1.22253976352543</v>
      </c>
      <c r="AC191">
        <v>94.311</v>
      </c>
      <c r="AD191">
        <v>1.21732681513282</v>
      </c>
      <c r="AE191">
        <v>94.311</v>
      </c>
      <c r="AF191">
        <v>1.16104391414164</v>
      </c>
    </row>
    <row r="192" spans="23:32">
      <c r="W192">
        <v>94.81</v>
      </c>
      <c r="X192">
        <v>1.18482705446659</v>
      </c>
      <c r="Y192">
        <v>94.81</v>
      </c>
      <c r="Z192">
        <v>1.21547991690292</v>
      </c>
      <c r="AA192">
        <v>94.81</v>
      </c>
      <c r="AB192">
        <v>1.20392942719352</v>
      </c>
      <c r="AC192">
        <v>94.81</v>
      </c>
      <c r="AD192">
        <v>1.22060242438831</v>
      </c>
      <c r="AE192">
        <v>94.81</v>
      </c>
      <c r="AF192">
        <v>1.15384124832065</v>
      </c>
    </row>
    <row r="193" spans="23:32">
      <c r="W193">
        <v>95.309</v>
      </c>
      <c r="X193">
        <v>1.19115139145987</v>
      </c>
      <c r="Y193">
        <v>95.309</v>
      </c>
      <c r="Z193">
        <v>1.21883551675069</v>
      </c>
      <c r="AA193">
        <v>95.309</v>
      </c>
      <c r="AB193">
        <v>1.19910163460792</v>
      </c>
      <c r="AC193">
        <v>95.309</v>
      </c>
      <c r="AD193">
        <v>1.21487231690239</v>
      </c>
      <c r="AE193">
        <v>95.309</v>
      </c>
      <c r="AF193">
        <v>1.15689450640956</v>
      </c>
    </row>
    <row r="194" spans="23:32">
      <c r="W194">
        <v>95.808</v>
      </c>
      <c r="X194">
        <v>1.18196240929027</v>
      </c>
      <c r="Y194">
        <v>95.808</v>
      </c>
      <c r="Z194">
        <v>1.22768833125942</v>
      </c>
      <c r="AA194">
        <v>95.808</v>
      </c>
      <c r="AB194">
        <v>1.20219827734512</v>
      </c>
      <c r="AC194">
        <v>95.808</v>
      </c>
      <c r="AD194">
        <v>1.20950169909615</v>
      </c>
      <c r="AE194">
        <v>95.808</v>
      </c>
      <c r="AF194">
        <v>1.1592207579211</v>
      </c>
    </row>
    <row r="195" spans="23:32">
      <c r="W195">
        <v>96.307</v>
      </c>
      <c r="X195">
        <v>1.18906304449841</v>
      </c>
      <c r="Y195">
        <v>96.307</v>
      </c>
      <c r="Z195">
        <v>1.22301585692531</v>
      </c>
      <c r="AA195">
        <v>96.307</v>
      </c>
      <c r="AB195">
        <v>1.19403941282038</v>
      </c>
      <c r="AC195">
        <v>96.307</v>
      </c>
      <c r="AD195">
        <v>1.21250665622178</v>
      </c>
      <c r="AE195">
        <v>96.307</v>
      </c>
      <c r="AF195">
        <v>1.16417839724235</v>
      </c>
    </row>
    <row r="196" spans="23:32">
      <c r="W196">
        <v>96.806</v>
      </c>
      <c r="X196">
        <v>1.1894661200687</v>
      </c>
      <c r="Y196">
        <v>96.806</v>
      </c>
      <c r="Z196">
        <v>1.21974313515897</v>
      </c>
      <c r="AA196">
        <v>96.806</v>
      </c>
      <c r="AB196">
        <v>1.19535193815549</v>
      </c>
      <c r="AC196">
        <v>96.806</v>
      </c>
      <c r="AD196">
        <v>1.21907851568775</v>
      </c>
      <c r="AE196">
        <v>96.806</v>
      </c>
      <c r="AF196">
        <v>1.15867991799572</v>
      </c>
    </row>
    <row r="197" spans="23:32">
      <c r="W197">
        <v>97.305</v>
      </c>
      <c r="X197">
        <v>1.18240145741297</v>
      </c>
      <c r="Y197">
        <v>97.305</v>
      </c>
      <c r="Z197">
        <v>1.21789071844659</v>
      </c>
      <c r="AA197">
        <v>97.305</v>
      </c>
      <c r="AB197">
        <v>1.19553448701522</v>
      </c>
      <c r="AC197">
        <v>97.305</v>
      </c>
      <c r="AD197">
        <v>1.22607589580584</v>
      </c>
      <c r="AE197">
        <v>97.305</v>
      </c>
      <c r="AF197">
        <v>1.15953377186216</v>
      </c>
    </row>
    <row r="198" spans="23:32">
      <c r="W198">
        <v>97.804</v>
      </c>
      <c r="X198">
        <v>1.17245585976032</v>
      </c>
      <c r="Y198">
        <v>97.804</v>
      </c>
      <c r="Z198">
        <v>1.22279486578352</v>
      </c>
      <c r="AA198">
        <v>97.804</v>
      </c>
      <c r="AB198">
        <v>1.19572992484901</v>
      </c>
      <c r="AC198">
        <v>97.804</v>
      </c>
      <c r="AD198">
        <v>1.22155926235908</v>
      </c>
      <c r="AE198">
        <v>97.804</v>
      </c>
      <c r="AF198">
        <v>1.16378061466586</v>
      </c>
    </row>
    <row r="199" spans="23:32">
      <c r="W199">
        <v>98.303</v>
      </c>
      <c r="X199">
        <v>1.17537775467747</v>
      </c>
      <c r="Y199">
        <v>98.303</v>
      </c>
      <c r="Z199">
        <v>1.22100421671578</v>
      </c>
      <c r="AA199">
        <v>98.303</v>
      </c>
      <c r="AB199">
        <v>1.19529575388503</v>
      </c>
      <c r="AC199">
        <v>98.303</v>
      </c>
      <c r="AD199">
        <v>1.22641509932015</v>
      </c>
      <c r="AE199">
        <v>98.303</v>
      </c>
      <c r="AF199">
        <v>1.17043762002797</v>
      </c>
    </row>
    <row r="200" spans="23:32">
      <c r="W200">
        <v>98.802</v>
      </c>
      <c r="X200">
        <v>1.1842170509314</v>
      </c>
      <c r="Y200">
        <v>98.802</v>
      </c>
      <c r="Z200">
        <v>1.22286234278679</v>
      </c>
      <c r="AA200">
        <v>98.802</v>
      </c>
      <c r="AB200">
        <v>1.20633226289291</v>
      </c>
      <c r="AC200">
        <v>98.802</v>
      </c>
      <c r="AD200">
        <v>1.21731371976743</v>
      </c>
      <c r="AE200">
        <v>98.802</v>
      </c>
      <c r="AF200">
        <v>1.16599158505145</v>
      </c>
    </row>
    <row r="201" spans="23:32">
      <c r="W201">
        <v>99.301</v>
      </c>
      <c r="X201">
        <v>1.17961465153873</v>
      </c>
      <c r="Y201">
        <v>99.301</v>
      </c>
      <c r="Z201">
        <v>1.22576671709403</v>
      </c>
      <c r="AA201">
        <v>99.301</v>
      </c>
      <c r="AB201">
        <v>1.2159905866892</v>
      </c>
      <c r="AC201">
        <v>99.301</v>
      </c>
      <c r="AD201">
        <v>1.21295450961283</v>
      </c>
      <c r="AE201">
        <v>99.301</v>
      </c>
      <c r="AF201">
        <v>1.17065338805498</v>
      </c>
    </row>
    <row r="202" spans="23:32">
      <c r="W202">
        <v>99.8</v>
      </c>
      <c r="X202">
        <v>1.17979100418488</v>
      </c>
      <c r="Y202">
        <v>99.8</v>
      </c>
      <c r="Z202">
        <v>1.2236968324582</v>
      </c>
      <c r="AA202">
        <v>99.8</v>
      </c>
      <c r="AB202">
        <v>1.2100501076192</v>
      </c>
      <c r="AC202">
        <v>99.8</v>
      </c>
      <c r="AD202">
        <v>1.21154132316288</v>
      </c>
      <c r="AE202">
        <v>99.8</v>
      </c>
      <c r="AF202">
        <v>1.1649203515675</v>
      </c>
    </row>
    <row r="203" spans="23:32">
      <c r="W203">
        <v>100.299</v>
      </c>
      <c r="X203">
        <v>1.18126089207517</v>
      </c>
      <c r="Y203">
        <v>100.299</v>
      </c>
      <c r="Z203">
        <v>1.22141953497531</v>
      </c>
      <c r="AA203">
        <v>100.299</v>
      </c>
      <c r="AB203">
        <v>1.21403644828045</v>
      </c>
      <c r="AC203">
        <v>100.299</v>
      </c>
      <c r="AD203">
        <v>1.2246948594027</v>
      </c>
      <c r="AE203">
        <v>100.299</v>
      </c>
      <c r="AF203">
        <v>1.16271797396292</v>
      </c>
    </row>
    <row r="204" spans="23:32">
      <c r="W204">
        <v>100.798</v>
      </c>
      <c r="X204">
        <v>1.17651796646034</v>
      </c>
      <c r="Y204">
        <v>100.798</v>
      </c>
      <c r="Z204">
        <v>1.21670766491837</v>
      </c>
      <c r="AA204">
        <v>100.798</v>
      </c>
      <c r="AB204">
        <v>1.19954860062428</v>
      </c>
      <c r="AC204">
        <v>100.798</v>
      </c>
      <c r="AD204">
        <v>1.22194315456313</v>
      </c>
      <c r="AE204">
        <v>100.798</v>
      </c>
      <c r="AF204">
        <v>1.17207685116616</v>
      </c>
    </row>
    <row r="205" spans="23:32">
      <c r="W205">
        <v>101.297</v>
      </c>
      <c r="X205">
        <v>1.18096562638824</v>
      </c>
      <c r="Y205">
        <v>101.297</v>
      </c>
      <c r="Z205">
        <v>1.22257521987626</v>
      </c>
      <c r="AA205">
        <v>101.297</v>
      </c>
      <c r="AB205">
        <v>1.2044681700573</v>
      </c>
      <c r="AC205">
        <v>101.297</v>
      </c>
      <c r="AD205">
        <v>1.22149368899659</v>
      </c>
      <c r="AE205">
        <v>101.297</v>
      </c>
      <c r="AF205">
        <v>1.16955162782173</v>
      </c>
    </row>
    <row r="206" spans="23:32">
      <c r="W206">
        <v>101.796</v>
      </c>
      <c r="X206">
        <v>1.18554049389773</v>
      </c>
      <c r="Y206">
        <v>101.796</v>
      </c>
      <c r="Z206">
        <v>1.22400914550459</v>
      </c>
      <c r="AA206">
        <v>101.796</v>
      </c>
      <c r="AB206">
        <v>1.19671614415868</v>
      </c>
      <c r="AC206">
        <v>101.796</v>
      </c>
      <c r="AD206">
        <v>1.22469947376738</v>
      </c>
      <c r="AE206">
        <v>101.796</v>
      </c>
      <c r="AF206">
        <v>1.17374060111327</v>
      </c>
    </row>
    <row r="207" spans="23:32">
      <c r="W207">
        <v>102.295</v>
      </c>
      <c r="X207">
        <v>1.17734683697183</v>
      </c>
      <c r="Y207">
        <v>102.295</v>
      </c>
      <c r="Z207">
        <v>1.21622034373271</v>
      </c>
      <c r="AA207">
        <v>102.295</v>
      </c>
      <c r="AB207">
        <v>1.1963177323512</v>
      </c>
      <c r="AC207">
        <v>102.295</v>
      </c>
      <c r="AD207">
        <v>1.2180941445654</v>
      </c>
      <c r="AE207">
        <v>102.295</v>
      </c>
      <c r="AF207">
        <v>1.16633668365323</v>
      </c>
    </row>
    <row r="208" spans="23:32">
      <c r="W208">
        <v>102.794</v>
      </c>
      <c r="X208">
        <v>1.17523322434163</v>
      </c>
      <c r="Y208">
        <v>102.794</v>
      </c>
      <c r="Z208">
        <v>1.22306248627651</v>
      </c>
      <c r="AA208">
        <v>102.794</v>
      </c>
      <c r="AB208">
        <v>1.20136698663833</v>
      </c>
      <c r="AC208">
        <v>102.794</v>
      </c>
      <c r="AD208">
        <v>1.2247000772257</v>
      </c>
      <c r="AE208">
        <v>102.794</v>
      </c>
      <c r="AF208">
        <v>1.16223447913165</v>
      </c>
    </row>
    <row r="209" spans="23:32">
      <c r="W209">
        <v>103.293</v>
      </c>
      <c r="X209">
        <v>1.17676518278933</v>
      </c>
      <c r="Y209">
        <v>103.293</v>
      </c>
      <c r="Z209">
        <v>1.22157786268936</v>
      </c>
      <c r="AA209">
        <v>103.293</v>
      </c>
      <c r="AB209">
        <v>1.20041044016217</v>
      </c>
      <c r="AC209">
        <v>103.293</v>
      </c>
      <c r="AD209">
        <v>1.22470724479754</v>
      </c>
      <c r="AE209">
        <v>103.293</v>
      </c>
      <c r="AF209">
        <v>1.16698312487352</v>
      </c>
    </row>
    <row r="210" spans="23:32">
      <c r="W210">
        <v>103.792</v>
      </c>
      <c r="X210">
        <v>1.17209498809564</v>
      </c>
      <c r="Y210">
        <v>103.792</v>
      </c>
      <c r="Z210">
        <v>1.22525527813842</v>
      </c>
      <c r="AA210">
        <v>103.792</v>
      </c>
      <c r="AB210">
        <v>1.20916825402478</v>
      </c>
      <c r="AC210">
        <v>103.792</v>
      </c>
      <c r="AD210">
        <v>1.23297887375442</v>
      </c>
      <c r="AE210">
        <v>103.792</v>
      </c>
      <c r="AF210">
        <v>1.16312119837653</v>
      </c>
    </row>
    <row r="211" spans="23:32">
      <c r="W211">
        <v>104.291</v>
      </c>
      <c r="X211">
        <v>1.1793818618518</v>
      </c>
      <c r="Y211">
        <v>104.291</v>
      </c>
      <c r="Z211">
        <v>1.21230142844744</v>
      </c>
      <c r="AA211">
        <v>104.291</v>
      </c>
      <c r="AB211">
        <v>1.20543719288735</v>
      </c>
      <c r="AC211">
        <v>104.291</v>
      </c>
      <c r="AD211">
        <v>1.22571047691682</v>
      </c>
      <c r="AE211">
        <v>104.291</v>
      </c>
      <c r="AF211">
        <v>1.16352225136109</v>
      </c>
    </row>
    <row r="212" spans="23:32">
      <c r="W212">
        <v>104.79</v>
      </c>
      <c r="X212">
        <v>1.17015832432296</v>
      </c>
      <c r="Y212">
        <v>104.79</v>
      </c>
      <c r="Z212">
        <v>1.21658532686162</v>
      </c>
      <c r="AA212">
        <v>104.79</v>
      </c>
      <c r="AB212">
        <v>1.20226621118633</v>
      </c>
      <c r="AC212">
        <v>104.79</v>
      </c>
      <c r="AD212">
        <v>1.22566913268804</v>
      </c>
      <c r="AE212">
        <v>104.79</v>
      </c>
      <c r="AF212">
        <v>1.16634717680464</v>
      </c>
    </row>
    <row r="213" spans="23:32">
      <c r="W213">
        <v>105.289</v>
      </c>
      <c r="X213">
        <v>1.17373428024813</v>
      </c>
      <c r="Y213">
        <v>105.289</v>
      </c>
      <c r="Z213">
        <v>1.21995021781273</v>
      </c>
      <c r="AA213">
        <v>105.289</v>
      </c>
      <c r="AB213">
        <v>1.21330135571099</v>
      </c>
      <c r="AC213">
        <v>105.289</v>
      </c>
      <c r="AD213">
        <v>1.22513925402189</v>
      </c>
      <c r="AE213">
        <v>105.289</v>
      </c>
      <c r="AF213">
        <v>1.16613955126066</v>
      </c>
    </row>
    <row r="214" spans="23:32">
      <c r="W214">
        <v>105.788</v>
      </c>
      <c r="X214">
        <v>1.1747777046036</v>
      </c>
      <c r="Y214">
        <v>105.788</v>
      </c>
      <c r="Z214">
        <v>1.22065390693432</v>
      </c>
      <c r="AA214">
        <v>105.788</v>
      </c>
      <c r="AB214">
        <v>1.21490755487543</v>
      </c>
      <c r="AC214">
        <v>105.788</v>
      </c>
      <c r="AD214">
        <v>1.22375682295046</v>
      </c>
      <c r="AE214">
        <v>105.788</v>
      </c>
      <c r="AF214">
        <v>1.16035672629192</v>
      </c>
    </row>
    <row r="215" spans="23:32">
      <c r="W215">
        <v>106.287</v>
      </c>
      <c r="X215">
        <v>1.18718106351274</v>
      </c>
      <c r="Y215">
        <v>106.287</v>
      </c>
      <c r="Z215">
        <v>1.2159057618616</v>
      </c>
      <c r="AA215">
        <v>106.287</v>
      </c>
      <c r="AB215">
        <v>1.22095697694435</v>
      </c>
      <c r="AC215">
        <v>106.287</v>
      </c>
      <c r="AD215">
        <v>1.24246155757274</v>
      </c>
      <c r="AE215">
        <v>106.287</v>
      </c>
      <c r="AF215">
        <v>1.16857283622913</v>
      </c>
    </row>
    <row r="216" spans="23:32">
      <c r="W216">
        <v>106.786</v>
      </c>
      <c r="X216">
        <v>1.1751695981625</v>
      </c>
      <c r="Y216">
        <v>106.786</v>
      </c>
      <c r="Z216">
        <v>1.21178955300542</v>
      </c>
      <c r="AA216">
        <v>106.786</v>
      </c>
      <c r="AB216">
        <v>1.22680741978478</v>
      </c>
      <c r="AC216">
        <v>106.786</v>
      </c>
      <c r="AD216">
        <v>1.23927316030123</v>
      </c>
      <c r="AE216">
        <v>106.786</v>
      </c>
      <c r="AF216">
        <v>1.16419340140922</v>
      </c>
    </row>
    <row r="217" spans="23:32">
      <c r="W217">
        <v>107.285</v>
      </c>
      <c r="X217">
        <v>1.185070192421</v>
      </c>
      <c r="Y217">
        <v>107.285</v>
      </c>
      <c r="Z217">
        <v>1.20416268975926</v>
      </c>
      <c r="AA217">
        <v>107.285</v>
      </c>
      <c r="AB217">
        <v>1.22030147703358</v>
      </c>
      <c r="AC217">
        <v>107.285</v>
      </c>
      <c r="AD217">
        <v>1.23463138108576</v>
      </c>
      <c r="AE217">
        <v>107.285</v>
      </c>
      <c r="AF217">
        <v>1.17309967642814</v>
      </c>
    </row>
    <row r="218" spans="23:32">
      <c r="W218">
        <v>107.784</v>
      </c>
      <c r="X218">
        <v>1.17650979134212</v>
      </c>
      <c r="Y218">
        <v>107.784</v>
      </c>
      <c r="Z218">
        <v>1.21833970805477</v>
      </c>
      <c r="AA218">
        <v>107.784</v>
      </c>
      <c r="AB218">
        <v>1.2182336471783</v>
      </c>
      <c r="AC218">
        <v>107.784</v>
      </c>
      <c r="AD218">
        <v>1.22820069937273</v>
      </c>
      <c r="AE218">
        <v>107.784</v>
      </c>
      <c r="AF218">
        <v>1.17205717338037</v>
      </c>
    </row>
    <row r="219" spans="23:32">
      <c r="W219">
        <v>108.283</v>
      </c>
      <c r="X219">
        <v>1.18146641405621</v>
      </c>
      <c r="Y219">
        <v>108.283</v>
      </c>
      <c r="Z219">
        <v>1.22297898434821</v>
      </c>
      <c r="AA219">
        <v>108.283</v>
      </c>
      <c r="AB219">
        <v>1.21844336204613</v>
      </c>
      <c r="AC219">
        <v>108.283</v>
      </c>
      <c r="AD219">
        <v>1.23341307487222</v>
      </c>
      <c r="AE219">
        <v>108.283</v>
      </c>
      <c r="AF219">
        <v>1.17303943251019</v>
      </c>
    </row>
    <row r="220" spans="23:32">
      <c r="W220">
        <v>108.782</v>
      </c>
      <c r="X220">
        <v>1.17952427159903</v>
      </c>
      <c r="Y220">
        <v>108.782</v>
      </c>
      <c r="Z220">
        <v>1.2205986742197</v>
      </c>
      <c r="AA220">
        <v>108.782</v>
      </c>
      <c r="AB220">
        <v>1.22284822424606</v>
      </c>
      <c r="AC220">
        <v>108.782</v>
      </c>
      <c r="AD220">
        <v>1.23699631035896</v>
      </c>
      <c r="AE220">
        <v>108.782</v>
      </c>
      <c r="AF220">
        <v>1.17518863543384</v>
      </c>
    </row>
    <row r="221" spans="23:32">
      <c r="W221">
        <v>109.281</v>
      </c>
      <c r="X221">
        <v>1.18844548978076</v>
      </c>
      <c r="Y221">
        <v>109.281</v>
      </c>
      <c r="Z221">
        <v>1.22409978928519</v>
      </c>
      <c r="AA221">
        <v>109.281</v>
      </c>
      <c r="AB221">
        <v>1.22452508781915</v>
      </c>
      <c r="AC221">
        <v>109.281</v>
      </c>
      <c r="AD221">
        <v>1.23087350627042</v>
      </c>
      <c r="AE221">
        <v>109.281</v>
      </c>
      <c r="AF221">
        <v>1.16740853040667</v>
      </c>
    </row>
    <row r="222" spans="23:32">
      <c r="W222">
        <v>109.78</v>
      </c>
      <c r="X222">
        <v>1.18028390195925</v>
      </c>
      <c r="Y222">
        <v>109.78</v>
      </c>
      <c r="Z222">
        <v>1.22292809176255</v>
      </c>
      <c r="AA222">
        <v>109.78</v>
      </c>
      <c r="AB222">
        <v>1.23024932661996</v>
      </c>
      <c r="AC222">
        <v>109.78</v>
      </c>
      <c r="AD222">
        <v>1.23930290200397</v>
      </c>
      <c r="AE222">
        <v>109.78</v>
      </c>
      <c r="AF222">
        <v>1.17192278865738</v>
      </c>
    </row>
    <row r="223" spans="23:32">
      <c r="W223">
        <v>110.279</v>
      </c>
      <c r="X223">
        <v>1.18359349450258</v>
      </c>
      <c r="Y223">
        <v>110.279</v>
      </c>
      <c r="Z223">
        <v>1.22059125626628</v>
      </c>
      <c r="AA223">
        <v>110.279</v>
      </c>
      <c r="AB223">
        <v>1.24330118397692</v>
      </c>
      <c r="AC223">
        <v>110.279</v>
      </c>
      <c r="AD223">
        <v>1.24442229736533</v>
      </c>
      <c r="AE223">
        <v>110.279</v>
      </c>
      <c r="AF223">
        <v>1.17587545997279</v>
      </c>
    </row>
    <row r="224" spans="23:32">
      <c r="W224">
        <v>110.778</v>
      </c>
      <c r="X224">
        <v>1.1872140506697</v>
      </c>
      <c r="Y224">
        <v>110.778</v>
      </c>
      <c r="Z224">
        <v>1.21482291391093</v>
      </c>
      <c r="AA224">
        <v>110.778</v>
      </c>
      <c r="AB224">
        <v>1.23860876148773</v>
      </c>
      <c r="AC224">
        <v>110.778</v>
      </c>
      <c r="AD224">
        <v>1.24268546793353</v>
      </c>
      <c r="AE224">
        <v>110.778</v>
      </c>
      <c r="AF224">
        <v>1.17917440293817</v>
      </c>
    </row>
    <row r="225" spans="23:32">
      <c r="W225">
        <v>111.277</v>
      </c>
      <c r="X225">
        <v>1.18154786739552</v>
      </c>
      <c r="Y225">
        <v>111.277</v>
      </c>
      <c r="Z225">
        <v>1.22570904115494</v>
      </c>
      <c r="AA225">
        <v>111.277</v>
      </c>
      <c r="AB225">
        <v>1.22331323984073</v>
      </c>
      <c r="AC225">
        <v>111.277</v>
      </c>
      <c r="AD225">
        <v>1.2435848291723</v>
      </c>
      <c r="AE225">
        <v>111.277</v>
      </c>
      <c r="AF225">
        <v>1.16915794094134</v>
      </c>
    </row>
    <row r="226" spans="23:32">
      <c r="W226">
        <v>111.776</v>
      </c>
      <c r="X226">
        <v>1.18607298061443</v>
      </c>
      <c r="Y226">
        <v>111.776</v>
      </c>
      <c r="Z226">
        <v>1.21601715380393</v>
      </c>
      <c r="AA226">
        <v>111.776</v>
      </c>
      <c r="AB226">
        <v>1.23353715828273</v>
      </c>
      <c r="AC226">
        <v>111.776</v>
      </c>
      <c r="AD226">
        <v>1.23344613896804</v>
      </c>
      <c r="AE226">
        <v>111.776</v>
      </c>
      <c r="AF226">
        <v>1.17273361837371</v>
      </c>
    </row>
    <row r="227" spans="23:32">
      <c r="W227">
        <v>112.275</v>
      </c>
      <c r="X227">
        <v>1.18547111719422</v>
      </c>
      <c r="Y227">
        <v>112.275</v>
      </c>
      <c r="Z227">
        <v>1.21725699219243</v>
      </c>
      <c r="AA227">
        <v>112.275</v>
      </c>
      <c r="AB227">
        <v>1.22264407328459</v>
      </c>
      <c r="AC227">
        <v>112.275</v>
      </c>
      <c r="AD227">
        <v>1.23798976975605</v>
      </c>
      <c r="AE227">
        <v>112.275</v>
      </c>
      <c r="AF227">
        <v>1.16847674368048</v>
      </c>
    </row>
    <row r="228" spans="23:32">
      <c r="W228">
        <v>112.774</v>
      </c>
      <c r="X228">
        <v>1.18712894183995</v>
      </c>
      <c r="Y228">
        <v>112.774</v>
      </c>
      <c r="Z228">
        <v>1.21956088331001</v>
      </c>
      <c r="AA228">
        <v>112.774</v>
      </c>
      <c r="AB228">
        <v>1.22330018941286</v>
      </c>
      <c r="AC228">
        <v>112.774</v>
      </c>
      <c r="AD228">
        <v>1.23153921225994</v>
      </c>
      <c r="AE228">
        <v>112.774</v>
      </c>
      <c r="AF228">
        <v>1.1816855174933</v>
      </c>
    </row>
    <row r="229" spans="23:32">
      <c r="W229">
        <v>113.273</v>
      </c>
      <c r="X229">
        <v>1.19079752996113</v>
      </c>
      <c r="Y229">
        <v>113.273</v>
      </c>
      <c r="Z229">
        <v>1.22301412959469</v>
      </c>
      <c r="AA229">
        <v>113.273</v>
      </c>
      <c r="AB229">
        <v>1.22304242854855</v>
      </c>
      <c r="AC229">
        <v>113.273</v>
      </c>
      <c r="AD229">
        <v>1.23187848926714</v>
      </c>
      <c r="AE229">
        <v>113.273</v>
      </c>
      <c r="AF229">
        <v>1.18374178870166</v>
      </c>
    </row>
    <row r="230" spans="23:32">
      <c r="W230">
        <v>113.772</v>
      </c>
      <c r="X230">
        <v>1.18778684399642</v>
      </c>
      <c r="Y230">
        <v>113.772</v>
      </c>
      <c r="Z230">
        <v>1.22255362673327</v>
      </c>
      <c r="AA230">
        <v>113.772</v>
      </c>
      <c r="AB230">
        <v>1.21676317636667</v>
      </c>
      <c r="AC230">
        <v>113.772</v>
      </c>
      <c r="AD230">
        <v>1.23239293950098</v>
      </c>
      <c r="AE230">
        <v>113.772</v>
      </c>
      <c r="AF230">
        <v>1.17974566507386</v>
      </c>
    </row>
    <row r="231" spans="23:32">
      <c r="W231">
        <v>114.271</v>
      </c>
      <c r="X231">
        <v>1.18950930451296</v>
      </c>
      <c r="Y231">
        <v>114.271</v>
      </c>
      <c r="Z231">
        <v>1.22192491811638</v>
      </c>
      <c r="AA231">
        <v>114.271</v>
      </c>
      <c r="AB231">
        <v>1.21879524091461</v>
      </c>
      <c r="AC231">
        <v>114.271</v>
      </c>
      <c r="AD231">
        <v>1.22650165391773</v>
      </c>
      <c r="AE231">
        <v>114.271</v>
      </c>
      <c r="AF231">
        <v>1.18645706027068</v>
      </c>
    </row>
    <row r="232" spans="23:32">
      <c r="W232">
        <v>114.77</v>
      </c>
      <c r="X232">
        <v>1.18744593609411</v>
      </c>
      <c r="Y232">
        <v>114.77</v>
      </c>
      <c r="Z232">
        <v>1.219031513134</v>
      </c>
      <c r="AA232">
        <v>114.77</v>
      </c>
      <c r="AB232">
        <v>1.22416883385606</v>
      </c>
      <c r="AC232">
        <v>114.77</v>
      </c>
      <c r="AD232">
        <v>1.23074846024273</v>
      </c>
      <c r="AE232">
        <v>114.77</v>
      </c>
      <c r="AF232">
        <v>1.17899927192775</v>
      </c>
    </row>
    <row r="233" spans="23:32">
      <c r="W233">
        <v>115.269</v>
      </c>
      <c r="X233">
        <v>1.18572843984942</v>
      </c>
      <c r="Y233">
        <v>115.269</v>
      </c>
      <c r="Z233">
        <v>1.21818839744924</v>
      </c>
      <c r="AA233">
        <v>115.269</v>
      </c>
      <c r="AB233">
        <v>1.21494176473973</v>
      </c>
      <c r="AC233">
        <v>115.269</v>
      </c>
      <c r="AD233">
        <v>1.23870649964755</v>
      </c>
      <c r="AE233">
        <v>115.269</v>
      </c>
      <c r="AF233">
        <v>1.17337087590542</v>
      </c>
    </row>
    <row r="234" spans="23:32">
      <c r="W234">
        <v>115.768</v>
      </c>
      <c r="X234">
        <v>1.18479578117497</v>
      </c>
      <c r="Y234">
        <v>115.768</v>
      </c>
      <c r="Z234">
        <v>1.21998110741432</v>
      </c>
      <c r="AA234">
        <v>115.768</v>
      </c>
      <c r="AB234">
        <v>1.22552603482943</v>
      </c>
      <c r="AC234">
        <v>115.768</v>
      </c>
      <c r="AD234">
        <v>1.2393838024107</v>
      </c>
      <c r="AE234">
        <v>115.768</v>
      </c>
      <c r="AF234">
        <v>1.17078861097939</v>
      </c>
    </row>
    <row r="235" spans="23:32">
      <c r="W235">
        <v>116.267</v>
      </c>
      <c r="X235">
        <v>1.18828755082367</v>
      </c>
      <c r="Y235">
        <v>116.267</v>
      </c>
      <c r="Z235">
        <v>1.22178391586389</v>
      </c>
      <c r="AA235">
        <v>116.267</v>
      </c>
      <c r="AB235">
        <v>1.22202301587929</v>
      </c>
      <c r="AC235">
        <v>116.267</v>
      </c>
      <c r="AD235">
        <v>1.23747181904115</v>
      </c>
      <c r="AE235">
        <v>116.267</v>
      </c>
      <c r="AF235">
        <v>1.18210644661179</v>
      </c>
    </row>
    <row r="236" spans="23:32">
      <c r="W236">
        <v>116.766</v>
      </c>
      <c r="X236">
        <v>1.1853584631354</v>
      </c>
      <c r="Y236">
        <v>116.766</v>
      </c>
      <c r="Z236">
        <v>1.21888182495986</v>
      </c>
      <c r="AA236">
        <v>116.766</v>
      </c>
      <c r="AB236">
        <v>1.22271766729341</v>
      </c>
      <c r="AC236">
        <v>116.766</v>
      </c>
      <c r="AD236">
        <v>1.23251526499753</v>
      </c>
      <c r="AE236">
        <v>116.766</v>
      </c>
      <c r="AF236">
        <v>1.17719920967709</v>
      </c>
    </row>
    <row r="237" spans="23:32">
      <c r="W237">
        <v>117.265</v>
      </c>
      <c r="X237">
        <v>1.20029248523709</v>
      </c>
      <c r="Y237">
        <v>117.265</v>
      </c>
      <c r="Z237">
        <v>1.22216637380983</v>
      </c>
      <c r="AA237">
        <v>117.265</v>
      </c>
      <c r="AB237">
        <v>1.22705996644988</v>
      </c>
      <c r="AC237">
        <v>117.265</v>
      </c>
      <c r="AD237">
        <v>1.22971867428102</v>
      </c>
      <c r="AE237">
        <v>117.265</v>
      </c>
      <c r="AF237">
        <v>1.17511243272796</v>
      </c>
    </row>
    <row r="238" spans="23:32">
      <c r="W238">
        <v>117.764</v>
      </c>
      <c r="X238">
        <v>1.1855736358035</v>
      </c>
      <c r="Y238">
        <v>117.764</v>
      </c>
      <c r="Z238">
        <v>1.21678646967361</v>
      </c>
      <c r="AA238">
        <v>117.764</v>
      </c>
      <c r="AB238">
        <v>1.21983328368534</v>
      </c>
      <c r="AC238">
        <v>117.764</v>
      </c>
      <c r="AD238">
        <v>1.22749086205297</v>
      </c>
      <c r="AE238">
        <v>117.764</v>
      </c>
      <c r="AF238">
        <v>1.18232512857906</v>
      </c>
    </row>
    <row r="239" spans="23:32">
      <c r="W239">
        <v>118.263</v>
      </c>
      <c r="X239">
        <v>1.19357742672188</v>
      </c>
      <c r="Y239">
        <v>118.263</v>
      </c>
      <c r="Z239">
        <v>1.2262089427503</v>
      </c>
      <c r="AA239">
        <v>118.263</v>
      </c>
      <c r="AB239">
        <v>1.22498580229557</v>
      </c>
      <c r="AC239">
        <v>118.263</v>
      </c>
      <c r="AD239">
        <v>1.22871138951313</v>
      </c>
      <c r="AE239">
        <v>118.263</v>
      </c>
      <c r="AF239">
        <v>1.17321173298837</v>
      </c>
    </row>
    <row r="240" spans="23:32">
      <c r="W240">
        <v>118.762</v>
      </c>
      <c r="X240">
        <v>1.18966079447282</v>
      </c>
      <c r="Y240">
        <v>118.762</v>
      </c>
      <c r="Z240">
        <v>1.2211439492502</v>
      </c>
      <c r="AA240">
        <v>118.762</v>
      </c>
      <c r="AB240">
        <v>1.22293903559469</v>
      </c>
      <c r="AC240">
        <v>118.762</v>
      </c>
      <c r="AD240">
        <v>1.23889639534985</v>
      </c>
      <c r="AE240">
        <v>118.762</v>
      </c>
      <c r="AF240">
        <v>1.17584590844545</v>
      </c>
    </row>
    <row r="241" spans="23:32">
      <c r="W241">
        <v>119.261</v>
      </c>
      <c r="X241">
        <v>1.18575368735402</v>
      </c>
      <c r="Y241">
        <v>119.261</v>
      </c>
      <c r="Z241">
        <v>1.21395481400317</v>
      </c>
      <c r="AA241">
        <v>119.261</v>
      </c>
      <c r="AB241">
        <v>1.22152141593614</v>
      </c>
      <c r="AC241">
        <v>119.261</v>
      </c>
      <c r="AD241">
        <v>1.23589149189265</v>
      </c>
      <c r="AE241">
        <v>119.261</v>
      </c>
      <c r="AF241">
        <v>1.17584902647808</v>
      </c>
    </row>
    <row r="242" spans="23:32">
      <c r="W242">
        <v>119.76</v>
      </c>
      <c r="X242">
        <v>1.19009759988734</v>
      </c>
      <c r="Y242">
        <v>119.76</v>
      </c>
      <c r="Z242">
        <v>1.22503628669462</v>
      </c>
      <c r="AA242">
        <v>119.76</v>
      </c>
      <c r="AB242">
        <v>1.22624385799888</v>
      </c>
      <c r="AC242">
        <v>119.76</v>
      </c>
      <c r="AD242">
        <v>1.22669877074314</v>
      </c>
      <c r="AE242">
        <v>119.76</v>
      </c>
      <c r="AF242">
        <v>1.17779990483728</v>
      </c>
    </row>
    <row r="243" spans="23:32">
      <c r="W243">
        <v>120.259</v>
      </c>
      <c r="X243">
        <v>1.18858834697768</v>
      </c>
      <c r="Y243">
        <v>120.259</v>
      </c>
      <c r="Z243">
        <v>1.21661902518654</v>
      </c>
      <c r="AA243">
        <v>120.259</v>
      </c>
      <c r="AB243">
        <v>1.22336839919231</v>
      </c>
      <c r="AC243">
        <v>120.259</v>
      </c>
      <c r="AD243">
        <v>1.23860889820333</v>
      </c>
      <c r="AE243">
        <v>120.259</v>
      </c>
      <c r="AF243">
        <v>1.18450853935065</v>
      </c>
    </row>
    <row r="244" spans="23:32">
      <c r="W244">
        <v>120.758</v>
      </c>
      <c r="X244">
        <v>1.18912629827873</v>
      </c>
      <c r="Y244">
        <v>120.758</v>
      </c>
      <c r="Z244">
        <v>1.22504993344379</v>
      </c>
      <c r="AA244">
        <v>120.758</v>
      </c>
      <c r="AB244">
        <v>1.22720504842001</v>
      </c>
      <c r="AC244">
        <v>120.758</v>
      </c>
      <c r="AD244">
        <v>1.23221948384802</v>
      </c>
      <c r="AE244">
        <v>120.758</v>
      </c>
      <c r="AF244">
        <v>1.17505356704639</v>
      </c>
    </row>
    <row r="245" spans="23:32">
      <c r="W245">
        <v>121.257</v>
      </c>
      <c r="X245">
        <v>1.19033110198307</v>
      </c>
      <c r="Y245">
        <v>121.257</v>
      </c>
      <c r="Z245">
        <v>1.22483152961316</v>
      </c>
      <c r="AA245">
        <v>121.257</v>
      </c>
      <c r="AB245">
        <v>1.2295790829755</v>
      </c>
      <c r="AC245">
        <v>121.257</v>
      </c>
      <c r="AD245">
        <v>1.24527527331662</v>
      </c>
      <c r="AE245">
        <v>121.257</v>
      </c>
      <c r="AF245">
        <v>1.17502332585783</v>
      </c>
    </row>
    <row r="246" spans="23:32">
      <c r="W246">
        <v>121.756</v>
      </c>
      <c r="X246">
        <v>1.18904770699242</v>
      </c>
      <c r="Y246">
        <v>121.756</v>
      </c>
      <c r="Z246">
        <v>1.21924826688882</v>
      </c>
      <c r="AA246">
        <v>121.756</v>
      </c>
      <c r="AB246">
        <v>1.22284194371377</v>
      </c>
      <c r="AC246">
        <v>121.756</v>
      </c>
      <c r="AD246">
        <v>1.23108036379196</v>
      </c>
      <c r="AE246">
        <v>121.756</v>
      </c>
      <c r="AF246">
        <v>1.17543949503879</v>
      </c>
    </row>
    <row r="247" spans="23:32">
      <c r="W247">
        <v>122.255</v>
      </c>
      <c r="X247">
        <v>1.1912024951068</v>
      </c>
      <c r="Y247">
        <v>122.255</v>
      </c>
      <c r="Z247">
        <v>1.22230164042834</v>
      </c>
      <c r="AA247">
        <v>122.255</v>
      </c>
      <c r="AB247">
        <v>1.22471551606996</v>
      </c>
      <c r="AC247">
        <v>122.255</v>
      </c>
      <c r="AD247">
        <v>1.24488081292199</v>
      </c>
      <c r="AE247">
        <v>122.255</v>
      </c>
      <c r="AF247">
        <v>1.17361886285622</v>
      </c>
    </row>
    <row r="248" spans="23:32">
      <c r="W248">
        <v>122.754</v>
      </c>
      <c r="X248">
        <v>1.18804042212061</v>
      </c>
      <c r="Y248">
        <v>122.754</v>
      </c>
      <c r="Z248">
        <v>1.21033123005838</v>
      </c>
      <c r="AA248">
        <v>122.754</v>
      </c>
      <c r="AB248">
        <v>1.23251745350594</v>
      </c>
      <c r="AC248">
        <v>122.754</v>
      </c>
      <c r="AD248">
        <v>1.24277261965728</v>
      </c>
      <c r="AE248">
        <v>122.754</v>
      </c>
      <c r="AF248">
        <v>1.17060211189956</v>
      </c>
    </row>
    <row r="249" spans="23:32">
      <c r="W249">
        <v>123.253</v>
      </c>
      <c r="X249">
        <v>1.18905873177427</v>
      </c>
      <c r="Y249">
        <v>123.253</v>
      </c>
      <c r="Z249">
        <v>1.21853114817942</v>
      </c>
      <c r="AA249">
        <v>123.253</v>
      </c>
      <c r="AB249">
        <v>1.2301555003229</v>
      </c>
      <c r="AC249">
        <v>123.253</v>
      </c>
      <c r="AD249">
        <v>1.24104930589618</v>
      </c>
      <c r="AE249">
        <v>123.253</v>
      </c>
      <c r="AF249">
        <v>1.17529407608499</v>
      </c>
    </row>
    <row r="250" spans="23:32">
      <c r="W250">
        <v>123.752</v>
      </c>
      <c r="X250">
        <v>1.19667013054681</v>
      </c>
      <c r="Y250">
        <v>123.752</v>
      </c>
      <c r="Z250">
        <v>1.21728485258403</v>
      </c>
      <c r="AA250">
        <v>123.752</v>
      </c>
      <c r="AB250">
        <v>1.22626873437283</v>
      </c>
      <c r="AC250">
        <v>123.752</v>
      </c>
      <c r="AD250">
        <v>1.2381461092537</v>
      </c>
      <c r="AE250">
        <v>123.752</v>
      </c>
      <c r="AF250">
        <v>1.18240701456041</v>
      </c>
    </row>
    <row r="251" spans="23:32">
      <c r="W251">
        <v>124.251</v>
      </c>
      <c r="X251">
        <v>1.20105120823295</v>
      </c>
      <c r="Y251">
        <v>124.251</v>
      </c>
      <c r="Z251">
        <v>1.22206988295306</v>
      </c>
      <c r="AA251">
        <v>124.251</v>
      </c>
      <c r="AB251">
        <v>1.23028811842198</v>
      </c>
      <c r="AC251">
        <v>124.251</v>
      </c>
      <c r="AD251">
        <v>1.23087642098246</v>
      </c>
      <c r="AE251">
        <v>124.251</v>
      </c>
      <c r="AF251">
        <v>1.17908157069505</v>
      </c>
    </row>
    <row r="252" spans="23:32">
      <c r="W252">
        <v>124.75</v>
      </c>
      <c r="X252">
        <v>1.19040732980673</v>
      </c>
      <c r="Y252">
        <v>124.75</v>
      </c>
      <c r="Z252">
        <v>1.22275128188876</v>
      </c>
      <c r="AA252">
        <v>124.75</v>
      </c>
      <c r="AB252">
        <v>1.22902894780751</v>
      </c>
      <c r="AC252">
        <v>124.75</v>
      </c>
      <c r="AD252">
        <v>1.23446291127072</v>
      </c>
      <c r="AE252">
        <v>124.75</v>
      </c>
      <c r="AF252">
        <v>1.17182341731711</v>
      </c>
    </row>
    <row r="253" spans="23:32">
      <c r="W253">
        <v>125.249</v>
      </c>
      <c r="X253">
        <v>1.18815092875498</v>
      </c>
      <c r="Y253">
        <v>125.249</v>
      </c>
      <c r="Z253">
        <v>1.21982095193865</v>
      </c>
      <c r="AA253">
        <v>125.249</v>
      </c>
      <c r="AB253">
        <v>1.2198008910778</v>
      </c>
      <c r="AC253">
        <v>125.249</v>
      </c>
      <c r="AD253">
        <v>1.2280827524639</v>
      </c>
      <c r="AE253">
        <v>125.249</v>
      </c>
      <c r="AF253">
        <v>1.17969807928419</v>
      </c>
    </row>
    <row r="254" spans="23:32">
      <c r="W254">
        <v>125.748</v>
      </c>
      <c r="X254">
        <v>1.18401162183384</v>
      </c>
      <c r="Y254">
        <v>125.748</v>
      </c>
      <c r="Z254">
        <v>1.22402918684295</v>
      </c>
      <c r="AA254">
        <v>125.748</v>
      </c>
      <c r="AB254">
        <v>1.22497132955061</v>
      </c>
      <c r="AC254">
        <v>125.748</v>
      </c>
      <c r="AD254">
        <v>1.23103007986354</v>
      </c>
      <c r="AE254">
        <v>125.748</v>
      </c>
      <c r="AF254">
        <v>1.18281918975202</v>
      </c>
    </row>
    <row r="255" spans="23:32">
      <c r="W255">
        <v>126.247</v>
      </c>
      <c r="X255">
        <v>1.19626132781431</v>
      </c>
      <c r="Y255">
        <v>126.247</v>
      </c>
      <c r="Z255">
        <v>1.22649537981182</v>
      </c>
      <c r="AA255">
        <v>126.247</v>
      </c>
      <c r="AB255">
        <v>1.22418800128991</v>
      </c>
      <c r="AC255">
        <v>126.247</v>
      </c>
      <c r="AD255">
        <v>1.23340701229288</v>
      </c>
      <c r="AE255">
        <v>126.247</v>
      </c>
      <c r="AF255">
        <v>1.18145907959622</v>
      </c>
    </row>
    <row r="256" spans="23:32">
      <c r="W256">
        <v>126.746</v>
      </c>
      <c r="X256">
        <v>1.19115165292425</v>
      </c>
      <c r="Y256">
        <v>126.746</v>
      </c>
      <c r="Z256">
        <v>1.22750726397322</v>
      </c>
      <c r="AA256">
        <v>126.746</v>
      </c>
      <c r="AB256">
        <v>1.23626438195132</v>
      </c>
      <c r="AC256">
        <v>126.746</v>
      </c>
      <c r="AD256">
        <v>1.24575103882223</v>
      </c>
      <c r="AE256">
        <v>126.746</v>
      </c>
      <c r="AF256">
        <v>1.18281938855993</v>
      </c>
    </row>
    <row r="257" spans="23:32">
      <c r="W257">
        <v>127.245</v>
      </c>
      <c r="X257">
        <v>1.19051461198566</v>
      </c>
      <c r="Y257">
        <v>127.245</v>
      </c>
      <c r="Z257">
        <v>1.22181876459238</v>
      </c>
      <c r="AA257">
        <v>127.245</v>
      </c>
      <c r="AB257">
        <v>1.23101977766849</v>
      </c>
      <c r="AC257">
        <v>127.245</v>
      </c>
      <c r="AD257">
        <v>1.23598415608088</v>
      </c>
      <c r="AE257">
        <v>127.245</v>
      </c>
      <c r="AF257">
        <v>1.18170094839407</v>
      </c>
    </row>
    <row r="258" spans="23:32">
      <c r="W258">
        <v>127.744</v>
      </c>
      <c r="X258">
        <v>1.18915468625386</v>
      </c>
      <c r="Y258">
        <v>127.744</v>
      </c>
      <c r="Z258">
        <v>1.21864554954623</v>
      </c>
      <c r="AA258">
        <v>127.744</v>
      </c>
      <c r="AB258">
        <v>1.23544743059142</v>
      </c>
      <c r="AC258">
        <v>127.744</v>
      </c>
      <c r="AD258">
        <v>1.23178078393478</v>
      </c>
      <c r="AE258">
        <v>127.744</v>
      </c>
      <c r="AF258">
        <v>1.17975511915611</v>
      </c>
    </row>
    <row r="259" spans="23:32">
      <c r="W259">
        <v>128.243</v>
      </c>
      <c r="X259">
        <v>1.19728986485755</v>
      </c>
      <c r="Y259">
        <v>128.243</v>
      </c>
      <c r="Z259">
        <v>1.22126837754474</v>
      </c>
      <c r="AA259">
        <v>128.243</v>
      </c>
      <c r="AB259">
        <v>1.2314337231186</v>
      </c>
      <c r="AC259">
        <v>128.243</v>
      </c>
      <c r="AD259">
        <v>1.24023243054148</v>
      </c>
      <c r="AE259">
        <v>128.243</v>
      </c>
      <c r="AF259">
        <v>1.184128771399</v>
      </c>
    </row>
    <row r="260" spans="23:32">
      <c r="W260">
        <v>128.742</v>
      </c>
      <c r="X260">
        <v>1.19594253295001</v>
      </c>
      <c r="Y260">
        <v>128.742</v>
      </c>
      <c r="Z260">
        <v>1.21749071057418</v>
      </c>
      <c r="AA260">
        <v>128.742</v>
      </c>
      <c r="AB260">
        <v>1.23003156225302</v>
      </c>
      <c r="AC260">
        <v>128.742</v>
      </c>
      <c r="AD260">
        <v>1.24601439574225</v>
      </c>
      <c r="AE260">
        <v>128.742</v>
      </c>
      <c r="AF260">
        <v>1.18059643716743</v>
      </c>
    </row>
    <row r="261" spans="23:32">
      <c r="W261">
        <v>129.241</v>
      </c>
      <c r="X261">
        <v>1.20181789986052</v>
      </c>
      <c r="Y261">
        <v>129.241</v>
      </c>
      <c r="Z261">
        <v>1.22608085381038</v>
      </c>
      <c r="AA261">
        <v>129.241</v>
      </c>
      <c r="AB261">
        <v>1.23167656952056</v>
      </c>
      <c r="AC261">
        <v>129.241</v>
      </c>
      <c r="AD261">
        <v>1.23663620355397</v>
      </c>
      <c r="AE261">
        <v>129.241</v>
      </c>
      <c r="AF261">
        <v>1.18381577664736</v>
      </c>
    </row>
    <row r="262" spans="23:32">
      <c r="W262">
        <v>129.74</v>
      </c>
      <c r="X262">
        <v>1.18813070546747</v>
      </c>
      <c r="Y262">
        <v>129.74</v>
      </c>
      <c r="Z262">
        <v>1.23253379884904</v>
      </c>
      <c r="AA262">
        <v>129.74</v>
      </c>
      <c r="AB262">
        <v>1.23422838142495</v>
      </c>
      <c r="AC262">
        <v>129.74</v>
      </c>
      <c r="AD262">
        <v>1.24028994023233</v>
      </c>
      <c r="AE262">
        <v>129.74</v>
      </c>
      <c r="AF262">
        <v>1.19196350927726</v>
      </c>
    </row>
    <row r="263" spans="23:32">
      <c r="W263">
        <v>130.239</v>
      </c>
      <c r="X263">
        <v>1.19271620377496</v>
      </c>
      <c r="Y263">
        <v>130.239</v>
      </c>
      <c r="Z263">
        <v>1.22908513965509</v>
      </c>
      <c r="AA263">
        <v>130.239</v>
      </c>
      <c r="AB263">
        <v>1.23519294366483</v>
      </c>
      <c r="AC263">
        <v>130.239</v>
      </c>
      <c r="AD263">
        <v>1.23975850975509</v>
      </c>
      <c r="AE263">
        <v>130.239</v>
      </c>
      <c r="AF263">
        <v>1.17876808107701</v>
      </c>
    </row>
    <row r="264" spans="23:32">
      <c r="W264">
        <v>130.738</v>
      </c>
      <c r="X264">
        <v>1.20059188369826</v>
      </c>
      <c r="Y264">
        <v>130.738</v>
      </c>
      <c r="Z264">
        <v>1.22584062523184</v>
      </c>
      <c r="AA264">
        <v>130.738</v>
      </c>
      <c r="AB264">
        <v>1.23416389974455</v>
      </c>
      <c r="AC264">
        <v>130.738</v>
      </c>
      <c r="AD264">
        <v>1.24363396522445</v>
      </c>
      <c r="AE264">
        <v>130.738</v>
      </c>
      <c r="AF264">
        <v>1.18388857374239</v>
      </c>
    </row>
    <row r="265" spans="23:32">
      <c r="W265">
        <v>131.237</v>
      </c>
      <c r="X265">
        <v>1.19533727162125</v>
      </c>
      <c r="Y265">
        <v>131.237</v>
      </c>
      <c r="Z265">
        <v>1.22300641121023</v>
      </c>
      <c r="AA265">
        <v>131.237</v>
      </c>
      <c r="AB265">
        <v>1.23415892425475</v>
      </c>
      <c r="AC265">
        <v>131.237</v>
      </c>
      <c r="AD265">
        <v>1.24683688041289</v>
      </c>
      <c r="AE265">
        <v>131.237</v>
      </c>
      <c r="AF265">
        <v>1.18479042295863</v>
      </c>
    </row>
    <row r="266" spans="23:32">
      <c r="W266">
        <v>131.736</v>
      </c>
      <c r="X266">
        <v>1.18985126363636</v>
      </c>
      <c r="Y266">
        <v>131.736</v>
      </c>
      <c r="Z266">
        <v>1.22612947588348</v>
      </c>
      <c r="AA266">
        <v>131.736</v>
      </c>
      <c r="AB266">
        <v>1.23612951587787</v>
      </c>
      <c r="AC266">
        <v>131.736</v>
      </c>
      <c r="AD266">
        <v>1.23802449415254</v>
      </c>
      <c r="AE266">
        <v>131.736</v>
      </c>
      <c r="AF266">
        <v>1.17706272878402</v>
      </c>
    </row>
    <row r="267" spans="23:32">
      <c r="W267">
        <v>132.235</v>
      </c>
      <c r="X267">
        <v>1.19634037793749</v>
      </c>
      <c r="Y267">
        <v>132.235</v>
      </c>
      <c r="Z267">
        <v>1.22540579514933</v>
      </c>
      <c r="AA267">
        <v>132.235</v>
      </c>
      <c r="AB267">
        <v>1.23460135286495</v>
      </c>
      <c r="AC267">
        <v>132.235</v>
      </c>
      <c r="AD267">
        <v>1.24400291534292</v>
      </c>
      <c r="AE267">
        <v>132.235</v>
      </c>
      <c r="AF267">
        <v>1.18501535674624</v>
      </c>
    </row>
    <row r="268" spans="23:32">
      <c r="W268">
        <v>132.734</v>
      </c>
      <c r="X268">
        <v>1.20067663342304</v>
      </c>
      <c r="Y268">
        <v>132.734</v>
      </c>
      <c r="Z268">
        <v>1.23337930554374</v>
      </c>
      <c r="AA268">
        <v>132.734</v>
      </c>
      <c r="AB268">
        <v>1.23164474861615</v>
      </c>
      <c r="AC268">
        <v>132.734</v>
      </c>
      <c r="AD268">
        <v>1.2397492679659</v>
      </c>
      <c r="AE268">
        <v>132.734</v>
      </c>
      <c r="AF268">
        <v>1.18944027685681</v>
      </c>
    </row>
    <row r="269" spans="23:32">
      <c r="W269">
        <v>133.233</v>
      </c>
      <c r="X269">
        <v>1.19933413932434</v>
      </c>
      <c r="Y269">
        <v>133.233</v>
      </c>
      <c r="Z269">
        <v>1.22253986398532</v>
      </c>
      <c r="AA269">
        <v>133.233</v>
      </c>
      <c r="AB269">
        <v>1.24038331304787</v>
      </c>
      <c r="AC269">
        <v>133.233</v>
      </c>
      <c r="AD269">
        <v>1.23249749430455</v>
      </c>
      <c r="AE269">
        <v>133.233</v>
      </c>
      <c r="AF269">
        <v>1.18765886934949</v>
      </c>
    </row>
    <row r="270" spans="23:32">
      <c r="W270">
        <v>133.732</v>
      </c>
      <c r="X270">
        <v>1.19797644866969</v>
      </c>
      <c r="Y270">
        <v>133.732</v>
      </c>
      <c r="Z270">
        <v>1.21979306391164</v>
      </c>
      <c r="AA270">
        <v>133.732</v>
      </c>
      <c r="AB270">
        <v>1.23851039537862</v>
      </c>
      <c r="AC270">
        <v>133.732</v>
      </c>
      <c r="AD270">
        <v>1.23804920633686</v>
      </c>
      <c r="AE270">
        <v>133.732</v>
      </c>
      <c r="AF270">
        <v>1.18453182794333</v>
      </c>
    </row>
    <row r="271" spans="23:32">
      <c r="W271">
        <v>134.231</v>
      </c>
      <c r="X271">
        <v>1.20255625914133</v>
      </c>
      <c r="Y271">
        <v>134.231</v>
      </c>
      <c r="Z271">
        <v>1.22402745087786</v>
      </c>
      <c r="AA271">
        <v>134.231</v>
      </c>
      <c r="AB271">
        <v>1.23851996695838</v>
      </c>
      <c r="AC271">
        <v>134.231</v>
      </c>
      <c r="AD271">
        <v>1.23728139338495</v>
      </c>
      <c r="AE271">
        <v>134.231</v>
      </c>
      <c r="AF271">
        <v>1.18185999030019</v>
      </c>
    </row>
    <row r="272" spans="23:32">
      <c r="W272">
        <v>134.73</v>
      </c>
      <c r="X272">
        <v>1.20095031345959</v>
      </c>
      <c r="Y272">
        <v>134.73</v>
      </c>
      <c r="Z272">
        <v>1.21717278346177</v>
      </c>
      <c r="AA272">
        <v>134.73</v>
      </c>
      <c r="AB272">
        <v>1.2304906272987</v>
      </c>
      <c r="AC272">
        <v>134.73</v>
      </c>
      <c r="AD272">
        <v>1.24674987440217</v>
      </c>
      <c r="AE272">
        <v>134.73</v>
      </c>
      <c r="AF272">
        <v>1.17177887997633</v>
      </c>
    </row>
    <row r="273" spans="23:32">
      <c r="W273">
        <v>135.229</v>
      </c>
      <c r="X273">
        <v>1.21324030834466</v>
      </c>
      <c r="Y273">
        <v>135.229</v>
      </c>
      <c r="Z273">
        <v>1.22488076883566</v>
      </c>
      <c r="AA273">
        <v>135.229</v>
      </c>
      <c r="AB273">
        <v>1.23503362095774</v>
      </c>
      <c r="AC273">
        <v>135.229</v>
      </c>
      <c r="AD273">
        <v>1.24650456333494</v>
      </c>
      <c r="AE273">
        <v>135.229</v>
      </c>
      <c r="AF273">
        <v>1.17570013846802</v>
      </c>
    </row>
    <row r="274" spans="23:32">
      <c r="W274">
        <v>135.728</v>
      </c>
      <c r="X274">
        <v>1.20205748214282</v>
      </c>
      <c r="Y274">
        <v>135.728</v>
      </c>
      <c r="Z274">
        <v>1.21848468933275</v>
      </c>
      <c r="AA274">
        <v>135.728</v>
      </c>
      <c r="AB274">
        <v>1.22813161695797</v>
      </c>
      <c r="AC274">
        <v>135.728</v>
      </c>
      <c r="AD274">
        <v>1.25523387623818</v>
      </c>
      <c r="AE274">
        <v>135.728</v>
      </c>
      <c r="AF274">
        <v>1.17916742018656</v>
      </c>
    </row>
    <row r="275" spans="23:32">
      <c r="W275">
        <v>136.227</v>
      </c>
      <c r="X275">
        <v>1.1898405886073</v>
      </c>
      <c r="Y275">
        <v>136.227</v>
      </c>
      <c r="Z275">
        <v>1.23102119499668</v>
      </c>
      <c r="AA275">
        <v>136.227</v>
      </c>
      <c r="AB275">
        <v>1.22811351592228</v>
      </c>
      <c r="AC275">
        <v>136.227</v>
      </c>
      <c r="AD275">
        <v>1.24144131035706</v>
      </c>
      <c r="AE275">
        <v>136.227</v>
      </c>
      <c r="AF275">
        <v>1.17726362116139</v>
      </c>
    </row>
    <row r="276" spans="23:32">
      <c r="W276">
        <v>136.726</v>
      </c>
      <c r="X276">
        <v>1.19626782155324</v>
      </c>
      <c r="Y276">
        <v>136.726</v>
      </c>
      <c r="Z276">
        <v>1.22548213924749</v>
      </c>
      <c r="AA276">
        <v>136.726</v>
      </c>
      <c r="AB276">
        <v>1.2441382312071</v>
      </c>
      <c r="AC276">
        <v>136.726</v>
      </c>
      <c r="AD276">
        <v>1.23847067371954</v>
      </c>
      <c r="AE276">
        <v>136.726</v>
      </c>
      <c r="AF276">
        <v>1.18142897154723</v>
      </c>
    </row>
    <row r="277" spans="23:32">
      <c r="W277">
        <v>137.225</v>
      </c>
      <c r="X277">
        <v>1.19654050568314</v>
      </c>
      <c r="Y277">
        <v>137.225</v>
      </c>
      <c r="Z277">
        <v>1.22236194007844</v>
      </c>
      <c r="AA277">
        <v>137.225</v>
      </c>
      <c r="AB277">
        <v>1.23681170166331</v>
      </c>
      <c r="AC277">
        <v>137.225</v>
      </c>
      <c r="AD277">
        <v>1.24019301201915</v>
      </c>
      <c r="AE277">
        <v>137.225</v>
      </c>
      <c r="AF277">
        <v>1.19017894964983</v>
      </c>
    </row>
    <row r="278" spans="23:32">
      <c r="W278">
        <v>137.724</v>
      </c>
      <c r="X278">
        <v>1.19491824209381</v>
      </c>
      <c r="Y278">
        <v>137.724</v>
      </c>
      <c r="Z278">
        <v>1.21569032442413</v>
      </c>
      <c r="AA278">
        <v>137.724</v>
      </c>
      <c r="AB278">
        <v>1.23680861562043</v>
      </c>
      <c r="AC278">
        <v>137.724</v>
      </c>
      <c r="AD278">
        <v>1.2519036393459</v>
      </c>
      <c r="AE278">
        <v>137.724</v>
      </c>
      <c r="AF278">
        <v>1.19065172529424</v>
      </c>
    </row>
    <row r="279" spans="23:32">
      <c r="W279">
        <v>138.223</v>
      </c>
      <c r="X279">
        <v>1.20371515004105</v>
      </c>
      <c r="Y279">
        <v>138.223</v>
      </c>
      <c r="Z279">
        <v>1.2197600133409</v>
      </c>
      <c r="AA279">
        <v>138.223</v>
      </c>
      <c r="AB279">
        <v>1.23576086880304</v>
      </c>
      <c r="AC279">
        <v>138.223</v>
      </c>
      <c r="AD279">
        <v>1.25140363724853</v>
      </c>
      <c r="AE279">
        <v>138.223</v>
      </c>
      <c r="AF279">
        <v>1.19600041766869</v>
      </c>
    </row>
    <row r="280" spans="23:32">
      <c r="W280">
        <v>138.722</v>
      </c>
      <c r="X280">
        <v>1.19413571349848</v>
      </c>
      <c r="Y280">
        <v>138.722</v>
      </c>
      <c r="Z280">
        <v>1.22081937160695</v>
      </c>
      <c r="AA280">
        <v>138.722</v>
      </c>
      <c r="AB280">
        <v>1.24003662098428</v>
      </c>
      <c r="AC280">
        <v>138.722</v>
      </c>
      <c r="AD280">
        <v>1.25106921006251</v>
      </c>
      <c r="AE280">
        <v>138.722</v>
      </c>
      <c r="AF280">
        <v>1.18113890120243</v>
      </c>
    </row>
    <row r="281" spans="23:32">
      <c r="W281">
        <v>139.221</v>
      </c>
      <c r="X281">
        <v>1.19375128150674</v>
      </c>
      <c r="Y281">
        <v>139.221</v>
      </c>
      <c r="Z281">
        <v>1.21564827244745</v>
      </c>
      <c r="AA281">
        <v>139.221</v>
      </c>
      <c r="AB281">
        <v>1.2453412654104</v>
      </c>
      <c r="AC281">
        <v>139.221</v>
      </c>
      <c r="AD281">
        <v>1.24880155319808</v>
      </c>
      <c r="AE281">
        <v>139.221</v>
      </c>
      <c r="AF281">
        <v>1.18724718809069</v>
      </c>
    </row>
    <row r="282" spans="23:32">
      <c r="W282">
        <v>139.72</v>
      </c>
      <c r="X282">
        <v>1.19602968331853</v>
      </c>
      <c r="Y282">
        <v>139.72</v>
      </c>
      <c r="Z282">
        <v>1.22139375084028</v>
      </c>
      <c r="AA282">
        <v>139.72</v>
      </c>
      <c r="AB282">
        <v>1.23962510950438</v>
      </c>
      <c r="AC282">
        <v>139.72</v>
      </c>
      <c r="AD282">
        <v>1.24650092318696</v>
      </c>
      <c r="AE282">
        <v>139.72</v>
      </c>
      <c r="AF282">
        <v>1.18685594851149</v>
      </c>
    </row>
    <row r="283" spans="23:32">
      <c r="W283">
        <v>140.219</v>
      </c>
      <c r="X283">
        <v>1.19426498703426</v>
      </c>
      <c r="Y283">
        <v>140.219</v>
      </c>
      <c r="Z283">
        <v>1.22206511291911</v>
      </c>
      <c r="AA283">
        <v>140.219</v>
      </c>
      <c r="AB283">
        <v>1.23103188726696</v>
      </c>
      <c r="AC283">
        <v>140.219</v>
      </c>
      <c r="AD283">
        <v>1.25095178119491</v>
      </c>
      <c r="AE283">
        <v>140.219</v>
      </c>
      <c r="AF283">
        <v>1.17872426334585</v>
      </c>
    </row>
    <row r="284" spans="23:32">
      <c r="W284">
        <v>140.718</v>
      </c>
      <c r="X284">
        <v>1.20010251314176</v>
      </c>
      <c r="Y284">
        <v>140.718</v>
      </c>
      <c r="Z284">
        <v>1.21809114739234</v>
      </c>
      <c r="AA284">
        <v>140.718</v>
      </c>
      <c r="AB284">
        <v>1.23628711597004</v>
      </c>
      <c r="AC284">
        <v>140.718</v>
      </c>
      <c r="AD284">
        <v>1.26172606510883</v>
      </c>
      <c r="AE284">
        <v>140.718</v>
      </c>
      <c r="AF284">
        <v>1.18922428415861</v>
      </c>
    </row>
    <row r="285" spans="23:32">
      <c r="W285">
        <v>141.217</v>
      </c>
      <c r="X285">
        <v>1.20031088374625</v>
      </c>
      <c r="Y285">
        <v>141.217</v>
      </c>
      <c r="Z285">
        <v>1.22648257900028</v>
      </c>
      <c r="AA285">
        <v>141.217</v>
      </c>
      <c r="AB285">
        <v>1.24794497464723</v>
      </c>
      <c r="AC285">
        <v>141.217</v>
      </c>
      <c r="AD285">
        <v>1.2619589713911</v>
      </c>
      <c r="AE285">
        <v>141.217</v>
      </c>
      <c r="AF285">
        <v>1.18531617455427</v>
      </c>
    </row>
    <row r="286" spans="23:32">
      <c r="W286">
        <v>141.716</v>
      </c>
      <c r="X286">
        <v>1.19502455460453</v>
      </c>
      <c r="Y286">
        <v>141.716</v>
      </c>
      <c r="Z286">
        <v>1.22970321580274</v>
      </c>
      <c r="AA286">
        <v>141.716</v>
      </c>
      <c r="AB286">
        <v>1.23694771828486</v>
      </c>
      <c r="AC286">
        <v>141.716</v>
      </c>
      <c r="AD286">
        <v>1.24201409359107</v>
      </c>
      <c r="AE286">
        <v>141.716</v>
      </c>
      <c r="AF286">
        <v>1.1927384835802</v>
      </c>
    </row>
    <row r="287" spans="23:32">
      <c r="W287">
        <v>142.215</v>
      </c>
      <c r="X287">
        <v>1.19746998764477</v>
      </c>
      <c r="Y287">
        <v>142.215</v>
      </c>
      <c r="Z287">
        <v>1.22201846591887</v>
      </c>
      <c r="AA287">
        <v>142.215</v>
      </c>
      <c r="AB287">
        <v>1.23827871154418</v>
      </c>
      <c r="AC287">
        <v>142.215</v>
      </c>
      <c r="AD287">
        <v>1.2538113975741</v>
      </c>
      <c r="AE287">
        <v>142.215</v>
      </c>
      <c r="AF287">
        <v>1.18823746465257</v>
      </c>
    </row>
    <row r="288" spans="23:32">
      <c r="W288">
        <v>142.714</v>
      </c>
      <c r="X288">
        <v>1.18825322967606</v>
      </c>
      <c r="Y288">
        <v>142.714</v>
      </c>
      <c r="Z288">
        <v>1.22483700678528</v>
      </c>
      <c r="AA288">
        <v>142.714</v>
      </c>
      <c r="AB288">
        <v>1.23869376356608</v>
      </c>
      <c r="AC288">
        <v>142.714</v>
      </c>
      <c r="AD288">
        <v>1.25107933317304</v>
      </c>
      <c r="AE288">
        <v>142.714</v>
      </c>
      <c r="AF288">
        <v>1.18138979804225</v>
      </c>
    </row>
    <row r="289" spans="23:32">
      <c r="W289">
        <v>143.213</v>
      </c>
      <c r="X289">
        <v>1.19184257060592</v>
      </c>
      <c r="Y289">
        <v>143.213</v>
      </c>
      <c r="Z289">
        <v>1.22086029838236</v>
      </c>
      <c r="AA289">
        <v>143.213</v>
      </c>
      <c r="AB289">
        <v>1.23627736019403</v>
      </c>
      <c r="AC289">
        <v>143.213</v>
      </c>
      <c r="AD289">
        <v>1.24866543958069</v>
      </c>
      <c r="AE289">
        <v>143.213</v>
      </c>
      <c r="AF289">
        <v>1.17957920867981</v>
      </c>
    </row>
    <row r="290" spans="23:32">
      <c r="W290">
        <v>143.712</v>
      </c>
      <c r="X290">
        <v>1.19504322959685</v>
      </c>
      <c r="Y290">
        <v>143.712</v>
      </c>
      <c r="Z290">
        <v>1.23297388870098</v>
      </c>
      <c r="AA290">
        <v>143.712</v>
      </c>
      <c r="AB290">
        <v>1.24396981419617</v>
      </c>
      <c r="AC290">
        <v>143.712</v>
      </c>
      <c r="AD290">
        <v>1.24198812114041</v>
      </c>
      <c r="AE290">
        <v>143.712</v>
      </c>
      <c r="AF290">
        <v>1.17984053565285</v>
      </c>
    </row>
    <row r="291" spans="23:32">
      <c r="W291">
        <v>144.211</v>
      </c>
      <c r="X291">
        <v>1.19732359964433</v>
      </c>
      <c r="Y291">
        <v>144.211</v>
      </c>
      <c r="Z291">
        <v>1.22899225354023</v>
      </c>
      <c r="AA291">
        <v>144.211</v>
      </c>
      <c r="AB291">
        <v>1.24228197883533</v>
      </c>
      <c r="AC291">
        <v>144.211</v>
      </c>
      <c r="AD291">
        <v>1.25122508116296</v>
      </c>
      <c r="AE291">
        <v>144.211</v>
      </c>
      <c r="AF291">
        <v>1.187379766401</v>
      </c>
    </row>
    <row r="292" spans="23:32">
      <c r="W292">
        <v>144.71</v>
      </c>
      <c r="X292">
        <v>1.20434530426629</v>
      </c>
      <c r="Y292">
        <v>144.71</v>
      </c>
      <c r="Z292">
        <v>1.22600971343397</v>
      </c>
      <c r="AA292">
        <v>144.71</v>
      </c>
      <c r="AB292">
        <v>1.24341267932266</v>
      </c>
      <c r="AC292">
        <v>144.71</v>
      </c>
      <c r="AD292">
        <v>1.24482848493768</v>
      </c>
      <c r="AE292">
        <v>144.71</v>
      </c>
      <c r="AF292">
        <v>1.18088532777328</v>
      </c>
    </row>
    <row r="293" spans="23:32">
      <c r="W293">
        <v>145.209</v>
      </c>
      <c r="X293">
        <v>1.1949650078082</v>
      </c>
      <c r="Y293">
        <v>145.209</v>
      </c>
      <c r="Z293">
        <v>1.23228663789197</v>
      </c>
      <c r="AA293">
        <v>145.209</v>
      </c>
      <c r="AB293">
        <v>1.23744094139458</v>
      </c>
      <c r="AC293">
        <v>145.209</v>
      </c>
      <c r="AD293">
        <v>1.24478985503002</v>
      </c>
      <c r="AE293">
        <v>145.209</v>
      </c>
      <c r="AF293">
        <v>1.18903414210965</v>
      </c>
    </row>
    <row r="294" spans="23:32">
      <c r="W294">
        <v>145.708</v>
      </c>
      <c r="X294">
        <v>1.19075546792237</v>
      </c>
      <c r="Y294">
        <v>145.708</v>
      </c>
      <c r="Z294">
        <v>1.22831498006463</v>
      </c>
      <c r="AA294">
        <v>145.708</v>
      </c>
      <c r="AB294">
        <v>1.24134178739194</v>
      </c>
      <c r="AC294">
        <v>145.708</v>
      </c>
      <c r="AD294">
        <v>1.23627711942526</v>
      </c>
      <c r="AE294">
        <v>145.708</v>
      </c>
      <c r="AF294">
        <v>1.19125102723583</v>
      </c>
    </row>
    <row r="295" spans="23:32">
      <c r="W295">
        <v>146.207</v>
      </c>
      <c r="X295">
        <v>1.19696159579672</v>
      </c>
      <c r="Y295">
        <v>146.207</v>
      </c>
      <c r="Z295">
        <v>1.23224750716636</v>
      </c>
      <c r="AA295">
        <v>146.207</v>
      </c>
      <c r="AB295">
        <v>1.24549793207561</v>
      </c>
      <c r="AC295">
        <v>146.207</v>
      </c>
      <c r="AD295">
        <v>1.24681206888789</v>
      </c>
      <c r="AE295">
        <v>146.207</v>
      </c>
      <c r="AF295">
        <v>1.18706298871582</v>
      </c>
    </row>
    <row r="296" spans="23:32">
      <c r="W296">
        <v>146.706</v>
      </c>
      <c r="X296">
        <v>1.1939031549275</v>
      </c>
      <c r="Y296">
        <v>146.706</v>
      </c>
      <c r="Z296">
        <v>1.23112102372046</v>
      </c>
      <c r="AA296">
        <v>146.706</v>
      </c>
      <c r="AB296">
        <v>1.23853108302632</v>
      </c>
      <c r="AC296">
        <v>146.706</v>
      </c>
      <c r="AD296">
        <v>1.24210687220306</v>
      </c>
      <c r="AE296">
        <v>146.706</v>
      </c>
      <c r="AF296">
        <v>1.17992484541759</v>
      </c>
    </row>
    <row r="297" spans="23:32">
      <c r="W297">
        <v>147.205</v>
      </c>
      <c r="X297">
        <v>1.194134817493</v>
      </c>
      <c r="Y297">
        <v>147.205</v>
      </c>
      <c r="Z297">
        <v>1.231400106467</v>
      </c>
      <c r="AA297">
        <v>147.205</v>
      </c>
      <c r="AB297">
        <v>1.24037520707808</v>
      </c>
      <c r="AC297">
        <v>147.205</v>
      </c>
      <c r="AD297">
        <v>1.24000514375898</v>
      </c>
      <c r="AE297">
        <v>147.205</v>
      </c>
      <c r="AF297">
        <v>1.18249449283118</v>
      </c>
    </row>
    <row r="298" spans="23:32">
      <c r="W298">
        <v>147.704</v>
      </c>
      <c r="X298">
        <v>1.18641175558944</v>
      </c>
      <c r="Y298">
        <v>147.704</v>
      </c>
      <c r="Z298">
        <v>1.22536197793941</v>
      </c>
      <c r="AA298">
        <v>147.704</v>
      </c>
      <c r="AB298">
        <v>1.23938844322739</v>
      </c>
      <c r="AC298">
        <v>147.704</v>
      </c>
      <c r="AD298">
        <v>1.24958979589252</v>
      </c>
      <c r="AE298">
        <v>147.704</v>
      </c>
      <c r="AF298">
        <v>1.18243859318897</v>
      </c>
    </row>
    <row r="299" spans="23:32">
      <c r="W299">
        <v>148.203</v>
      </c>
      <c r="X299">
        <v>1.18734180406789</v>
      </c>
      <c r="Y299">
        <v>148.203</v>
      </c>
      <c r="Z299">
        <v>1.22118594261004</v>
      </c>
      <c r="AA299">
        <v>148.203</v>
      </c>
      <c r="AB299">
        <v>1.23860000789034</v>
      </c>
      <c r="AC299">
        <v>148.203</v>
      </c>
      <c r="AD299">
        <v>1.24610265770136</v>
      </c>
      <c r="AE299">
        <v>148.203</v>
      </c>
      <c r="AF299">
        <v>1.18283586198941</v>
      </c>
    </row>
    <row r="300" spans="23:32">
      <c r="W300">
        <v>148.702</v>
      </c>
      <c r="X300">
        <v>1.18752359383793</v>
      </c>
      <c r="Y300">
        <v>148.702</v>
      </c>
      <c r="Z300">
        <v>1.21505722055935</v>
      </c>
      <c r="AA300">
        <v>148.702</v>
      </c>
      <c r="AB300">
        <v>1.23517540155861</v>
      </c>
      <c r="AC300">
        <v>148.702</v>
      </c>
      <c r="AD300">
        <v>1.24476946512338</v>
      </c>
      <c r="AE300">
        <v>148.702</v>
      </c>
      <c r="AF300">
        <v>1.17971787479432</v>
      </c>
    </row>
    <row r="301" spans="23:32">
      <c r="W301">
        <v>149.201</v>
      </c>
      <c r="X301">
        <v>1.19243153679097</v>
      </c>
      <c r="Y301">
        <v>149.201</v>
      </c>
      <c r="Z301">
        <v>1.23387958010042</v>
      </c>
      <c r="AA301">
        <v>149.201</v>
      </c>
      <c r="AB301">
        <v>1.23468786141861</v>
      </c>
      <c r="AC301">
        <v>149.201</v>
      </c>
      <c r="AD301">
        <v>1.25530841858209</v>
      </c>
      <c r="AE301">
        <v>149.201</v>
      </c>
      <c r="AF301">
        <v>1.19032664099908</v>
      </c>
    </row>
    <row r="302" spans="23:32">
      <c r="W302">
        <v>149.7</v>
      </c>
      <c r="X302">
        <v>1.19129825235009</v>
      </c>
      <c r="Y302">
        <v>149.7</v>
      </c>
      <c r="Z302">
        <v>1.24180004112917</v>
      </c>
      <c r="AA302">
        <v>149.7</v>
      </c>
      <c r="AB302">
        <v>1.23309485309106</v>
      </c>
      <c r="AC302">
        <v>149.7</v>
      </c>
      <c r="AD302">
        <v>1.25279380761836</v>
      </c>
      <c r="AE302">
        <v>149.7</v>
      </c>
      <c r="AF302">
        <v>1.18843906887311</v>
      </c>
    </row>
    <row r="303" spans="23:32">
      <c r="W303">
        <v>150.199</v>
      </c>
      <c r="X303">
        <v>1.18084013089463</v>
      </c>
      <c r="Y303">
        <v>150.199</v>
      </c>
      <c r="Z303">
        <v>1.23121213712459</v>
      </c>
      <c r="AA303">
        <v>150.199</v>
      </c>
      <c r="AB303">
        <v>1.24063719213621</v>
      </c>
      <c r="AC303">
        <v>150.199</v>
      </c>
      <c r="AD303">
        <v>1.26189030015324</v>
      </c>
      <c r="AE303">
        <v>150.199</v>
      </c>
      <c r="AF303">
        <v>1.18402505592463</v>
      </c>
    </row>
    <row r="304" spans="23:32">
      <c r="W304">
        <v>150.698</v>
      </c>
      <c r="X304">
        <v>1.18313581996886</v>
      </c>
      <c r="Y304">
        <v>150.698</v>
      </c>
      <c r="Z304">
        <v>1.22578214872433</v>
      </c>
      <c r="AA304">
        <v>150.698</v>
      </c>
      <c r="AB304">
        <v>1.24500184540217</v>
      </c>
      <c r="AC304">
        <v>150.698</v>
      </c>
      <c r="AD304">
        <v>1.25635113178353</v>
      </c>
      <c r="AE304">
        <v>150.698</v>
      </c>
      <c r="AF304">
        <v>1.18506517282179</v>
      </c>
    </row>
    <row r="305" spans="23:32">
      <c r="W305">
        <v>151.197</v>
      </c>
      <c r="X305">
        <v>1.18782952722307</v>
      </c>
      <c r="Y305">
        <v>151.197</v>
      </c>
      <c r="Z305">
        <v>1.22760680802322</v>
      </c>
      <c r="AA305">
        <v>151.197</v>
      </c>
      <c r="AB305">
        <v>1.24643003328241</v>
      </c>
      <c r="AC305">
        <v>151.197</v>
      </c>
      <c r="AD305">
        <v>1.26218113567596</v>
      </c>
      <c r="AE305">
        <v>151.197</v>
      </c>
      <c r="AF305">
        <v>1.1823571317477</v>
      </c>
    </row>
    <row r="306" spans="23:32">
      <c r="W306">
        <v>151.696</v>
      </c>
      <c r="X306">
        <v>1.18364724049072</v>
      </c>
      <c r="Y306">
        <v>151.696</v>
      </c>
      <c r="Z306">
        <v>1.226135363391</v>
      </c>
      <c r="AA306">
        <v>151.696</v>
      </c>
      <c r="AB306">
        <v>1.24547908828926</v>
      </c>
      <c r="AC306">
        <v>151.696</v>
      </c>
      <c r="AD306">
        <v>1.25295602232767</v>
      </c>
      <c r="AE306">
        <v>151.696</v>
      </c>
      <c r="AF306">
        <v>1.18157259198243</v>
      </c>
    </row>
    <row r="307" spans="23:32">
      <c r="W307">
        <v>152.195</v>
      </c>
      <c r="X307">
        <v>1.19374561839033</v>
      </c>
      <c r="Y307">
        <v>152.195</v>
      </c>
      <c r="Z307">
        <v>1.23172319416206</v>
      </c>
      <c r="AA307">
        <v>152.195</v>
      </c>
      <c r="AB307">
        <v>1.24743182991914</v>
      </c>
      <c r="AC307">
        <v>152.195</v>
      </c>
      <c r="AD307">
        <v>1.25367480110048</v>
      </c>
      <c r="AE307">
        <v>152.195</v>
      </c>
      <c r="AF307">
        <v>1.18430455261019</v>
      </c>
    </row>
    <row r="308" spans="23:32">
      <c r="W308">
        <v>152.694</v>
      </c>
      <c r="X308">
        <v>1.18191465092464</v>
      </c>
      <c r="Y308">
        <v>152.694</v>
      </c>
      <c r="Z308">
        <v>1.22962859193568</v>
      </c>
      <c r="AA308">
        <v>152.694</v>
      </c>
      <c r="AB308">
        <v>1.24029594304282</v>
      </c>
      <c r="AC308">
        <v>152.694</v>
      </c>
      <c r="AD308">
        <v>1.25314561038255</v>
      </c>
      <c r="AE308">
        <v>152.694</v>
      </c>
      <c r="AF308">
        <v>1.18773649606969</v>
      </c>
    </row>
    <row r="309" spans="23:32">
      <c r="W309">
        <v>153.193</v>
      </c>
      <c r="X309">
        <v>1.18907470662261</v>
      </c>
      <c r="Y309">
        <v>153.193</v>
      </c>
      <c r="Z309">
        <v>1.22824766378309</v>
      </c>
      <c r="AA309">
        <v>153.193</v>
      </c>
      <c r="AB309">
        <v>1.25060317837174</v>
      </c>
      <c r="AC309">
        <v>153.193</v>
      </c>
      <c r="AD309">
        <v>1.24587467888462</v>
      </c>
      <c r="AE309">
        <v>153.193</v>
      </c>
      <c r="AF309">
        <v>1.17812599873209</v>
      </c>
    </row>
    <row r="310" spans="23:32">
      <c r="W310">
        <v>153.692</v>
      </c>
      <c r="X310">
        <v>1.19672463592994</v>
      </c>
      <c r="Y310">
        <v>153.692</v>
      </c>
      <c r="Z310">
        <v>1.22942917681296</v>
      </c>
      <c r="AA310">
        <v>153.692</v>
      </c>
      <c r="AB310">
        <v>1.24726863205832</v>
      </c>
      <c r="AC310">
        <v>153.692</v>
      </c>
      <c r="AD310">
        <v>1.24548516220266</v>
      </c>
      <c r="AE310">
        <v>153.692</v>
      </c>
      <c r="AF310">
        <v>1.19171340624693</v>
      </c>
    </row>
    <row r="311" spans="23:32">
      <c r="W311">
        <v>154.191</v>
      </c>
      <c r="X311">
        <v>1.18889068668386</v>
      </c>
      <c r="Y311">
        <v>154.191</v>
      </c>
      <c r="Z311">
        <v>1.22639416440948</v>
      </c>
      <c r="AA311">
        <v>154.191</v>
      </c>
      <c r="AB311">
        <v>1.24917616850062</v>
      </c>
      <c r="AC311">
        <v>154.191</v>
      </c>
      <c r="AD311">
        <v>1.24663792365083</v>
      </c>
      <c r="AE311">
        <v>154.191</v>
      </c>
      <c r="AF311">
        <v>1.18870567482535</v>
      </c>
    </row>
    <row r="312" spans="23:32">
      <c r="W312">
        <v>154.69</v>
      </c>
      <c r="X312">
        <v>1.19681925031757</v>
      </c>
      <c r="Y312">
        <v>154.69</v>
      </c>
      <c r="Z312">
        <v>1.23231676947693</v>
      </c>
      <c r="AA312">
        <v>154.69</v>
      </c>
      <c r="AB312">
        <v>1.24882463161518</v>
      </c>
      <c r="AC312">
        <v>154.69</v>
      </c>
      <c r="AD312">
        <v>1.25793413478169</v>
      </c>
      <c r="AE312">
        <v>154.69</v>
      </c>
      <c r="AF312">
        <v>1.19383514902467</v>
      </c>
    </row>
    <row r="313" spans="23:32">
      <c r="W313">
        <v>155.189</v>
      </c>
      <c r="X313">
        <v>1.1956231596033</v>
      </c>
      <c r="Y313">
        <v>155.189</v>
      </c>
      <c r="Z313">
        <v>1.22909093640584</v>
      </c>
      <c r="AA313">
        <v>155.189</v>
      </c>
      <c r="AB313">
        <v>1.24568875547266</v>
      </c>
      <c r="AC313">
        <v>155.189</v>
      </c>
      <c r="AD313">
        <v>1.25217167886263</v>
      </c>
      <c r="AE313">
        <v>155.189</v>
      </c>
      <c r="AF313">
        <v>1.18680578605121</v>
      </c>
    </row>
    <row r="314" spans="23:32">
      <c r="W314">
        <v>155.688</v>
      </c>
      <c r="X314">
        <v>1.1946819591639</v>
      </c>
      <c r="Y314">
        <v>155.688</v>
      </c>
      <c r="Z314">
        <v>1.23010553049468</v>
      </c>
      <c r="AA314">
        <v>155.688</v>
      </c>
      <c r="AB314">
        <v>1.25182730007477</v>
      </c>
      <c r="AC314">
        <v>155.688</v>
      </c>
      <c r="AD314">
        <v>1.25253526560602</v>
      </c>
      <c r="AE314">
        <v>155.688</v>
      </c>
      <c r="AF314">
        <v>1.18682309261901</v>
      </c>
    </row>
    <row r="315" spans="23:32">
      <c r="W315">
        <v>156.187</v>
      </c>
      <c r="X315">
        <v>1.19449456314988</v>
      </c>
      <c r="Y315">
        <v>156.187</v>
      </c>
      <c r="Z315">
        <v>1.22656169606456</v>
      </c>
      <c r="AA315">
        <v>156.187</v>
      </c>
      <c r="AB315">
        <v>1.24597503096527</v>
      </c>
      <c r="AC315">
        <v>156.187</v>
      </c>
      <c r="AD315">
        <v>1.25015568106459</v>
      </c>
      <c r="AE315">
        <v>156.187</v>
      </c>
      <c r="AF315">
        <v>1.19578531279726</v>
      </c>
    </row>
    <row r="316" spans="23:32">
      <c r="W316">
        <v>156.686</v>
      </c>
      <c r="X316">
        <v>1.2003625476086</v>
      </c>
      <c r="Y316">
        <v>156.686</v>
      </c>
      <c r="Z316">
        <v>1.22759345539208</v>
      </c>
      <c r="AA316">
        <v>156.686</v>
      </c>
      <c r="AB316">
        <v>1.25386245270922</v>
      </c>
      <c r="AC316">
        <v>156.686</v>
      </c>
      <c r="AD316">
        <v>1.2559706069379</v>
      </c>
      <c r="AE316">
        <v>156.686</v>
      </c>
      <c r="AF316">
        <v>1.18955511052172</v>
      </c>
    </row>
    <row r="317" spans="23:32">
      <c r="W317">
        <v>157.185</v>
      </c>
      <c r="X317">
        <v>1.19867067210601</v>
      </c>
      <c r="Y317">
        <v>157.185</v>
      </c>
      <c r="Z317">
        <v>1.23589012798445</v>
      </c>
      <c r="AA317">
        <v>157.185</v>
      </c>
      <c r="AB317">
        <v>1.24956244605077</v>
      </c>
      <c r="AC317">
        <v>157.185</v>
      </c>
      <c r="AD317">
        <v>1.26547669555993</v>
      </c>
      <c r="AE317">
        <v>157.185</v>
      </c>
      <c r="AF317">
        <v>1.19105299253504</v>
      </c>
    </row>
    <row r="318" spans="23:32">
      <c r="W318">
        <v>157.684</v>
      </c>
      <c r="X318">
        <v>1.20337573148281</v>
      </c>
      <c r="Y318">
        <v>157.684</v>
      </c>
      <c r="Z318">
        <v>1.2192384746981</v>
      </c>
      <c r="AA318">
        <v>157.684</v>
      </c>
      <c r="AB318">
        <v>1.24744614994503</v>
      </c>
      <c r="AC318">
        <v>157.684</v>
      </c>
      <c r="AD318">
        <v>1.26868208474306</v>
      </c>
      <c r="AE318">
        <v>157.684</v>
      </c>
      <c r="AF318">
        <v>1.18310557842436</v>
      </c>
    </row>
    <row r="319" spans="23:32">
      <c r="W319">
        <v>158.183</v>
      </c>
      <c r="X319">
        <v>1.20294561535604</v>
      </c>
      <c r="Y319">
        <v>158.183</v>
      </c>
      <c r="Z319">
        <v>1.22229504354255</v>
      </c>
      <c r="AA319">
        <v>158.183</v>
      </c>
      <c r="AB319">
        <v>1.24377831997077</v>
      </c>
      <c r="AC319">
        <v>158.183</v>
      </c>
      <c r="AD319">
        <v>1.25085112343363</v>
      </c>
      <c r="AE319">
        <v>158.183</v>
      </c>
      <c r="AF319">
        <v>1.18950360274028</v>
      </c>
    </row>
    <row r="320" spans="23:32">
      <c r="W320">
        <v>158.682</v>
      </c>
      <c r="X320">
        <v>1.20779771495559</v>
      </c>
      <c r="Y320">
        <v>158.682</v>
      </c>
      <c r="Z320">
        <v>1.23093223524252</v>
      </c>
      <c r="AA320">
        <v>158.682</v>
      </c>
      <c r="AB320">
        <v>1.25036144985239</v>
      </c>
      <c r="AC320">
        <v>158.682</v>
      </c>
      <c r="AD320">
        <v>1.250401982816</v>
      </c>
      <c r="AE320">
        <v>158.682</v>
      </c>
      <c r="AF320">
        <v>1.18968897308045</v>
      </c>
    </row>
    <row r="321" spans="23:32">
      <c r="W321">
        <v>159.181</v>
      </c>
      <c r="X321">
        <v>1.20334951992375</v>
      </c>
      <c r="Y321">
        <v>159.181</v>
      </c>
      <c r="Z321">
        <v>1.23332859437168</v>
      </c>
      <c r="AA321">
        <v>159.181</v>
      </c>
      <c r="AB321">
        <v>1.25630608868704</v>
      </c>
      <c r="AC321">
        <v>159.181</v>
      </c>
      <c r="AD321">
        <v>1.25502599993641</v>
      </c>
      <c r="AE321">
        <v>159.181</v>
      </c>
      <c r="AF321">
        <v>1.19461947605258</v>
      </c>
    </row>
    <row r="322" spans="23:32">
      <c r="W322">
        <v>159.68</v>
      </c>
      <c r="X322">
        <v>1.19199390113319</v>
      </c>
      <c r="Y322">
        <v>159.68</v>
      </c>
      <c r="Z322">
        <v>1.23599774743419</v>
      </c>
      <c r="AA322">
        <v>159.68</v>
      </c>
      <c r="AB322">
        <v>1.23983958674475</v>
      </c>
      <c r="AC322">
        <v>159.68</v>
      </c>
      <c r="AD322">
        <v>1.24454418501167</v>
      </c>
      <c r="AE322">
        <v>159.68</v>
      </c>
      <c r="AF322">
        <v>1.19041982697738</v>
      </c>
    </row>
    <row r="323" spans="23:32">
      <c r="W323">
        <v>160.179</v>
      </c>
      <c r="X323">
        <v>1.20566444795831</v>
      </c>
      <c r="Y323">
        <v>160.179</v>
      </c>
      <c r="Z323">
        <v>1.23628640132753</v>
      </c>
      <c r="AA323">
        <v>160.179</v>
      </c>
      <c r="AB323">
        <v>1.24140016421439</v>
      </c>
      <c r="AC323">
        <v>160.179</v>
      </c>
      <c r="AD323">
        <v>1.25983053262866</v>
      </c>
      <c r="AE323">
        <v>160.179</v>
      </c>
      <c r="AF323">
        <v>1.18979178977528</v>
      </c>
    </row>
    <row r="324" spans="23:32">
      <c r="W324">
        <v>160.678</v>
      </c>
      <c r="X324">
        <v>1.19945631616474</v>
      </c>
      <c r="Y324">
        <v>160.678</v>
      </c>
      <c r="Z324">
        <v>1.22564959623941</v>
      </c>
      <c r="AA324">
        <v>160.678</v>
      </c>
      <c r="AB324">
        <v>1.24346646080856</v>
      </c>
      <c r="AC324">
        <v>160.678</v>
      </c>
      <c r="AD324">
        <v>1.25166649805764</v>
      </c>
      <c r="AE324">
        <v>160.678</v>
      </c>
      <c r="AF324">
        <v>1.19787809225339</v>
      </c>
    </row>
    <row r="325" spans="23:32">
      <c r="W325">
        <v>161.177</v>
      </c>
      <c r="X325">
        <v>1.19794924401206</v>
      </c>
      <c r="Y325">
        <v>161.177</v>
      </c>
      <c r="Z325">
        <v>1.21624084878343</v>
      </c>
      <c r="AA325">
        <v>161.177</v>
      </c>
      <c r="AB325">
        <v>1.23851440287166</v>
      </c>
      <c r="AC325">
        <v>161.177</v>
      </c>
      <c r="AD325">
        <v>1.26129824048517</v>
      </c>
      <c r="AE325">
        <v>161.177</v>
      </c>
      <c r="AF325">
        <v>1.19232656059458</v>
      </c>
    </row>
    <row r="326" spans="23:32">
      <c r="W326">
        <v>161.676</v>
      </c>
      <c r="X326">
        <v>1.19569498530947</v>
      </c>
      <c r="Y326">
        <v>161.676</v>
      </c>
      <c r="Z326">
        <v>1.22553775017337</v>
      </c>
      <c r="AA326">
        <v>161.676</v>
      </c>
      <c r="AB326">
        <v>1.24265694203239</v>
      </c>
      <c r="AC326">
        <v>161.676</v>
      </c>
      <c r="AD326">
        <v>1.25703826924407</v>
      </c>
      <c r="AE326">
        <v>161.676</v>
      </c>
      <c r="AF326">
        <v>1.19057878189783</v>
      </c>
    </row>
    <row r="327" spans="23:32">
      <c r="W327">
        <v>162.175</v>
      </c>
      <c r="X327">
        <v>1.1958107716005</v>
      </c>
      <c r="Y327">
        <v>162.175</v>
      </c>
      <c r="Z327">
        <v>1.23385702328273</v>
      </c>
      <c r="AA327">
        <v>162.175</v>
      </c>
      <c r="AB327">
        <v>1.24343662572009</v>
      </c>
      <c r="AC327">
        <v>162.175</v>
      </c>
      <c r="AD327">
        <v>1.2565432168291</v>
      </c>
      <c r="AE327">
        <v>162.175</v>
      </c>
      <c r="AF327">
        <v>1.18743252002967</v>
      </c>
    </row>
    <row r="328" spans="23:32">
      <c r="W328">
        <v>162.674</v>
      </c>
      <c r="X328">
        <v>1.20650604700787</v>
      </c>
      <c r="Y328">
        <v>162.674</v>
      </c>
      <c r="Z328">
        <v>1.22016448512054</v>
      </c>
      <c r="AA328">
        <v>162.674</v>
      </c>
      <c r="AB328">
        <v>1.24069803875068</v>
      </c>
      <c r="AC328">
        <v>162.674</v>
      </c>
      <c r="AD328">
        <v>1.25271483578334</v>
      </c>
      <c r="AE328">
        <v>162.674</v>
      </c>
      <c r="AF328">
        <v>1.18532462928764</v>
      </c>
    </row>
    <row r="329" spans="23:32">
      <c r="W329">
        <v>163.173</v>
      </c>
      <c r="X329">
        <v>1.20298319946642</v>
      </c>
      <c r="Y329">
        <v>163.173</v>
      </c>
      <c r="Z329">
        <v>1.22508318642557</v>
      </c>
      <c r="AA329">
        <v>163.173</v>
      </c>
      <c r="AB329">
        <v>1.24416842289331</v>
      </c>
      <c r="AC329">
        <v>163.173</v>
      </c>
      <c r="AD329">
        <v>1.25813555669279</v>
      </c>
      <c r="AE329">
        <v>163.173</v>
      </c>
      <c r="AF329">
        <v>1.19496060318541</v>
      </c>
    </row>
    <row r="330" spans="23:32">
      <c r="W330">
        <v>163.672</v>
      </c>
      <c r="X330">
        <v>1.21085795208966</v>
      </c>
      <c r="Y330">
        <v>163.672</v>
      </c>
      <c r="Z330">
        <v>1.22657057818914</v>
      </c>
      <c r="AA330">
        <v>163.672</v>
      </c>
      <c r="AB330">
        <v>1.2413745523293</v>
      </c>
      <c r="AC330">
        <v>163.672</v>
      </c>
      <c r="AD330">
        <v>1.25314730478146</v>
      </c>
      <c r="AE330">
        <v>163.672</v>
      </c>
      <c r="AF330">
        <v>1.18568583372247</v>
      </c>
    </row>
    <row r="331" spans="23:32">
      <c r="W331">
        <v>164.171</v>
      </c>
      <c r="X331">
        <v>1.2094764162885</v>
      </c>
      <c r="Y331">
        <v>164.171</v>
      </c>
      <c r="Z331">
        <v>1.23413261571496</v>
      </c>
      <c r="AA331">
        <v>164.171</v>
      </c>
      <c r="AB331">
        <v>1.24020889996536</v>
      </c>
      <c r="AC331">
        <v>164.171</v>
      </c>
      <c r="AD331">
        <v>1.25489192901377</v>
      </c>
      <c r="AE331">
        <v>164.171</v>
      </c>
      <c r="AF331">
        <v>1.18834173638805</v>
      </c>
    </row>
    <row r="332" spans="23:32">
      <c r="W332">
        <v>164.67</v>
      </c>
      <c r="X332">
        <v>1.21037214372809</v>
      </c>
      <c r="Y332">
        <v>164.67</v>
      </c>
      <c r="Z332">
        <v>1.22903783193835</v>
      </c>
      <c r="AA332">
        <v>164.67</v>
      </c>
      <c r="AB332">
        <v>1.24361622765531</v>
      </c>
      <c r="AC332">
        <v>164.67</v>
      </c>
      <c r="AD332">
        <v>1.25656422859044</v>
      </c>
      <c r="AE332">
        <v>164.67</v>
      </c>
      <c r="AF332">
        <v>1.186762272419</v>
      </c>
    </row>
    <row r="333" spans="23:32">
      <c r="W333">
        <v>165.169</v>
      </c>
      <c r="X333">
        <v>1.21243897622564</v>
      </c>
      <c r="Y333">
        <v>165.169</v>
      </c>
      <c r="Z333">
        <v>1.22968702098498</v>
      </c>
      <c r="AA333">
        <v>165.169</v>
      </c>
      <c r="AB333">
        <v>1.23580614173266</v>
      </c>
      <c r="AC333">
        <v>165.169</v>
      </c>
      <c r="AD333">
        <v>1.26220019902819</v>
      </c>
      <c r="AE333">
        <v>165.169</v>
      </c>
      <c r="AF333">
        <v>1.18169073843217</v>
      </c>
    </row>
    <row r="334" spans="23:32">
      <c r="W334">
        <v>165.668</v>
      </c>
      <c r="X334">
        <v>1.21233563898565</v>
      </c>
      <c r="Y334">
        <v>165.668</v>
      </c>
      <c r="Z334">
        <v>1.21953054074974</v>
      </c>
      <c r="AA334">
        <v>165.668</v>
      </c>
      <c r="AB334">
        <v>1.24459221183953</v>
      </c>
      <c r="AC334">
        <v>165.668</v>
      </c>
      <c r="AD334">
        <v>1.26566451842099</v>
      </c>
      <c r="AE334">
        <v>165.668</v>
      </c>
      <c r="AF334">
        <v>1.17984417939533</v>
      </c>
    </row>
    <row r="335" spans="23:32">
      <c r="W335">
        <v>166.167</v>
      </c>
      <c r="X335">
        <v>1.20537523811559</v>
      </c>
      <c r="Y335">
        <v>166.167</v>
      </c>
      <c r="Z335">
        <v>1.22469318228109</v>
      </c>
      <c r="AA335">
        <v>166.167</v>
      </c>
      <c r="AB335">
        <v>1.24341690572121</v>
      </c>
      <c r="AC335">
        <v>166.167</v>
      </c>
      <c r="AD335">
        <v>1.26036277825101</v>
      </c>
      <c r="AE335">
        <v>166.167</v>
      </c>
      <c r="AF335">
        <v>1.19145462229167</v>
      </c>
    </row>
    <row r="336" spans="23:32">
      <c r="W336">
        <v>166.666</v>
      </c>
      <c r="X336">
        <v>1.21029139316569</v>
      </c>
      <c r="Y336">
        <v>166.666</v>
      </c>
      <c r="Z336">
        <v>1.22217342486818</v>
      </c>
      <c r="AA336">
        <v>166.666</v>
      </c>
      <c r="AB336">
        <v>1.23699997963501</v>
      </c>
      <c r="AC336">
        <v>166.666</v>
      </c>
      <c r="AD336">
        <v>1.25728283481569</v>
      </c>
      <c r="AE336">
        <v>166.666</v>
      </c>
      <c r="AF336">
        <v>1.18638705318182</v>
      </c>
    </row>
    <row r="337" spans="23:32">
      <c r="W337">
        <v>167.165</v>
      </c>
      <c r="X337">
        <v>1.20820257219575</v>
      </c>
      <c r="Y337">
        <v>167.165</v>
      </c>
      <c r="Z337">
        <v>1.22102096257992</v>
      </c>
      <c r="AA337">
        <v>167.165</v>
      </c>
      <c r="AB337">
        <v>1.24169987212623</v>
      </c>
      <c r="AC337">
        <v>167.165</v>
      </c>
      <c r="AD337">
        <v>1.2570915375994</v>
      </c>
      <c r="AE337">
        <v>167.165</v>
      </c>
      <c r="AF337">
        <v>1.18952675402247</v>
      </c>
    </row>
    <row r="338" spans="23:32">
      <c r="W338">
        <v>167.664</v>
      </c>
      <c r="X338">
        <v>1.20042005848699</v>
      </c>
      <c r="Y338">
        <v>167.664</v>
      </c>
      <c r="Z338">
        <v>1.22316649803313</v>
      </c>
      <c r="AA338">
        <v>167.664</v>
      </c>
      <c r="AB338">
        <v>1.23295461107639</v>
      </c>
      <c r="AC338">
        <v>167.664</v>
      </c>
      <c r="AD338">
        <v>1.25498694384428</v>
      </c>
      <c r="AE338">
        <v>167.664</v>
      </c>
      <c r="AF338">
        <v>1.18892404968643</v>
      </c>
    </row>
    <row r="339" spans="23:32">
      <c r="W339">
        <v>168.163</v>
      </c>
      <c r="X339">
        <v>1.20798054968646</v>
      </c>
      <c r="Y339">
        <v>168.163</v>
      </c>
      <c r="Z339">
        <v>1.22264964156305</v>
      </c>
      <c r="AA339">
        <v>168.163</v>
      </c>
      <c r="AB339">
        <v>1.23151791596709</v>
      </c>
      <c r="AC339">
        <v>168.163</v>
      </c>
      <c r="AD339">
        <v>1.25697686458939</v>
      </c>
      <c r="AE339">
        <v>168.163</v>
      </c>
      <c r="AF339">
        <v>1.1930794427504</v>
      </c>
    </row>
    <row r="340" spans="23:32">
      <c r="W340">
        <v>168.662</v>
      </c>
      <c r="X340">
        <v>1.21058079886973</v>
      </c>
      <c r="Y340">
        <v>168.662</v>
      </c>
      <c r="Z340">
        <v>1.22076262420201</v>
      </c>
      <c r="AA340">
        <v>168.662</v>
      </c>
      <c r="AB340">
        <v>1.23713586246651</v>
      </c>
      <c r="AC340">
        <v>168.662</v>
      </c>
      <c r="AD340">
        <v>1.25874139069288</v>
      </c>
      <c r="AE340">
        <v>168.662</v>
      </c>
      <c r="AF340">
        <v>1.18938305443441</v>
      </c>
    </row>
    <row r="341" spans="23:32">
      <c r="W341">
        <v>169.161</v>
      </c>
      <c r="X341">
        <v>1.20668745756819</v>
      </c>
      <c r="Y341">
        <v>169.161</v>
      </c>
      <c r="Z341">
        <v>1.22483436748977</v>
      </c>
      <c r="AA341">
        <v>169.161</v>
      </c>
      <c r="AB341">
        <v>1.23836326777883</v>
      </c>
      <c r="AC341">
        <v>169.161</v>
      </c>
      <c r="AD341">
        <v>1.25649739082238</v>
      </c>
      <c r="AE341">
        <v>169.161</v>
      </c>
      <c r="AF341">
        <v>1.18812780651211</v>
      </c>
    </row>
    <row r="342" spans="23:32">
      <c r="W342">
        <v>169.66</v>
      </c>
      <c r="X342">
        <v>1.21201051249497</v>
      </c>
      <c r="Y342">
        <v>169.66</v>
      </c>
      <c r="Z342">
        <v>1.22379580488803</v>
      </c>
      <c r="AA342">
        <v>169.66</v>
      </c>
      <c r="AB342">
        <v>1.24364160493318</v>
      </c>
      <c r="AC342">
        <v>169.66</v>
      </c>
      <c r="AD342">
        <v>1.25904232158006</v>
      </c>
      <c r="AE342">
        <v>169.66</v>
      </c>
      <c r="AF342">
        <v>1.18966377871922</v>
      </c>
    </row>
    <row r="343" spans="23:32">
      <c r="W343">
        <v>170.159</v>
      </c>
      <c r="X343">
        <v>1.20509749959893</v>
      </c>
      <c r="Y343">
        <v>170.159</v>
      </c>
      <c r="Z343">
        <v>1.22690651126864</v>
      </c>
      <c r="AA343">
        <v>170.159</v>
      </c>
      <c r="AB343">
        <v>1.2412356668695</v>
      </c>
      <c r="AC343">
        <v>170.159</v>
      </c>
      <c r="AD343">
        <v>1.25841920165177</v>
      </c>
      <c r="AE343">
        <v>170.159</v>
      </c>
      <c r="AF343">
        <v>1.18980337242214</v>
      </c>
    </row>
    <row r="344" spans="23:32">
      <c r="W344">
        <v>170.658</v>
      </c>
      <c r="X344">
        <v>1.20865588911095</v>
      </c>
      <c r="Y344">
        <v>170.658</v>
      </c>
      <c r="Z344">
        <v>1.2210195423982</v>
      </c>
      <c r="AA344">
        <v>170.658</v>
      </c>
      <c r="AB344">
        <v>1.23870320686624</v>
      </c>
      <c r="AC344">
        <v>170.658</v>
      </c>
      <c r="AD344">
        <v>1.26036051600346</v>
      </c>
      <c r="AE344">
        <v>170.658</v>
      </c>
      <c r="AF344">
        <v>1.18779654372114</v>
      </c>
    </row>
    <row r="345" spans="23:32">
      <c r="W345">
        <v>171.157</v>
      </c>
      <c r="X345">
        <v>1.20192113332694</v>
      </c>
      <c r="Y345">
        <v>171.157</v>
      </c>
      <c r="Z345">
        <v>1.23181172514892</v>
      </c>
      <c r="AA345">
        <v>171.157</v>
      </c>
      <c r="AB345">
        <v>1.24548352860456</v>
      </c>
      <c r="AC345">
        <v>171.157</v>
      </c>
      <c r="AD345">
        <v>1.2563829026326</v>
      </c>
      <c r="AE345">
        <v>171.157</v>
      </c>
      <c r="AF345">
        <v>1.18546726309484</v>
      </c>
    </row>
    <row r="346" spans="23:32">
      <c r="W346">
        <v>171.656</v>
      </c>
      <c r="X346">
        <v>1.21472546661168</v>
      </c>
      <c r="Y346">
        <v>171.656</v>
      </c>
      <c r="Z346">
        <v>1.2307072542408</v>
      </c>
      <c r="AA346">
        <v>171.656</v>
      </c>
      <c r="AB346">
        <v>1.24514445221106</v>
      </c>
      <c r="AC346">
        <v>171.656</v>
      </c>
      <c r="AD346">
        <v>1.26540065022015</v>
      </c>
      <c r="AE346">
        <v>171.656</v>
      </c>
      <c r="AF346">
        <v>1.18372783413223</v>
      </c>
    </row>
    <row r="347" spans="23:32">
      <c r="W347">
        <v>172.155</v>
      </c>
      <c r="X347">
        <v>1.21217440999718</v>
      </c>
      <c r="Y347">
        <v>172.155</v>
      </c>
      <c r="Z347">
        <v>1.23026897704224</v>
      </c>
      <c r="AA347">
        <v>172.155</v>
      </c>
      <c r="AB347">
        <v>1.24602450193277</v>
      </c>
      <c r="AC347">
        <v>172.155</v>
      </c>
      <c r="AD347">
        <v>1.26033086031144</v>
      </c>
      <c r="AE347">
        <v>172.155</v>
      </c>
      <c r="AF347">
        <v>1.17922640963611</v>
      </c>
    </row>
    <row r="348" spans="23:32">
      <c r="W348">
        <v>172.654</v>
      </c>
      <c r="X348">
        <v>1.21108748504807</v>
      </c>
      <c r="Y348">
        <v>172.654</v>
      </c>
      <c r="Z348">
        <v>1.23143231161285</v>
      </c>
      <c r="AA348">
        <v>172.654</v>
      </c>
      <c r="AB348">
        <v>1.24572870970331</v>
      </c>
      <c r="AC348">
        <v>172.654</v>
      </c>
      <c r="AD348">
        <v>1.25801981143539</v>
      </c>
      <c r="AE348">
        <v>172.654</v>
      </c>
      <c r="AF348">
        <v>1.18737844987455</v>
      </c>
    </row>
    <row r="349" spans="23:32">
      <c r="W349">
        <v>173.153</v>
      </c>
      <c r="X349">
        <v>1.20962612015786</v>
      </c>
      <c r="Y349">
        <v>173.153</v>
      </c>
      <c r="Z349">
        <v>1.22303485123687</v>
      </c>
      <c r="AA349">
        <v>173.153</v>
      </c>
      <c r="AB349">
        <v>1.24566225519291</v>
      </c>
      <c r="AC349">
        <v>173.153</v>
      </c>
      <c r="AD349">
        <v>1.25937272847365</v>
      </c>
      <c r="AE349">
        <v>173.153</v>
      </c>
      <c r="AF349">
        <v>1.18754101227003</v>
      </c>
    </row>
    <row r="350" spans="23:32">
      <c r="W350">
        <v>173.652</v>
      </c>
      <c r="X350">
        <v>1.20317290732632</v>
      </c>
      <c r="Y350">
        <v>173.652</v>
      </c>
      <c r="Z350">
        <v>1.22840740860357</v>
      </c>
      <c r="AA350">
        <v>173.652</v>
      </c>
      <c r="AB350">
        <v>1.24397284228131</v>
      </c>
      <c r="AC350">
        <v>173.652</v>
      </c>
      <c r="AD350">
        <v>1.25053615716193</v>
      </c>
      <c r="AE350">
        <v>173.652</v>
      </c>
      <c r="AF350">
        <v>1.18813399218323</v>
      </c>
    </row>
    <row r="351" spans="23:32">
      <c r="W351">
        <v>174.151</v>
      </c>
      <c r="X351">
        <v>1.21903568096833</v>
      </c>
      <c r="Y351">
        <v>174.151</v>
      </c>
      <c r="Z351">
        <v>1.23601520498979</v>
      </c>
      <c r="AA351">
        <v>174.151</v>
      </c>
      <c r="AB351">
        <v>1.24286079301549</v>
      </c>
      <c r="AC351">
        <v>174.151</v>
      </c>
      <c r="AD351">
        <v>1.25463694849392</v>
      </c>
      <c r="AE351">
        <v>174.151</v>
      </c>
      <c r="AF351">
        <v>1.17527379041482</v>
      </c>
    </row>
    <row r="352" spans="23:32">
      <c r="W352">
        <v>174.65</v>
      </c>
      <c r="X352">
        <v>1.21774937466482</v>
      </c>
      <c r="Y352">
        <v>174.65</v>
      </c>
      <c r="Z352">
        <v>1.22485053542401</v>
      </c>
      <c r="AA352">
        <v>174.65</v>
      </c>
      <c r="AB352">
        <v>1.24313068211085</v>
      </c>
      <c r="AC352">
        <v>174.65</v>
      </c>
      <c r="AD352">
        <v>1.26274529343717</v>
      </c>
      <c r="AE352">
        <v>174.65</v>
      </c>
      <c r="AF352">
        <v>1.17692356319691</v>
      </c>
    </row>
    <row r="353" spans="23:32">
      <c r="W353">
        <v>175.149</v>
      </c>
      <c r="X353">
        <v>1.21248300318657</v>
      </c>
      <c r="Y353">
        <v>175.149</v>
      </c>
      <c r="Z353">
        <v>1.23699222962401</v>
      </c>
      <c r="AA353">
        <v>175.149</v>
      </c>
      <c r="AB353">
        <v>1.24128287678729</v>
      </c>
      <c r="AC353">
        <v>175.149</v>
      </c>
      <c r="AD353">
        <v>1.25853800195728</v>
      </c>
      <c r="AE353">
        <v>175.149</v>
      </c>
      <c r="AF353">
        <v>1.17990167051628</v>
      </c>
    </row>
    <row r="354" spans="23:32">
      <c r="W354">
        <v>175.648</v>
      </c>
      <c r="X354">
        <v>1.21560844549738</v>
      </c>
      <c r="Y354">
        <v>175.648</v>
      </c>
      <c r="Z354">
        <v>1.23442563206703</v>
      </c>
      <c r="AA354">
        <v>175.648</v>
      </c>
      <c r="AB354">
        <v>1.24113794525425</v>
      </c>
      <c r="AC354">
        <v>175.648</v>
      </c>
      <c r="AD354">
        <v>1.25611002149514</v>
      </c>
      <c r="AE354">
        <v>175.648</v>
      </c>
      <c r="AF354">
        <v>1.18948916384237</v>
      </c>
    </row>
    <row r="355" spans="23:32">
      <c r="W355">
        <v>176.147</v>
      </c>
      <c r="X355">
        <v>1.22007837829624</v>
      </c>
      <c r="Y355">
        <v>176.147</v>
      </c>
      <c r="Z355">
        <v>1.2384182662139</v>
      </c>
      <c r="AA355">
        <v>176.147</v>
      </c>
      <c r="AB355">
        <v>1.24836606132168</v>
      </c>
      <c r="AC355">
        <v>176.147</v>
      </c>
      <c r="AD355">
        <v>1.24789508436877</v>
      </c>
      <c r="AE355">
        <v>176.147</v>
      </c>
      <c r="AF355">
        <v>1.18819244470618</v>
      </c>
    </row>
    <row r="356" spans="23:32">
      <c r="W356">
        <v>176.646</v>
      </c>
      <c r="X356">
        <v>1.21053012025548</v>
      </c>
      <c r="Y356">
        <v>176.646</v>
      </c>
      <c r="Z356">
        <v>1.23207049777475</v>
      </c>
      <c r="AA356">
        <v>176.646</v>
      </c>
      <c r="AB356">
        <v>1.25139192192201</v>
      </c>
      <c r="AC356">
        <v>176.646</v>
      </c>
      <c r="AD356">
        <v>1.26098323459638</v>
      </c>
      <c r="AE356">
        <v>176.646</v>
      </c>
      <c r="AF356">
        <v>1.18333218983861</v>
      </c>
    </row>
    <row r="357" spans="23:32">
      <c r="W357">
        <v>177.145</v>
      </c>
      <c r="X357">
        <v>1.21920822872051</v>
      </c>
      <c r="Y357">
        <v>177.145</v>
      </c>
      <c r="Z357">
        <v>1.23189227013357</v>
      </c>
      <c r="AA357">
        <v>177.145</v>
      </c>
      <c r="AB357">
        <v>1.24527015135003</v>
      </c>
      <c r="AC357">
        <v>177.145</v>
      </c>
      <c r="AD357">
        <v>1.257810763482</v>
      </c>
      <c r="AE357">
        <v>177.145</v>
      </c>
      <c r="AF357">
        <v>1.18836414857045</v>
      </c>
    </row>
    <row r="358" spans="23:32">
      <c r="W358">
        <v>177.644</v>
      </c>
      <c r="X358">
        <v>1.22133600292869</v>
      </c>
      <c r="Y358">
        <v>177.644</v>
      </c>
      <c r="Z358">
        <v>1.23709720457601</v>
      </c>
      <c r="AA358">
        <v>177.644</v>
      </c>
      <c r="AB358">
        <v>1.25213403851372</v>
      </c>
      <c r="AC358">
        <v>177.644</v>
      </c>
      <c r="AD358">
        <v>1.25869773459846</v>
      </c>
      <c r="AE358">
        <v>177.644</v>
      </c>
      <c r="AF358">
        <v>1.19601577926023</v>
      </c>
    </row>
    <row r="359" spans="23:32">
      <c r="W359">
        <v>178.143</v>
      </c>
      <c r="X359">
        <v>1.2170994307124</v>
      </c>
      <c r="Y359">
        <v>178.143</v>
      </c>
      <c r="Z359">
        <v>1.23293398369469</v>
      </c>
      <c r="AA359">
        <v>178.143</v>
      </c>
      <c r="AB359">
        <v>1.24650153500639</v>
      </c>
      <c r="AC359">
        <v>178.143</v>
      </c>
      <c r="AD359">
        <v>1.24728054487633</v>
      </c>
      <c r="AE359">
        <v>178.143</v>
      </c>
      <c r="AF359">
        <v>1.20615132829614</v>
      </c>
    </row>
    <row r="360" spans="23:32">
      <c r="W360">
        <v>178.642</v>
      </c>
      <c r="X360">
        <v>1.22292643357198</v>
      </c>
      <c r="Y360">
        <v>178.642</v>
      </c>
      <c r="Z360">
        <v>1.22795025962248</v>
      </c>
      <c r="AA360">
        <v>178.642</v>
      </c>
      <c r="AB360">
        <v>1.23239110113249</v>
      </c>
      <c r="AC360">
        <v>178.642</v>
      </c>
      <c r="AD360">
        <v>1.25924935932852</v>
      </c>
      <c r="AE360">
        <v>178.642</v>
      </c>
      <c r="AF360">
        <v>1.19938759951668</v>
      </c>
    </row>
    <row r="361" spans="23:32">
      <c r="W361">
        <v>179.141</v>
      </c>
      <c r="X361">
        <v>1.21495080434595</v>
      </c>
      <c r="Y361">
        <v>179.141</v>
      </c>
      <c r="Z361">
        <v>1.23157855350606</v>
      </c>
      <c r="AA361">
        <v>179.141</v>
      </c>
      <c r="AB361">
        <v>1.23521578301528</v>
      </c>
      <c r="AC361">
        <v>179.141</v>
      </c>
      <c r="AD361">
        <v>1.25054129906387</v>
      </c>
      <c r="AE361">
        <v>179.141</v>
      </c>
      <c r="AF361">
        <v>1.19177068138408</v>
      </c>
    </row>
    <row r="362" spans="23:32">
      <c r="W362">
        <v>179.64</v>
      </c>
      <c r="X362">
        <v>1.22443070077868</v>
      </c>
      <c r="Y362">
        <v>179.64</v>
      </c>
      <c r="Z362">
        <v>1.23259518962506</v>
      </c>
      <c r="AA362">
        <v>179.64</v>
      </c>
      <c r="AB362">
        <v>1.23720638039866</v>
      </c>
      <c r="AC362">
        <v>179.64</v>
      </c>
      <c r="AD362">
        <v>1.25361993651189</v>
      </c>
      <c r="AE362">
        <v>179.64</v>
      </c>
      <c r="AF362">
        <v>1.19575388615562</v>
      </c>
    </row>
    <row r="363" spans="23:32">
      <c r="W363">
        <v>180.139</v>
      </c>
      <c r="X363">
        <v>1.21842358909757</v>
      </c>
      <c r="Y363">
        <v>180.139</v>
      </c>
      <c r="Z363">
        <v>1.22431757405426</v>
      </c>
      <c r="AA363">
        <v>180.139</v>
      </c>
      <c r="AB363">
        <v>1.23570558646758</v>
      </c>
      <c r="AC363">
        <v>180.139</v>
      </c>
      <c r="AD363">
        <v>1.25691372800415</v>
      </c>
      <c r="AE363">
        <v>180.139</v>
      </c>
      <c r="AF363">
        <v>1.19934756026198</v>
      </c>
    </row>
    <row r="364" spans="23:32">
      <c r="W364">
        <v>180.638</v>
      </c>
      <c r="X364">
        <v>1.22084388646386</v>
      </c>
      <c r="Y364">
        <v>180.638</v>
      </c>
      <c r="Z364">
        <v>1.22593513559744</v>
      </c>
      <c r="AA364">
        <v>180.638</v>
      </c>
      <c r="AB364">
        <v>1.23555563178318</v>
      </c>
      <c r="AC364">
        <v>180.638</v>
      </c>
      <c r="AD364">
        <v>1.26051847484632</v>
      </c>
      <c r="AE364">
        <v>180.638</v>
      </c>
      <c r="AF364">
        <v>1.19782300792837</v>
      </c>
    </row>
    <row r="365" spans="23:32">
      <c r="W365">
        <v>181.137</v>
      </c>
      <c r="X365">
        <v>1.21510718542564</v>
      </c>
      <c r="Y365">
        <v>181.137</v>
      </c>
      <c r="Z365">
        <v>1.22310853602206</v>
      </c>
      <c r="AA365">
        <v>181.137</v>
      </c>
      <c r="AB365">
        <v>1.23386912169117</v>
      </c>
      <c r="AC365">
        <v>181.137</v>
      </c>
      <c r="AD365">
        <v>1.26063153836698</v>
      </c>
      <c r="AE365">
        <v>181.137</v>
      </c>
      <c r="AF365">
        <v>1.20382561163527</v>
      </c>
    </row>
    <row r="366" spans="23:32">
      <c r="W366">
        <v>181.636</v>
      </c>
      <c r="X366">
        <v>1.21837501338922</v>
      </c>
      <c r="Y366">
        <v>181.636</v>
      </c>
      <c r="Z366">
        <v>1.22915469526112</v>
      </c>
      <c r="AA366">
        <v>181.636</v>
      </c>
      <c r="AB366">
        <v>1.23349632120719</v>
      </c>
      <c r="AC366">
        <v>181.636</v>
      </c>
      <c r="AD366">
        <v>1.25625014601934</v>
      </c>
      <c r="AE366">
        <v>181.636</v>
      </c>
      <c r="AF366">
        <v>1.19521102227165</v>
      </c>
    </row>
    <row r="367" spans="23:32">
      <c r="W367">
        <v>182.135</v>
      </c>
      <c r="X367">
        <v>1.21728116423428</v>
      </c>
      <c r="Y367">
        <v>182.135</v>
      </c>
      <c r="Z367">
        <v>1.23167536286999</v>
      </c>
      <c r="AA367">
        <v>182.135</v>
      </c>
      <c r="AB367">
        <v>1.23676616213763</v>
      </c>
      <c r="AC367">
        <v>182.135</v>
      </c>
      <c r="AD367">
        <v>1.25349909531284</v>
      </c>
      <c r="AE367">
        <v>182.135</v>
      </c>
      <c r="AF367">
        <v>1.18949029132408</v>
      </c>
    </row>
    <row r="368" spans="23:32">
      <c r="W368">
        <v>182.634</v>
      </c>
      <c r="X368">
        <v>1.21896579020386</v>
      </c>
      <c r="Y368">
        <v>182.634</v>
      </c>
      <c r="Z368">
        <v>1.22428229484844</v>
      </c>
      <c r="AA368">
        <v>182.634</v>
      </c>
      <c r="AB368">
        <v>1.23215617749402</v>
      </c>
      <c r="AC368">
        <v>182.634</v>
      </c>
      <c r="AD368">
        <v>1.26472488617593</v>
      </c>
      <c r="AE368">
        <v>182.634</v>
      </c>
      <c r="AF368">
        <v>1.2021188265779</v>
      </c>
    </row>
    <row r="369" spans="23:32">
      <c r="W369">
        <v>183.133</v>
      </c>
      <c r="X369">
        <v>1.22347242023339</v>
      </c>
      <c r="Y369">
        <v>183.133</v>
      </c>
      <c r="Z369">
        <v>1.22801256591363</v>
      </c>
      <c r="AA369">
        <v>183.133</v>
      </c>
      <c r="AB369">
        <v>1.23996096480808</v>
      </c>
      <c r="AC369">
        <v>183.133</v>
      </c>
      <c r="AD369">
        <v>1.26157002143756</v>
      </c>
      <c r="AE369">
        <v>183.133</v>
      </c>
      <c r="AF369">
        <v>1.19497948053153</v>
      </c>
    </row>
    <row r="370" spans="23:32">
      <c r="W370">
        <v>183.632</v>
      </c>
      <c r="X370">
        <v>1.21399551610884</v>
      </c>
      <c r="Y370">
        <v>183.632</v>
      </c>
      <c r="Z370">
        <v>1.2273321420989</v>
      </c>
      <c r="AA370">
        <v>183.632</v>
      </c>
      <c r="AB370">
        <v>1.23668214724777</v>
      </c>
      <c r="AC370">
        <v>183.632</v>
      </c>
      <c r="AD370">
        <v>1.25735247640841</v>
      </c>
      <c r="AE370">
        <v>183.632</v>
      </c>
      <c r="AF370">
        <v>1.1928864939332</v>
      </c>
    </row>
    <row r="371" spans="23:32">
      <c r="W371">
        <v>184.131</v>
      </c>
      <c r="X371">
        <v>1.20907764411772</v>
      </c>
      <c r="Y371">
        <v>184.131</v>
      </c>
      <c r="Z371">
        <v>1.22550006839989</v>
      </c>
      <c r="AA371">
        <v>184.131</v>
      </c>
      <c r="AB371">
        <v>1.24453121461474</v>
      </c>
      <c r="AC371">
        <v>184.131</v>
      </c>
      <c r="AD371">
        <v>1.26683764485443</v>
      </c>
      <c r="AE371">
        <v>184.131</v>
      </c>
      <c r="AF371">
        <v>1.1925882802962</v>
      </c>
    </row>
    <row r="372" spans="23:32">
      <c r="W372">
        <v>184.63</v>
      </c>
      <c r="X372">
        <v>1.21152548356368</v>
      </c>
      <c r="Y372">
        <v>184.63</v>
      </c>
      <c r="Z372">
        <v>1.22303414595754</v>
      </c>
      <c r="AA372">
        <v>184.63</v>
      </c>
      <c r="AB372">
        <v>1.2502640410938</v>
      </c>
      <c r="AC372">
        <v>184.63</v>
      </c>
      <c r="AD372">
        <v>1.25902980098704</v>
      </c>
      <c r="AE372">
        <v>184.63</v>
      </c>
      <c r="AF372">
        <v>1.19174834256324</v>
      </c>
    </row>
    <row r="373" spans="23:32">
      <c r="W373">
        <v>185.129</v>
      </c>
      <c r="X373">
        <v>1.2143522128304</v>
      </c>
      <c r="Y373">
        <v>185.129</v>
      </c>
      <c r="Z373">
        <v>1.22886978161365</v>
      </c>
      <c r="AA373">
        <v>185.129</v>
      </c>
      <c r="AB373">
        <v>1.24261279849972</v>
      </c>
      <c r="AC373">
        <v>185.129</v>
      </c>
      <c r="AD373">
        <v>1.25913345688996</v>
      </c>
      <c r="AE373">
        <v>185.129</v>
      </c>
      <c r="AF373">
        <v>1.19261478207195</v>
      </c>
    </row>
    <row r="374" spans="23:32">
      <c r="W374">
        <v>185.628</v>
      </c>
      <c r="X374">
        <v>1.21739965150788</v>
      </c>
      <c r="Y374">
        <v>185.628</v>
      </c>
      <c r="Z374">
        <v>1.22764478150547</v>
      </c>
      <c r="AA374">
        <v>185.628</v>
      </c>
      <c r="AB374">
        <v>1.24630374103888</v>
      </c>
      <c r="AC374">
        <v>185.628</v>
      </c>
      <c r="AD374">
        <v>1.25832416209281</v>
      </c>
      <c r="AE374">
        <v>185.628</v>
      </c>
      <c r="AF374">
        <v>1.19889251796281</v>
      </c>
    </row>
    <row r="375" spans="23:32">
      <c r="W375">
        <v>186.127</v>
      </c>
      <c r="X375">
        <v>1.2125473207906</v>
      </c>
      <c r="Y375">
        <v>186.127</v>
      </c>
      <c r="Z375">
        <v>1.23072236103336</v>
      </c>
      <c r="AA375">
        <v>186.127</v>
      </c>
      <c r="AB375">
        <v>1.25116568426711</v>
      </c>
      <c r="AC375">
        <v>186.127</v>
      </c>
      <c r="AD375">
        <v>1.26818056377391</v>
      </c>
      <c r="AE375">
        <v>186.127</v>
      </c>
      <c r="AF375">
        <v>1.19298638237087</v>
      </c>
    </row>
    <row r="376" spans="23:32">
      <c r="W376">
        <v>186.626</v>
      </c>
      <c r="X376">
        <v>1.21642616029778</v>
      </c>
      <c r="Y376">
        <v>186.626</v>
      </c>
      <c r="Z376">
        <v>1.23263145233901</v>
      </c>
      <c r="AA376">
        <v>186.626</v>
      </c>
      <c r="AB376">
        <v>1.24252447759353</v>
      </c>
      <c r="AC376">
        <v>186.626</v>
      </c>
      <c r="AD376">
        <v>1.2562881230745</v>
      </c>
      <c r="AE376">
        <v>186.626</v>
      </c>
      <c r="AF376">
        <v>1.19079679826459</v>
      </c>
    </row>
    <row r="377" spans="23:32">
      <c r="W377">
        <v>187.125</v>
      </c>
      <c r="X377">
        <v>1.21058383727442</v>
      </c>
      <c r="Y377">
        <v>187.125</v>
      </c>
      <c r="Z377">
        <v>1.2239176687807</v>
      </c>
      <c r="AA377">
        <v>187.125</v>
      </c>
      <c r="AB377">
        <v>1.24076477880702</v>
      </c>
      <c r="AC377">
        <v>187.125</v>
      </c>
      <c r="AD377">
        <v>1.26036310121249</v>
      </c>
      <c r="AE377">
        <v>187.125</v>
      </c>
      <c r="AF377">
        <v>1.19378082701703</v>
      </c>
    </row>
    <row r="378" spans="23:32">
      <c r="W378">
        <v>187.624</v>
      </c>
      <c r="X378">
        <v>1.21600023465579</v>
      </c>
      <c r="Y378">
        <v>187.624</v>
      </c>
      <c r="Z378">
        <v>1.23361605661563</v>
      </c>
      <c r="AA378">
        <v>187.624</v>
      </c>
      <c r="AB378">
        <v>1.24043486715633</v>
      </c>
      <c r="AC378">
        <v>187.624</v>
      </c>
      <c r="AD378">
        <v>1.2537447631726</v>
      </c>
      <c r="AE378">
        <v>187.624</v>
      </c>
      <c r="AF378">
        <v>1.19639304923516</v>
      </c>
    </row>
    <row r="379" spans="23:32">
      <c r="W379">
        <v>188.123</v>
      </c>
      <c r="X379">
        <v>1.22503553880372</v>
      </c>
      <c r="Y379">
        <v>188.123</v>
      </c>
      <c r="Z379">
        <v>1.2335784304013</v>
      </c>
      <c r="AA379">
        <v>188.123</v>
      </c>
      <c r="AB379">
        <v>1.24603797127677</v>
      </c>
      <c r="AC379">
        <v>188.123</v>
      </c>
      <c r="AD379">
        <v>1.26168695390794</v>
      </c>
      <c r="AE379">
        <v>188.123</v>
      </c>
      <c r="AF379">
        <v>1.19634331629483</v>
      </c>
    </row>
    <row r="380" spans="23:32">
      <c r="W380">
        <v>188.622</v>
      </c>
      <c r="X380">
        <v>1.22163316187822</v>
      </c>
      <c r="Y380">
        <v>188.622</v>
      </c>
      <c r="Z380">
        <v>1.23101430590444</v>
      </c>
      <c r="AA380">
        <v>188.622</v>
      </c>
      <c r="AB380">
        <v>1.24288833673424</v>
      </c>
      <c r="AC380">
        <v>188.622</v>
      </c>
      <c r="AD380">
        <v>1.26013262178077</v>
      </c>
      <c r="AE380">
        <v>188.622</v>
      </c>
      <c r="AF380">
        <v>1.1951592797793</v>
      </c>
    </row>
    <row r="381" spans="23:32">
      <c r="W381">
        <v>189.121</v>
      </c>
      <c r="X381">
        <v>1.21757906756647</v>
      </c>
      <c r="Y381">
        <v>189.121</v>
      </c>
      <c r="Z381">
        <v>1.2330272744703</v>
      </c>
      <c r="AA381">
        <v>189.121</v>
      </c>
      <c r="AB381">
        <v>1.23778316983367</v>
      </c>
      <c r="AC381">
        <v>189.121</v>
      </c>
      <c r="AD381">
        <v>1.26306968700232</v>
      </c>
      <c r="AE381">
        <v>189.121</v>
      </c>
      <c r="AF381">
        <v>1.18791229417354</v>
      </c>
    </row>
    <row r="382" spans="23:32">
      <c r="W382">
        <v>189.62</v>
      </c>
      <c r="X382">
        <v>1.21277497252428</v>
      </c>
      <c r="Y382">
        <v>189.62</v>
      </c>
      <c r="Z382">
        <v>1.24052672515426</v>
      </c>
      <c r="AA382">
        <v>189.62</v>
      </c>
      <c r="AB382">
        <v>1.23677524732124</v>
      </c>
      <c r="AC382">
        <v>189.62</v>
      </c>
      <c r="AD382">
        <v>1.25736243602142</v>
      </c>
      <c r="AE382">
        <v>189.62</v>
      </c>
      <c r="AF382">
        <v>1.18481148458187</v>
      </c>
    </row>
    <row r="383" spans="23:32">
      <c r="W383">
        <v>190.119</v>
      </c>
      <c r="X383">
        <v>1.21737020214532</v>
      </c>
      <c r="Y383">
        <v>190.119</v>
      </c>
      <c r="Z383">
        <v>1.23568362521972</v>
      </c>
      <c r="AA383">
        <v>190.119</v>
      </c>
      <c r="AB383">
        <v>1.23064660934616</v>
      </c>
      <c r="AC383">
        <v>190.119</v>
      </c>
      <c r="AD383">
        <v>1.25067994890912</v>
      </c>
      <c r="AE383">
        <v>190.119</v>
      </c>
      <c r="AF383">
        <v>1.18117900135488</v>
      </c>
    </row>
    <row r="384" spans="23:32">
      <c r="W384">
        <v>190.618</v>
      </c>
      <c r="X384">
        <v>1.21597187359476</v>
      </c>
      <c r="Y384">
        <v>190.618</v>
      </c>
      <c r="Z384">
        <v>1.23422420874705</v>
      </c>
      <c r="AA384">
        <v>190.618</v>
      </c>
      <c r="AB384">
        <v>1.24477505174019</v>
      </c>
      <c r="AC384">
        <v>190.618</v>
      </c>
      <c r="AD384">
        <v>1.26008397854614</v>
      </c>
      <c r="AE384">
        <v>190.618</v>
      </c>
      <c r="AF384">
        <v>1.18717508727427</v>
      </c>
    </row>
    <row r="385" spans="23:32">
      <c r="W385">
        <v>191.117</v>
      </c>
      <c r="X385">
        <v>1.21356189887955</v>
      </c>
      <c r="Y385">
        <v>191.117</v>
      </c>
      <c r="Z385">
        <v>1.21722922162865</v>
      </c>
      <c r="AA385">
        <v>191.117</v>
      </c>
      <c r="AB385">
        <v>1.24489264522698</v>
      </c>
      <c r="AC385">
        <v>191.117</v>
      </c>
      <c r="AD385">
        <v>1.25920892753111</v>
      </c>
      <c r="AE385">
        <v>191.117</v>
      </c>
      <c r="AF385">
        <v>1.1888154691991</v>
      </c>
    </row>
    <row r="386" spans="23:32">
      <c r="W386">
        <v>191.616</v>
      </c>
      <c r="X386">
        <v>1.2180983478766</v>
      </c>
      <c r="Y386">
        <v>191.616</v>
      </c>
      <c r="Z386">
        <v>1.22853394095947</v>
      </c>
      <c r="AA386">
        <v>191.616</v>
      </c>
      <c r="AB386">
        <v>1.24546965530165</v>
      </c>
      <c r="AC386">
        <v>191.616</v>
      </c>
      <c r="AD386">
        <v>1.25811572808849</v>
      </c>
      <c r="AE386">
        <v>191.616</v>
      </c>
      <c r="AF386">
        <v>1.19148608934948</v>
      </c>
    </row>
    <row r="387" spans="23:32">
      <c r="W387">
        <v>192.115</v>
      </c>
      <c r="X387">
        <v>1.21497778825457</v>
      </c>
      <c r="Y387">
        <v>192.115</v>
      </c>
      <c r="Z387">
        <v>1.22694832936</v>
      </c>
      <c r="AA387">
        <v>192.115</v>
      </c>
      <c r="AB387">
        <v>1.24058857242589</v>
      </c>
      <c r="AC387">
        <v>192.115</v>
      </c>
      <c r="AD387">
        <v>1.24355909735101</v>
      </c>
      <c r="AE387">
        <v>192.115</v>
      </c>
      <c r="AF387">
        <v>1.19022176870929</v>
      </c>
    </row>
    <row r="388" spans="23:32">
      <c r="W388">
        <v>192.614</v>
      </c>
      <c r="X388">
        <v>1.21926439308823</v>
      </c>
      <c r="Y388">
        <v>192.614</v>
      </c>
      <c r="Z388">
        <v>1.22525503611371</v>
      </c>
      <c r="AA388">
        <v>192.614</v>
      </c>
      <c r="AB388">
        <v>1.24730988893369</v>
      </c>
      <c r="AC388">
        <v>192.614</v>
      </c>
      <c r="AD388">
        <v>1.2490955396378</v>
      </c>
      <c r="AE388">
        <v>192.614</v>
      </c>
      <c r="AF388">
        <v>1.20372551849311</v>
      </c>
    </row>
    <row r="389" spans="23:32">
      <c r="W389">
        <v>193.113</v>
      </c>
      <c r="X389">
        <v>1.21076894264529</v>
      </c>
      <c r="Y389">
        <v>193.113</v>
      </c>
      <c r="Z389">
        <v>1.23086054547541</v>
      </c>
      <c r="AA389">
        <v>193.113</v>
      </c>
      <c r="AB389">
        <v>1.24955081365159</v>
      </c>
      <c r="AC389">
        <v>193.113</v>
      </c>
      <c r="AD389">
        <v>1.25577484328176</v>
      </c>
      <c r="AE389">
        <v>193.113</v>
      </c>
      <c r="AF389">
        <v>1.19293966774111</v>
      </c>
    </row>
    <row r="390" spans="23:32">
      <c r="W390">
        <v>193.612</v>
      </c>
      <c r="X390">
        <v>1.21727094395751</v>
      </c>
      <c r="Y390">
        <v>193.612</v>
      </c>
      <c r="Z390">
        <v>1.22397972878914</v>
      </c>
      <c r="AA390">
        <v>193.612</v>
      </c>
      <c r="AB390">
        <v>1.25075166238845</v>
      </c>
      <c r="AC390">
        <v>193.612</v>
      </c>
      <c r="AD390">
        <v>1.25902634881004</v>
      </c>
      <c r="AE390">
        <v>193.612</v>
      </c>
      <c r="AF390">
        <v>1.1859328504492</v>
      </c>
    </row>
    <row r="391" spans="23:32">
      <c r="W391">
        <v>194.111</v>
      </c>
      <c r="X391">
        <v>1.21961647822731</v>
      </c>
      <c r="Y391">
        <v>194.111</v>
      </c>
      <c r="Z391">
        <v>1.22570651529822</v>
      </c>
      <c r="AA391">
        <v>194.111</v>
      </c>
      <c r="AB391">
        <v>1.2473986201158</v>
      </c>
      <c r="AC391">
        <v>194.111</v>
      </c>
      <c r="AD391">
        <v>1.25423174120546</v>
      </c>
      <c r="AE391">
        <v>194.111</v>
      </c>
      <c r="AF391">
        <v>1.19655816324062</v>
      </c>
    </row>
    <row r="392" spans="23:32">
      <c r="W392">
        <v>194.61</v>
      </c>
      <c r="X392">
        <v>1.2183354256214</v>
      </c>
      <c r="Y392">
        <v>194.61</v>
      </c>
      <c r="Z392">
        <v>1.22582209247565</v>
      </c>
      <c r="AA392">
        <v>194.61</v>
      </c>
      <c r="AB392">
        <v>1.24678216585805</v>
      </c>
      <c r="AC392">
        <v>194.61</v>
      </c>
      <c r="AD392">
        <v>1.25224776160282</v>
      </c>
      <c r="AE392">
        <v>194.61</v>
      </c>
      <c r="AF392">
        <v>1.19373934750455</v>
      </c>
    </row>
    <row r="393" spans="23:32">
      <c r="W393">
        <v>195.109</v>
      </c>
      <c r="X393">
        <v>1.22161568287142</v>
      </c>
      <c r="Y393">
        <v>195.109</v>
      </c>
      <c r="Z393">
        <v>1.22232119829082</v>
      </c>
      <c r="AA393">
        <v>195.109</v>
      </c>
      <c r="AB393">
        <v>1.25297393870954</v>
      </c>
      <c r="AC393">
        <v>195.109</v>
      </c>
      <c r="AD393">
        <v>1.2567839194655</v>
      </c>
      <c r="AE393">
        <v>195.109</v>
      </c>
      <c r="AF393">
        <v>1.19026851759332</v>
      </c>
    </row>
    <row r="394" spans="23:32">
      <c r="W394">
        <v>195.608</v>
      </c>
      <c r="X394">
        <v>1.22429241333948</v>
      </c>
      <c r="Y394">
        <v>195.608</v>
      </c>
      <c r="Z394">
        <v>1.22904043764686</v>
      </c>
      <c r="AA394">
        <v>195.608</v>
      </c>
      <c r="AB394">
        <v>1.24075002369289</v>
      </c>
      <c r="AC394">
        <v>195.608</v>
      </c>
      <c r="AD394">
        <v>1.25234527229007</v>
      </c>
      <c r="AE394">
        <v>195.608</v>
      </c>
      <c r="AF394">
        <v>1.18716399985657</v>
      </c>
    </row>
    <row r="395" spans="23:32">
      <c r="W395">
        <v>196.107</v>
      </c>
      <c r="X395">
        <v>1.21764227997717</v>
      </c>
      <c r="Y395">
        <v>196.107</v>
      </c>
      <c r="Z395">
        <v>1.23438684979492</v>
      </c>
      <c r="AA395">
        <v>196.107</v>
      </c>
      <c r="AB395">
        <v>1.2394027245535</v>
      </c>
      <c r="AC395">
        <v>196.107</v>
      </c>
      <c r="AD395">
        <v>1.26831291103016</v>
      </c>
      <c r="AE395">
        <v>196.107</v>
      </c>
      <c r="AF395">
        <v>1.20061279611178</v>
      </c>
    </row>
    <row r="396" spans="23:32">
      <c r="W396">
        <v>196.606</v>
      </c>
      <c r="X396">
        <v>1.21646424047214</v>
      </c>
      <c r="Y396">
        <v>196.606</v>
      </c>
      <c r="Z396">
        <v>1.22870154317159</v>
      </c>
      <c r="AA396">
        <v>196.606</v>
      </c>
      <c r="AB396">
        <v>1.23791737231403</v>
      </c>
      <c r="AC396">
        <v>196.606</v>
      </c>
      <c r="AD396">
        <v>1.25689833940214</v>
      </c>
      <c r="AE396">
        <v>196.606</v>
      </c>
      <c r="AF396">
        <v>1.20099287028707</v>
      </c>
    </row>
    <row r="397" spans="23:32">
      <c r="W397">
        <v>197.105</v>
      </c>
      <c r="X397">
        <v>1.21212087299991</v>
      </c>
      <c r="Y397">
        <v>197.105</v>
      </c>
      <c r="Z397">
        <v>1.23867854485693</v>
      </c>
      <c r="AA397">
        <v>197.105</v>
      </c>
      <c r="AB397">
        <v>1.24692037271443</v>
      </c>
      <c r="AC397">
        <v>197.105</v>
      </c>
      <c r="AD397">
        <v>1.24921535168011</v>
      </c>
      <c r="AE397">
        <v>197.105</v>
      </c>
      <c r="AF397">
        <v>1.19293135087338</v>
      </c>
    </row>
    <row r="398" spans="23:32">
      <c r="W398">
        <v>197.604</v>
      </c>
      <c r="X398">
        <v>1.21799281158932</v>
      </c>
      <c r="Y398">
        <v>197.604</v>
      </c>
      <c r="Z398">
        <v>1.22026077402929</v>
      </c>
      <c r="AA398">
        <v>197.604</v>
      </c>
      <c r="AB398">
        <v>1.2414612029526</v>
      </c>
      <c r="AC398">
        <v>197.604</v>
      </c>
      <c r="AD398">
        <v>1.25379746884258</v>
      </c>
      <c r="AE398">
        <v>197.604</v>
      </c>
      <c r="AF398">
        <v>1.19233847018038</v>
      </c>
    </row>
    <row r="399" spans="23:32">
      <c r="W399">
        <v>198.103</v>
      </c>
      <c r="X399">
        <v>1.2222922485229</v>
      </c>
      <c r="Y399">
        <v>198.103</v>
      </c>
      <c r="Z399">
        <v>1.22247673201917</v>
      </c>
      <c r="AA399">
        <v>198.103</v>
      </c>
      <c r="AB399">
        <v>1.23977153773434</v>
      </c>
      <c r="AC399">
        <v>198.103</v>
      </c>
      <c r="AD399">
        <v>1.25899510687638</v>
      </c>
      <c r="AE399">
        <v>198.103</v>
      </c>
      <c r="AF399">
        <v>1.19732082575378</v>
      </c>
    </row>
    <row r="400" spans="23:32">
      <c r="W400">
        <v>198.602</v>
      </c>
      <c r="X400">
        <v>1.22513986171675</v>
      </c>
      <c r="Y400">
        <v>198.602</v>
      </c>
      <c r="Z400">
        <v>1.22071116522331</v>
      </c>
      <c r="AA400">
        <v>198.602</v>
      </c>
      <c r="AB400">
        <v>1.24017059171295</v>
      </c>
      <c r="AC400">
        <v>198.602</v>
      </c>
      <c r="AD400">
        <v>1.25006403052169</v>
      </c>
      <c r="AE400">
        <v>198.602</v>
      </c>
      <c r="AF400">
        <v>1.1986506639445</v>
      </c>
    </row>
    <row r="401" spans="23:32">
      <c r="W401">
        <v>199.101</v>
      </c>
      <c r="X401">
        <v>1.22479533095047</v>
      </c>
      <c r="Y401">
        <v>199.101</v>
      </c>
      <c r="Z401">
        <v>1.22536151944844</v>
      </c>
      <c r="AA401">
        <v>199.101</v>
      </c>
      <c r="AB401">
        <v>1.25082796758672</v>
      </c>
      <c r="AC401">
        <v>199.101</v>
      </c>
      <c r="AD401">
        <v>1.25853037565289</v>
      </c>
      <c r="AE401">
        <v>199.101</v>
      </c>
      <c r="AF401">
        <v>1.19317237846604</v>
      </c>
    </row>
    <row r="402" spans="23:32">
      <c r="W402">
        <v>199.6</v>
      </c>
      <c r="X402">
        <v>1.21552793558546</v>
      </c>
      <c r="Y402">
        <v>199.6</v>
      </c>
      <c r="Z402">
        <v>1.23553133407698</v>
      </c>
      <c r="AA402">
        <v>199.6</v>
      </c>
      <c r="AB402">
        <v>1.24732924473224</v>
      </c>
      <c r="AC402">
        <v>199.6</v>
      </c>
      <c r="AD402">
        <v>1.26822143460336</v>
      </c>
      <c r="AE402">
        <v>199.6</v>
      </c>
      <c r="AF402">
        <v>1.19715035225554</v>
      </c>
    </row>
    <row r="403" spans="23:32">
      <c r="W403">
        <v>200.099</v>
      </c>
      <c r="X403">
        <v>1.21263692426365</v>
      </c>
      <c r="Y403">
        <v>200.099</v>
      </c>
      <c r="Z403">
        <v>1.22894687505137</v>
      </c>
      <c r="AA403">
        <v>200.099</v>
      </c>
      <c r="AB403">
        <v>1.24474524872046</v>
      </c>
      <c r="AC403">
        <v>200.099</v>
      </c>
      <c r="AD403">
        <v>1.26480154069368</v>
      </c>
      <c r="AE403">
        <v>200.099</v>
      </c>
      <c r="AF403">
        <v>1.19568486439426</v>
      </c>
    </row>
    <row r="404" spans="23:32">
      <c r="W404">
        <v>200.598</v>
      </c>
      <c r="X404">
        <v>1.2169690154141</v>
      </c>
      <c r="Y404">
        <v>200.598</v>
      </c>
      <c r="Z404">
        <v>1.23222001083976</v>
      </c>
      <c r="AA404">
        <v>200.598</v>
      </c>
      <c r="AB404">
        <v>1.23685598500423</v>
      </c>
      <c r="AC404">
        <v>200.598</v>
      </c>
      <c r="AD404">
        <v>1.25587341118298</v>
      </c>
      <c r="AE404">
        <v>200.598</v>
      </c>
      <c r="AF404">
        <v>1.19260634087701</v>
      </c>
    </row>
    <row r="405" spans="23:32">
      <c r="W405">
        <v>201.097</v>
      </c>
      <c r="X405">
        <v>1.21383588252888</v>
      </c>
      <c r="Y405">
        <v>201.097</v>
      </c>
      <c r="Z405">
        <v>1.2292998258846</v>
      </c>
      <c r="AA405">
        <v>201.097</v>
      </c>
      <c r="AB405">
        <v>1.25365388513472</v>
      </c>
      <c r="AC405">
        <v>201.097</v>
      </c>
      <c r="AD405">
        <v>1.25853896676729</v>
      </c>
      <c r="AE405">
        <v>201.097</v>
      </c>
      <c r="AF405">
        <v>1.18943497740632</v>
      </c>
    </row>
    <row r="406" spans="23:32">
      <c r="W406">
        <v>201.596</v>
      </c>
      <c r="X406">
        <v>1.21487481746904</v>
      </c>
      <c r="Y406">
        <v>201.596</v>
      </c>
      <c r="Z406">
        <v>1.23450669987267</v>
      </c>
      <c r="AA406">
        <v>201.596</v>
      </c>
      <c r="AB406">
        <v>1.23985424390314</v>
      </c>
      <c r="AC406">
        <v>201.596</v>
      </c>
      <c r="AD406">
        <v>1.25628986767192</v>
      </c>
      <c r="AE406">
        <v>201.596</v>
      </c>
      <c r="AF406">
        <v>1.19548319294543</v>
      </c>
    </row>
    <row r="407" spans="23:32">
      <c r="W407">
        <v>202.095</v>
      </c>
      <c r="X407">
        <v>1.21882916110213</v>
      </c>
      <c r="Y407">
        <v>202.095</v>
      </c>
      <c r="Z407">
        <v>1.2335341723028</v>
      </c>
      <c r="AA407">
        <v>202.095</v>
      </c>
      <c r="AB407">
        <v>1.24077111019829</v>
      </c>
      <c r="AC407">
        <v>202.095</v>
      </c>
      <c r="AD407">
        <v>1.26501441108025</v>
      </c>
      <c r="AE407">
        <v>202.095</v>
      </c>
      <c r="AF407">
        <v>1.19113255358189</v>
      </c>
    </row>
    <row r="408" spans="23:32">
      <c r="W408">
        <v>202.594</v>
      </c>
      <c r="X408">
        <v>1.21996429529917</v>
      </c>
      <c r="Y408">
        <v>202.594</v>
      </c>
      <c r="Z408">
        <v>1.23723776931232</v>
      </c>
      <c r="AA408">
        <v>202.594</v>
      </c>
      <c r="AB408">
        <v>1.24360871757162</v>
      </c>
      <c r="AC408">
        <v>202.594</v>
      </c>
      <c r="AD408">
        <v>1.25659917131779</v>
      </c>
      <c r="AE408">
        <v>202.594</v>
      </c>
      <c r="AF408">
        <v>1.19658570864051</v>
      </c>
    </row>
    <row r="409" spans="23:32">
      <c r="W409">
        <v>203.093</v>
      </c>
      <c r="X409">
        <v>1.2218918774625</v>
      </c>
      <c r="Y409">
        <v>203.093</v>
      </c>
      <c r="Z409">
        <v>1.23657124548634</v>
      </c>
      <c r="AA409">
        <v>203.093</v>
      </c>
      <c r="AB409">
        <v>1.2451350693879</v>
      </c>
      <c r="AC409">
        <v>203.093</v>
      </c>
      <c r="AD409">
        <v>1.25291486734407</v>
      </c>
      <c r="AE409">
        <v>203.093</v>
      </c>
      <c r="AF409">
        <v>1.19797736533285</v>
      </c>
    </row>
    <row r="410" spans="23:32">
      <c r="W410">
        <v>203.592</v>
      </c>
      <c r="X410">
        <v>1.23041119832621</v>
      </c>
      <c r="Y410">
        <v>203.592</v>
      </c>
      <c r="Z410">
        <v>1.23668218449229</v>
      </c>
      <c r="AA410">
        <v>203.592</v>
      </c>
      <c r="AB410">
        <v>1.24997813870675</v>
      </c>
      <c r="AC410">
        <v>203.592</v>
      </c>
      <c r="AD410">
        <v>1.25641375504625</v>
      </c>
      <c r="AE410">
        <v>203.592</v>
      </c>
      <c r="AF410">
        <v>1.19087370326514</v>
      </c>
    </row>
    <row r="411" spans="23:32">
      <c r="W411">
        <v>204.091</v>
      </c>
      <c r="X411">
        <v>1.2171487695873</v>
      </c>
      <c r="Y411">
        <v>204.091</v>
      </c>
      <c r="Z411">
        <v>1.23504730162178</v>
      </c>
      <c r="AA411">
        <v>204.091</v>
      </c>
      <c r="AB411">
        <v>1.24688248583941</v>
      </c>
      <c r="AC411">
        <v>204.091</v>
      </c>
      <c r="AD411">
        <v>1.26382017674798</v>
      </c>
      <c r="AE411">
        <v>204.091</v>
      </c>
      <c r="AF411">
        <v>1.19383635843597</v>
      </c>
    </row>
    <row r="412" spans="23:32">
      <c r="W412">
        <v>204.59</v>
      </c>
      <c r="X412">
        <v>1.22060591160023</v>
      </c>
      <c r="Y412">
        <v>204.59</v>
      </c>
      <c r="Z412">
        <v>1.23666980441937</v>
      </c>
      <c r="AA412">
        <v>204.59</v>
      </c>
      <c r="AB412">
        <v>1.24809039188203</v>
      </c>
      <c r="AC412">
        <v>204.59</v>
      </c>
      <c r="AD412">
        <v>1.25592520404513</v>
      </c>
      <c r="AE412">
        <v>204.59</v>
      </c>
      <c r="AF412">
        <v>1.20019878738434</v>
      </c>
    </row>
    <row r="413" spans="23:32">
      <c r="W413">
        <v>205.089</v>
      </c>
      <c r="X413">
        <v>1.21785011509737</v>
      </c>
      <c r="Y413">
        <v>205.089</v>
      </c>
      <c r="Z413">
        <v>1.2383314726351</v>
      </c>
      <c r="AA413">
        <v>205.089</v>
      </c>
      <c r="AB413">
        <v>1.2514707272592</v>
      </c>
      <c r="AC413">
        <v>205.089</v>
      </c>
      <c r="AD413">
        <v>1.2566574726089</v>
      </c>
      <c r="AE413">
        <v>205.089</v>
      </c>
      <c r="AF413">
        <v>1.20440867801287</v>
      </c>
    </row>
    <row r="414" spans="23:32">
      <c r="W414">
        <v>205.588</v>
      </c>
      <c r="X414">
        <v>1.21571712594375</v>
      </c>
      <c r="Y414">
        <v>205.588</v>
      </c>
      <c r="Z414">
        <v>1.24675588441212</v>
      </c>
      <c r="AA414">
        <v>205.588</v>
      </c>
      <c r="AB414">
        <v>1.24668842103624</v>
      </c>
      <c r="AC414">
        <v>205.588</v>
      </c>
      <c r="AD414">
        <v>1.25217688623538</v>
      </c>
      <c r="AE414">
        <v>205.588</v>
      </c>
      <c r="AF414">
        <v>1.19906807799566</v>
      </c>
    </row>
    <row r="415" spans="23:32">
      <c r="W415">
        <v>206.087</v>
      </c>
      <c r="X415">
        <v>1.21776379776448</v>
      </c>
      <c r="Y415">
        <v>206.087</v>
      </c>
      <c r="Z415">
        <v>1.23238723615857</v>
      </c>
      <c r="AA415">
        <v>206.087</v>
      </c>
      <c r="AB415">
        <v>1.24234918313995</v>
      </c>
      <c r="AC415">
        <v>206.087</v>
      </c>
      <c r="AD415">
        <v>1.25862116718885</v>
      </c>
      <c r="AE415">
        <v>206.087</v>
      </c>
      <c r="AF415">
        <v>1.1969570696988</v>
      </c>
    </row>
    <row r="416" spans="23:32">
      <c r="W416">
        <v>206.586</v>
      </c>
      <c r="X416">
        <v>1.21268099427274</v>
      </c>
      <c r="Y416">
        <v>206.586</v>
      </c>
      <c r="Z416">
        <v>1.23650618003648</v>
      </c>
      <c r="AA416">
        <v>206.586</v>
      </c>
      <c r="AB416">
        <v>1.25006677947575</v>
      </c>
      <c r="AC416">
        <v>206.586</v>
      </c>
      <c r="AD416">
        <v>1.24757230333251</v>
      </c>
      <c r="AE416">
        <v>206.586</v>
      </c>
      <c r="AF416">
        <v>1.18139781015064</v>
      </c>
    </row>
    <row r="417" spans="23:32">
      <c r="W417">
        <v>207.085</v>
      </c>
      <c r="X417">
        <v>1.21861647282266</v>
      </c>
      <c r="Y417">
        <v>207.085</v>
      </c>
      <c r="Z417">
        <v>1.24353535096068</v>
      </c>
      <c r="AA417">
        <v>207.085</v>
      </c>
      <c r="AB417">
        <v>1.25559432241477</v>
      </c>
      <c r="AC417">
        <v>207.085</v>
      </c>
      <c r="AD417">
        <v>1.25772880434987</v>
      </c>
      <c r="AE417">
        <v>207.085</v>
      </c>
      <c r="AF417">
        <v>1.19200449622585</v>
      </c>
    </row>
    <row r="418" spans="23:32">
      <c r="W418">
        <v>207.584</v>
      </c>
      <c r="X418">
        <v>1.21880510092296</v>
      </c>
      <c r="Y418">
        <v>207.584</v>
      </c>
      <c r="Z418">
        <v>1.2359693664831</v>
      </c>
      <c r="AA418">
        <v>207.584</v>
      </c>
      <c r="AB418">
        <v>1.25448887696945</v>
      </c>
      <c r="AC418">
        <v>207.584</v>
      </c>
      <c r="AD418">
        <v>1.25919959896556</v>
      </c>
      <c r="AE418">
        <v>207.584</v>
      </c>
      <c r="AF418">
        <v>1.19831378221554</v>
      </c>
    </row>
    <row r="419" spans="23:32">
      <c r="W419">
        <v>208.083</v>
      </c>
      <c r="X419">
        <v>1.22419094373124</v>
      </c>
      <c r="Y419">
        <v>208.083</v>
      </c>
      <c r="Z419">
        <v>1.23291256076432</v>
      </c>
      <c r="AA419">
        <v>208.083</v>
      </c>
      <c r="AB419">
        <v>1.25818372723739</v>
      </c>
      <c r="AC419">
        <v>208.083</v>
      </c>
      <c r="AD419">
        <v>1.25518064764064</v>
      </c>
      <c r="AE419">
        <v>208.083</v>
      </c>
      <c r="AF419">
        <v>1.19448634799608</v>
      </c>
    </row>
    <row r="420" spans="23:32">
      <c r="W420">
        <v>208.582</v>
      </c>
      <c r="X420">
        <v>1.21745871640239</v>
      </c>
      <c r="Y420">
        <v>208.582</v>
      </c>
      <c r="Z420">
        <v>1.23693836574658</v>
      </c>
      <c r="AA420">
        <v>208.582</v>
      </c>
      <c r="AB420">
        <v>1.24527891301988</v>
      </c>
      <c r="AC420">
        <v>208.582</v>
      </c>
      <c r="AD420">
        <v>1.26001833746564</v>
      </c>
      <c r="AE420">
        <v>208.582</v>
      </c>
      <c r="AF420">
        <v>1.20290271473322</v>
      </c>
    </row>
    <row r="421" spans="23:32">
      <c r="W421">
        <v>209.081</v>
      </c>
      <c r="X421">
        <v>1.21939929351494</v>
      </c>
      <c r="Y421">
        <v>209.081</v>
      </c>
      <c r="Z421">
        <v>1.23175022952358</v>
      </c>
      <c r="AA421">
        <v>209.081</v>
      </c>
      <c r="AB421">
        <v>1.2521188706715</v>
      </c>
      <c r="AC421">
        <v>209.081</v>
      </c>
      <c r="AD421">
        <v>1.25233076244023</v>
      </c>
      <c r="AE421">
        <v>209.081</v>
      </c>
      <c r="AF421">
        <v>1.19812816274142</v>
      </c>
    </row>
    <row r="422" spans="23:32">
      <c r="W422">
        <v>209.58</v>
      </c>
      <c r="X422">
        <v>1.22010513300828</v>
      </c>
      <c r="Y422">
        <v>209.58</v>
      </c>
      <c r="Z422">
        <v>1.23409386641076</v>
      </c>
      <c r="AA422">
        <v>209.58</v>
      </c>
      <c r="AB422">
        <v>1.25481508790505</v>
      </c>
      <c r="AC422">
        <v>209.58</v>
      </c>
      <c r="AD422">
        <v>1.26672477266117</v>
      </c>
      <c r="AE422">
        <v>209.58</v>
      </c>
      <c r="AF422">
        <v>1.19458737649495</v>
      </c>
    </row>
    <row r="423" spans="23:32">
      <c r="W423">
        <v>210.079</v>
      </c>
      <c r="X423">
        <v>1.21976900877105</v>
      </c>
      <c r="Y423">
        <v>210.079</v>
      </c>
      <c r="Z423">
        <v>1.22999642325785</v>
      </c>
      <c r="AA423">
        <v>210.079</v>
      </c>
      <c r="AB423">
        <v>1.25537146896484</v>
      </c>
      <c r="AC423">
        <v>210.079</v>
      </c>
      <c r="AD423">
        <v>1.26320022937069</v>
      </c>
      <c r="AE423">
        <v>210.079</v>
      </c>
      <c r="AF423">
        <v>1.19078142606982</v>
      </c>
    </row>
    <row r="424" spans="23:32">
      <c r="W424">
        <v>210.578</v>
      </c>
      <c r="X424">
        <v>1.22151543868628</v>
      </c>
      <c r="Y424">
        <v>210.578</v>
      </c>
      <c r="Z424">
        <v>1.23986827959977</v>
      </c>
      <c r="AA424">
        <v>210.578</v>
      </c>
      <c r="AB424">
        <v>1.25722847350968</v>
      </c>
      <c r="AC424">
        <v>210.578</v>
      </c>
      <c r="AD424">
        <v>1.26353530341154</v>
      </c>
      <c r="AE424">
        <v>210.578</v>
      </c>
      <c r="AF424">
        <v>1.20130856684947</v>
      </c>
    </row>
    <row r="425" spans="23:32">
      <c r="W425">
        <v>211.077</v>
      </c>
      <c r="X425">
        <v>1.21946369598536</v>
      </c>
      <c r="Y425">
        <v>211.077</v>
      </c>
      <c r="Z425">
        <v>1.23293274948802</v>
      </c>
      <c r="AA425">
        <v>211.077</v>
      </c>
      <c r="AB425">
        <v>1.2549328917136</v>
      </c>
      <c r="AC425">
        <v>211.077</v>
      </c>
      <c r="AD425">
        <v>1.25496678656781</v>
      </c>
      <c r="AE425">
        <v>211.077</v>
      </c>
      <c r="AF425">
        <v>1.19381767264483</v>
      </c>
    </row>
    <row r="426" spans="23:32">
      <c r="W426">
        <v>211.576</v>
      </c>
      <c r="X426">
        <v>1.21282119449267</v>
      </c>
      <c r="Y426">
        <v>211.576</v>
      </c>
      <c r="Z426">
        <v>1.23898390827332</v>
      </c>
      <c r="AA426">
        <v>211.576</v>
      </c>
      <c r="AB426">
        <v>1.24694647476338</v>
      </c>
      <c r="AC426">
        <v>211.576</v>
      </c>
      <c r="AD426">
        <v>1.26396281043468</v>
      </c>
      <c r="AE426">
        <v>211.576</v>
      </c>
      <c r="AF426">
        <v>1.19061325116286</v>
      </c>
    </row>
    <row r="427" spans="23:32">
      <c r="W427">
        <v>212.075</v>
      </c>
      <c r="X427">
        <v>1.21224713621581</v>
      </c>
      <c r="Y427">
        <v>212.075</v>
      </c>
      <c r="Z427">
        <v>1.22880761332443</v>
      </c>
      <c r="AA427">
        <v>212.075</v>
      </c>
      <c r="AB427">
        <v>1.24637809636304</v>
      </c>
      <c r="AC427">
        <v>212.075</v>
      </c>
      <c r="AD427">
        <v>1.26408908447926</v>
      </c>
      <c r="AE427">
        <v>212.075</v>
      </c>
      <c r="AF427">
        <v>1.1819662955956</v>
      </c>
    </row>
    <row r="428" spans="23:32">
      <c r="W428">
        <v>212.574</v>
      </c>
      <c r="X428">
        <v>1.21315998754603</v>
      </c>
      <c r="Y428">
        <v>212.574</v>
      </c>
      <c r="Z428">
        <v>1.24066037455213</v>
      </c>
      <c r="AA428">
        <v>212.574</v>
      </c>
      <c r="AB428">
        <v>1.24935432783876</v>
      </c>
      <c r="AC428">
        <v>212.574</v>
      </c>
      <c r="AD428">
        <v>1.26363421634451</v>
      </c>
      <c r="AE428">
        <v>212.574</v>
      </c>
      <c r="AF428">
        <v>1.19156613010054</v>
      </c>
    </row>
    <row r="429" spans="23:32">
      <c r="W429">
        <v>213.073</v>
      </c>
      <c r="X429">
        <v>1.2154375392972</v>
      </c>
      <c r="Y429">
        <v>213.073</v>
      </c>
      <c r="Z429">
        <v>1.23601193839871</v>
      </c>
      <c r="AA429">
        <v>213.073</v>
      </c>
      <c r="AB429">
        <v>1.25129139989627</v>
      </c>
      <c r="AC429">
        <v>213.073</v>
      </c>
      <c r="AD429">
        <v>1.26269733365665</v>
      </c>
      <c r="AE429">
        <v>213.073</v>
      </c>
      <c r="AF429">
        <v>1.19510646677562</v>
      </c>
    </row>
    <row r="430" spans="23:32">
      <c r="W430">
        <v>213.572</v>
      </c>
      <c r="X430">
        <v>1.21787467655529</v>
      </c>
      <c r="Y430">
        <v>213.572</v>
      </c>
      <c r="Z430">
        <v>1.22912181792437</v>
      </c>
      <c r="AA430">
        <v>213.572</v>
      </c>
      <c r="AB430">
        <v>1.25071064881134</v>
      </c>
      <c r="AC430">
        <v>213.572</v>
      </c>
      <c r="AD430">
        <v>1.26519060200627</v>
      </c>
      <c r="AE430">
        <v>213.572</v>
      </c>
      <c r="AF430">
        <v>1.19145963599016</v>
      </c>
    </row>
    <row r="431" spans="23:32">
      <c r="W431">
        <v>214.071</v>
      </c>
      <c r="X431">
        <v>1.22052761059585</v>
      </c>
      <c r="Y431">
        <v>214.071</v>
      </c>
      <c r="Z431">
        <v>1.23813004503516</v>
      </c>
      <c r="AA431">
        <v>214.071</v>
      </c>
      <c r="AB431">
        <v>1.25686460924529</v>
      </c>
      <c r="AC431">
        <v>214.071</v>
      </c>
      <c r="AD431">
        <v>1.26243147588763</v>
      </c>
      <c r="AE431">
        <v>214.071</v>
      </c>
      <c r="AF431">
        <v>1.19150275022772</v>
      </c>
    </row>
    <row r="432" spans="23:32">
      <c r="W432">
        <v>214.57</v>
      </c>
      <c r="X432">
        <v>1.20604262033278</v>
      </c>
      <c r="Y432">
        <v>214.57</v>
      </c>
      <c r="Z432">
        <v>1.232959597637</v>
      </c>
      <c r="AA432">
        <v>214.57</v>
      </c>
      <c r="AB432">
        <v>1.25444751828306</v>
      </c>
      <c r="AC432">
        <v>214.57</v>
      </c>
      <c r="AD432">
        <v>1.25900689682813</v>
      </c>
      <c r="AE432">
        <v>214.57</v>
      </c>
      <c r="AF432">
        <v>1.1943333577498</v>
      </c>
    </row>
    <row r="433" spans="23:32">
      <c r="W433">
        <v>215.069</v>
      </c>
      <c r="X433">
        <v>1.2167827756601</v>
      </c>
      <c r="Y433">
        <v>215.069</v>
      </c>
      <c r="Z433">
        <v>1.23320951001321</v>
      </c>
      <c r="AA433">
        <v>215.069</v>
      </c>
      <c r="AB433">
        <v>1.24447258377659</v>
      </c>
      <c r="AC433">
        <v>215.069</v>
      </c>
      <c r="AD433">
        <v>1.26312239428929</v>
      </c>
      <c r="AE433">
        <v>215.069</v>
      </c>
      <c r="AF433">
        <v>1.19094227123137</v>
      </c>
    </row>
    <row r="434" spans="23:32">
      <c r="W434">
        <v>215.568</v>
      </c>
      <c r="X434">
        <v>1.21780436162188</v>
      </c>
      <c r="Y434">
        <v>215.568</v>
      </c>
      <c r="Z434">
        <v>1.22338123413107</v>
      </c>
      <c r="AA434">
        <v>215.568</v>
      </c>
      <c r="AB434">
        <v>1.24612766372632</v>
      </c>
      <c r="AC434">
        <v>215.568</v>
      </c>
      <c r="AD434">
        <v>1.26031418792556</v>
      </c>
      <c r="AE434">
        <v>215.568</v>
      </c>
      <c r="AF434">
        <v>1.18757470301113</v>
      </c>
    </row>
    <row r="435" spans="23:32">
      <c r="W435">
        <v>216.067</v>
      </c>
      <c r="X435">
        <v>1.21216245369885</v>
      </c>
      <c r="Y435">
        <v>216.067</v>
      </c>
      <c r="Z435">
        <v>1.22878058485399</v>
      </c>
      <c r="AA435">
        <v>216.067</v>
      </c>
      <c r="AB435">
        <v>1.24078917282977</v>
      </c>
      <c r="AC435">
        <v>216.067</v>
      </c>
      <c r="AD435">
        <v>1.26221220039481</v>
      </c>
      <c r="AE435">
        <v>216.067</v>
      </c>
      <c r="AF435">
        <v>1.18710422122091</v>
      </c>
    </row>
    <row r="436" spans="23:32">
      <c r="W436">
        <v>216.566</v>
      </c>
      <c r="X436">
        <v>1.22008380249568</v>
      </c>
      <c r="Y436">
        <v>216.566</v>
      </c>
      <c r="Z436">
        <v>1.23917057424611</v>
      </c>
      <c r="AA436">
        <v>216.566</v>
      </c>
      <c r="AB436">
        <v>1.24682214269365</v>
      </c>
      <c r="AC436">
        <v>216.566</v>
      </c>
      <c r="AD436">
        <v>1.2641522705673</v>
      </c>
      <c r="AE436">
        <v>216.566</v>
      </c>
      <c r="AF436">
        <v>1.18957143449319</v>
      </c>
    </row>
    <row r="437" spans="23:32">
      <c r="W437">
        <v>217.065</v>
      </c>
      <c r="X437">
        <v>1.21210368987355</v>
      </c>
      <c r="Y437">
        <v>217.065</v>
      </c>
      <c r="Z437">
        <v>1.2418676427611</v>
      </c>
      <c r="AA437">
        <v>217.065</v>
      </c>
      <c r="AB437">
        <v>1.24458225685406</v>
      </c>
      <c r="AC437">
        <v>217.065</v>
      </c>
      <c r="AD437">
        <v>1.26280965751071</v>
      </c>
      <c r="AE437">
        <v>217.065</v>
      </c>
      <c r="AF437">
        <v>1.18001210299094</v>
      </c>
    </row>
    <row r="438" spans="23:32">
      <c r="W438">
        <v>217.564</v>
      </c>
      <c r="X438">
        <v>1.21491519569372</v>
      </c>
      <c r="Y438">
        <v>217.564</v>
      </c>
      <c r="Z438">
        <v>1.24230203403734</v>
      </c>
      <c r="AA438">
        <v>217.564</v>
      </c>
      <c r="AB438">
        <v>1.24684283813547</v>
      </c>
      <c r="AC438">
        <v>217.564</v>
      </c>
      <c r="AD438">
        <v>1.25605266471013</v>
      </c>
      <c r="AE438">
        <v>217.564</v>
      </c>
      <c r="AF438">
        <v>1.19093180271973</v>
      </c>
    </row>
    <row r="439" spans="23:32">
      <c r="W439">
        <v>218.063</v>
      </c>
      <c r="X439">
        <v>1.20930883286463</v>
      </c>
      <c r="Y439">
        <v>218.063</v>
      </c>
      <c r="Z439">
        <v>1.23445518671176</v>
      </c>
      <c r="AA439">
        <v>218.063</v>
      </c>
      <c r="AB439">
        <v>1.23990289395528</v>
      </c>
      <c r="AC439">
        <v>218.063</v>
      </c>
      <c r="AD439">
        <v>1.25308811826426</v>
      </c>
      <c r="AE439">
        <v>218.063</v>
      </c>
      <c r="AF439">
        <v>1.19338418320022</v>
      </c>
    </row>
    <row r="440" spans="23:32">
      <c r="W440">
        <v>218.562</v>
      </c>
      <c r="X440">
        <v>1.21125613001577</v>
      </c>
      <c r="Y440">
        <v>218.562</v>
      </c>
      <c r="Z440">
        <v>1.24062593083028</v>
      </c>
      <c r="AA440">
        <v>218.562</v>
      </c>
      <c r="AB440">
        <v>1.24211401478591</v>
      </c>
      <c r="AC440">
        <v>218.562</v>
      </c>
      <c r="AD440">
        <v>1.25840650692952</v>
      </c>
      <c r="AE440">
        <v>218.562</v>
      </c>
      <c r="AF440">
        <v>1.19885314876596</v>
      </c>
    </row>
    <row r="441" spans="23:32">
      <c r="W441">
        <v>219.061</v>
      </c>
      <c r="X441">
        <v>1.21901795426512</v>
      </c>
      <c r="Y441">
        <v>219.061</v>
      </c>
      <c r="Z441">
        <v>1.23916735813658</v>
      </c>
      <c r="AA441">
        <v>219.061</v>
      </c>
      <c r="AB441">
        <v>1.2398200141358</v>
      </c>
      <c r="AC441">
        <v>219.061</v>
      </c>
      <c r="AD441">
        <v>1.2632596627544</v>
      </c>
      <c r="AE441">
        <v>219.061</v>
      </c>
      <c r="AF441">
        <v>1.19709492640201</v>
      </c>
    </row>
    <row r="442" spans="23:32">
      <c r="W442">
        <v>219.56</v>
      </c>
      <c r="X442">
        <v>1.21630465295728</v>
      </c>
      <c r="Y442">
        <v>219.56</v>
      </c>
      <c r="Z442">
        <v>1.23715668067012</v>
      </c>
      <c r="AA442">
        <v>219.56</v>
      </c>
      <c r="AB442">
        <v>1.25189034652219</v>
      </c>
      <c r="AC442">
        <v>219.56</v>
      </c>
      <c r="AD442">
        <v>1.26132151598534</v>
      </c>
      <c r="AE442">
        <v>219.56</v>
      </c>
      <c r="AF442">
        <v>1.1951731036164</v>
      </c>
    </row>
    <row r="443" spans="23:32">
      <c r="W443">
        <v>220.059</v>
      </c>
      <c r="X443">
        <v>1.20932643143477</v>
      </c>
      <c r="Y443">
        <v>220.059</v>
      </c>
      <c r="Z443">
        <v>1.23377051042885</v>
      </c>
      <c r="AA443">
        <v>220.059</v>
      </c>
      <c r="AB443">
        <v>1.2485367992889</v>
      </c>
      <c r="AC443">
        <v>220.059</v>
      </c>
      <c r="AD443">
        <v>1.26893183364888</v>
      </c>
      <c r="AE443">
        <v>220.059</v>
      </c>
      <c r="AF443">
        <v>1.19509855091834</v>
      </c>
    </row>
    <row r="444" spans="23:32">
      <c r="W444">
        <v>220.558</v>
      </c>
      <c r="X444">
        <v>1.22570690837519</v>
      </c>
      <c r="Y444">
        <v>220.558</v>
      </c>
      <c r="Z444">
        <v>1.22876959273336</v>
      </c>
      <c r="AA444">
        <v>220.558</v>
      </c>
      <c r="AB444">
        <v>1.24509927238041</v>
      </c>
      <c r="AC444">
        <v>220.558</v>
      </c>
      <c r="AD444">
        <v>1.26560792674806</v>
      </c>
      <c r="AE444">
        <v>220.558</v>
      </c>
      <c r="AF444">
        <v>1.18905351750001</v>
      </c>
    </row>
    <row r="445" spans="23:32">
      <c r="W445">
        <v>221.057</v>
      </c>
      <c r="X445">
        <v>1.22215271895804</v>
      </c>
      <c r="Y445">
        <v>221.057</v>
      </c>
      <c r="Z445">
        <v>1.23661408948964</v>
      </c>
      <c r="AA445">
        <v>221.057</v>
      </c>
      <c r="AB445">
        <v>1.24769859455938</v>
      </c>
      <c r="AC445">
        <v>221.057</v>
      </c>
      <c r="AD445">
        <v>1.26312409565562</v>
      </c>
      <c r="AE445">
        <v>221.057</v>
      </c>
      <c r="AF445">
        <v>1.1966102312547</v>
      </c>
    </row>
    <row r="446" spans="23:32">
      <c r="W446">
        <v>221.556</v>
      </c>
      <c r="X446">
        <v>1.22586902375122</v>
      </c>
      <c r="Y446">
        <v>221.556</v>
      </c>
      <c r="Z446">
        <v>1.23179076452531</v>
      </c>
      <c r="AA446">
        <v>221.556</v>
      </c>
      <c r="AB446">
        <v>1.25367205085643</v>
      </c>
      <c r="AC446">
        <v>221.556</v>
      </c>
      <c r="AD446">
        <v>1.25550498739802</v>
      </c>
      <c r="AE446">
        <v>221.556</v>
      </c>
      <c r="AF446">
        <v>1.20024440721255</v>
      </c>
    </row>
    <row r="447" spans="23:32">
      <c r="W447">
        <v>222.055</v>
      </c>
      <c r="X447">
        <v>1.21770547241748</v>
      </c>
      <c r="Y447">
        <v>222.055</v>
      </c>
      <c r="Z447">
        <v>1.23259852171021</v>
      </c>
      <c r="AA447">
        <v>222.055</v>
      </c>
      <c r="AB447">
        <v>1.24544085933237</v>
      </c>
      <c r="AC447">
        <v>222.055</v>
      </c>
      <c r="AD447">
        <v>1.2598499874905</v>
      </c>
      <c r="AE447">
        <v>222.055</v>
      </c>
      <c r="AF447">
        <v>1.19365002982849</v>
      </c>
    </row>
    <row r="448" spans="23:32">
      <c r="W448">
        <v>222.554</v>
      </c>
      <c r="X448">
        <v>1.2264626774665</v>
      </c>
      <c r="Y448">
        <v>222.554</v>
      </c>
      <c r="Z448">
        <v>1.23577720675009</v>
      </c>
      <c r="AA448">
        <v>222.554</v>
      </c>
      <c r="AB448">
        <v>1.24850165694191</v>
      </c>
      <c r="AC448">
        <v>222.554</v>
      </c>
      <c r="AD448">
        <v>1.26585991408998</v>
      </c>
      <c r="AE448">
        <v>222.554</v>
      </c>
      <c r="AF448">
        <v>1.19772130376328</v>
      </c>
    </row>
    <row r="449" spans="23:32">
      <c r="W449">
        <v>223.053</v>
      </c>
      <c r="X449">
        <v>1.2276562721121</v>
      </c>
      <c r="Y449">
        <v>223.053</v>
      </c>
      <c r="Z449">
        <v>1.22400559756242</v>
      </c>
      <c r="AA449">
        <v>223.053</v>
      </c>
      <c r="AB449">
        <v>1.25451103541803</v>
      </c>
      <c r="AC449">
        <v>223.053</v>
      </c>
      <c r="AD449">
        <v>1.26769541072936</v>
      </c>
      <c r="AE449">
        <v>223.053</v>
      </c>
      <c r="AF449">
        <v>1.20108320385233</v>
      </c>
    </row>
    <row r="450" spans="23:32">
      <c r="W450">
        <v>223.552</v>
      </c>
      <c r="X450">
        <v>1.2240514694108</v>
      </c>
      <c r="Y450">
        <v>223.552</v>
      </c>
      <c r="Z450">
        <v>1.22842697675456</v>
      </c>
      <c r="AA450">
        <v>223.552</v>
      </c>
      <c r="AB450">
        <v>1.25170220038075</v>
      </c>
      <c r="AC450">
        <v>223.552</v>
      </c>
      <c r="AD450">
        <v>1.2679564155273</v>
      </c>
      <c r="AE450">
        <v>223.552</v>
      </c>
      <c r="AF450">
        <v>1.20587277949118</v>
      </c>
    </row>
    <row r="451" spans="23:32">
      <c r="W451">
        <v>224.051</v>
      </c>
      <c r="X451">
        <v>1.22384734806708</v>
      </c>
      <c r="Y451">
        <v>224.051</v>
      </c>
      <c r="Z451">
        <v>1.23101765422115</v>
      </c>
      <c r="AA451">
        <v>224.051</v>
      </c>
      <c r="AB451">
        <v>1.24712224304957</v>
      </c>
      <c r="AC451">
        <v>224.051</v>
      </c>
      <c r="AD451">
        <v>1.26344799127858</v>
      </c>
      <c r="AE451">
        <v>224.051</v>
      </c>
      <c r="AF451">
        <v>1.20253747902482</v>
      </c>
    </row>
    <row r="452" spans="23:32">
      <c r="W452">
        <v>224.55</v>
      </c>
      <c r="X452">
        <v>1.22483751997723</v>
      </c>
      <c r="Y452">
        <v>224.55</v>
      </c>
      <c r="Z452">
        <v>1.23332641302394</v>
      </c>
      <c r="AA452">
        <v>224.55</v>
      </c>
      <c r="AB452">
        <v>1.25035082190186</v>
      </c>
      <c r="AC452">
        <v>224.55</v>
      </c>
      <c r="AD452">
        <v>1.26510526694043</v>
      </c>
      <c r="AE452">
        <v>224.55</v>
      </c>
      <c r="AF452">
        <v>1.20471611031057</v>
      </c>
    </row>
    <row r="453" spans="23:32">
      <c r="W453">
        <v>225.049</v>
      </c>
      <c r="X453">
        <v>1.21260426067401</v>
      </c>
      <c r="Y453">
        <v>225.049</v>
      </c>
      <c r="Z453">
        <v>1.24111337830147</v>
      </c>
      <c r="AA453">
        <v>225.049</v>
      </c>
      <c r="AB453">
        <v>1.25364198553037</v>
      </c>
      <c r="AC453">
        <v>225.049</v>
      </c>
      <c r="AD453">
        <v>1.26978658226703</v>
      </c>
      <c r="AE453">
        <v>225.049</v>
      </c>
      <c r="AF453">
        <v>1.20477468930734</v>
      </c>
    </row>
    <row r="454" spans="23:32">
      <c r="W454">
        <v>225.548</v>
      </c>
      <c r="X454">
        <v>1.21571991834099</v>
      </c>
      <c r="Y454">
        <v>225.548</v>
      </c>
      <c r="Z454">
        <v>1.22965562980498</v>
      </c>
      <c r="AA454">
        <v>225.548</v>
      </c>
      <c r="AB454">
        <v>1.25161340873462</v>
      </c>
      <c r="AC454">
        <v>225.548</v>
      </c>
      <c r="AD454">
        <v>1.26021392473867</v>
      </c>
      <c r="AE454">
        <v>225.548</v>
      </c>
      <c r="AF454">
        <v>1.19918780991223</v>
      </c>
    </row>
    <row r="455" spans="23:32">
      <c r="W455">
        <v>226.047</v>
      </c>
      <c r="X455">
        <v>1.22064486393325</v>
      </c>
      <c r="Y455">
        <v>226.047</v>
      </c>
      <c r="Z455">
        <v>1.23361488404814</v>
      </c>
      <c r="AA455">
        <v>226.047</v>
      </c>
      <c r="AB455">
        <v>1.25326690749352</v>
      </c>
      <c r="AC455">
        <v>226.047</v>
      </c>
      <c r="AD455">
        <v>1.26182627897242</v>
      </c>
      <c r="AE455">
        <v>226.047</v>
      </c>
      <c r="AF455">
        <v>1.200174512066</v>
      </c>
    </row>
    <row r="456" spans="23:32">
      <c r="W456">
        <v>226.546</v>
      </c>
      <c r="X456">
        <v>1.22579579308588</v>
      </c>
      <c r="Y456">
        <v>226.546</v>
      </c>
      <c r="Z456">
        <v>1.23560327363779</v>
      </c>
      <c r="AA456">
        <v>226.546</v>
      </c>
      <c r="AB456">
        <v>1.24593327031786</v>
      </c>
      <c r="AC456">
        <v>226.546</v>
      </c>
      <c r="AD456">
        <v>1.25247844745675</v>
      </c>
      <c r="AE456">
        <v>226.546</v>
      </c>
      <c r="AF456">
        <v>1.20151457993831</v>
      </c>
    </row>
    <row r="457" spans="23:32">
      <c r="W457">
        <v>227.045</v>
      </c>
      <c r="X457">
        <v>1.21230946330429</v>
      </c>
      <c r="Y457">
        <v>227.045</v>
      </c>
      <c r="Z457">
        <v>1.23150606411534</v>
      </c>
      <c r="AA457">
        <v>227.045</v>
      </c>
      <c r="AB457">
        <v>1.24294788365899</v>
      </c>
      <c r="AC457">
        <v>227.045</v>
      </c>
      <c r="AD457">
        <v>1.25959852040432</v>
      </c>
      <c r="AE457">
        <v>227.045</v>
      </c>
      <c r="AF457">
        <v>1.19414115834023</v>
      </c>
    </row>
    <row r="458" spans="23:32">
      <c r="W458">
        <v>227.544</v>
      </c>
      <c r="X458">
        <v>1.21466719972118</v>
      </c>
      <c r="Y458">
        <v>227.544</v>
      </c>
      <c r="Z458">
        <v>1.22991307250546</v>
      </c>
      <c r="AA458">
        <v>227.544</v>
      </c>
      <c r="AB458">
        <v>1.24116926646347</v>
      </c>
      <c r="AC458">
        <v>227.544</v>
      </c>
      <c r="AD458">
        <v>1.26501344892015</v>
      </c>
      <c r="AE458">
        <v>227.544</v>
      </c>
      <c r="AF458">
        <v>1.19714399622281</v>
      </c>
    </row>
    <row r="459" spans="23:32">
      <c r="W459">
        <v>228.043</v>
      </c>
      <c r="X459">
        <v>1.21907722346141</v>
      </c>
      <c r="Y459">
        <v>228.043</v>
      </c>
      <c r="Z459">
        <v>1.23404080958702</v>
      </c>
      <c r="AA459">
        <v>228.043</v>
      </c>
      <c r="AB459">
        <v>1.24536369455236</v>
      </c>
      <c r="AC459">
        <v>228.043</v>
      </c>
      <c r="AD459">
        <v>1.27055337304164</v>
      </c>
      <c r="AE459">
        <v>228.043</v>
      </c>
      <c r="AF459">
        <v>1.1995813177103</v>
      </c>
    </row>
    <row r="460" spans="23:32">
      <c r="W460">
        <v>228.542</v>
      </c>
      <c r="X460">
        <v>1.2227760370969</v>
      </c>
      <c r="Y460">
        <v>228.542</v>
      </c>
      <c r="Z460">
        <v>1.23409989421274</v>
      </c>
      <c r="AA460">
        <v>228.542</v>
      </c>
      <c r="AB460">
        <v>1.25084394056637</v>
      </c>
      <c r="AC460">
        <v>228.542</v>
      </c>
      <c r="AD460">
        <v>1.26636194319539</v>
      </c>
      <c r="AE460">
        <v>228.542</v>
      </c>
      <c r="AF460">
        <v>1.19744587516057</v>
      </c>
    </row>
    <row r="461" spans="23:32">
      <c r="W461">
        <v>229.041</v>
      </c>
      <c r="X461">
        <v>1.22130800383451</v>
      </c>
      <c r="Y461">
        <v>229.041</v>
      </c>
      <c r="Z461">
        <v>1.23795408238405</v>
      </c>
      <c r="AA461">
        <v>229.041</v>
      </c>
      <c r="AB461">
        <v>1.24841105528443</v>
      </c>
      <c r="AC461">
        <v>229.041</v>
      </c>
      <c r="AD461">
        <v>1.25662551727931</v>
      </c>
      <c r="AE461">
        <v>229.041</v>
      </c>
      <c r="AF461">
        <v>1.19830015128892</v>
      </c>
    </row>
    <row r="462" spans="23:32">
      <c r="W462">
        <v>229.54</v>
      </c>
      <c r="X462">
        <v>1.22149057890475</v>
      </c>
      <c r="Y462">
        <v>229.54</v>
      </c>
      <c r="Z462">
        <v>1.23767276446062</v>
      </c>
      <c r="AA462">
        <v>229.54</v>
      </c>
      <c r="AB462">
        <v>1.25844046253439</v>
      </c>
      <c r="AC462">
        <v>229.54</v>
      </c>
      <c r="AD462">
        <v>1.26471668507332</v>
      </c>
      <c r="AE462">
        <v>229.54</v>
      </c>
      <c r="AF462">
        <v>1.19553135235174</v>
      </c>
    </row>
    <row r="463" spans="23:32">
      <c r="W463">
        <v>230.039</v>
      </c>
      <c r="X463">
        <v>1.22529173974073</v>
      </c>
      <c r="Y463">
        <v>230.039</v>
      </c>
      <c r="Z463">
        <v>1.2457968476829</v>
      </c>
      <c r="AA463">
        <v>230.039</v>
      </c>
      <c r="AB463">
        <v>1.2546295213326</v>
      </c>
      <c r="AC463">
        <v>230.039</v>
      </c>
      <c r="AD463">
        <v>1.26570345278658</v>
      </c>
      <c r="AE463">
        <v>230.039</v>
      </c>
      <c r="AF463">
        <v>1.19488685937931</v>
      </c>
    </row>
    <row r="464" spans="23:32">
      <c r="W464">
        <v>230.538</v>
      </c>
      <c r="X464">
        <v>1.22440950383893</v>
      </c>
      <c r="Y464">
        <v>230.538</v>
      </c>
      <c r="Z464">
        <v>1.23069861449932</v>
      </c>
      <c r="AA464">
        <v>230.538</v>
      </c>
      <c r="AB464">
        <v>1.25225304976679</v>
      </c>
      <c r="AC464">
        <v>230.538</v>
      </c>
      <c r="AD464">
        <v>1.26746717353316</v>
      </c>
      <c r="AE464">
        <v>230.538</v>
      </c>
      <c r="AF464">
        <v>1.19331036780426</v>
      </c>
    </row>
    <row r="465" spans="23:32">
      <c r="W465">
        <v>231.037</v>
      </c>
      <c r="X465">
        <v>1.22440074806199</v>
      </c>
      <c r="Y465">
        <v>231.037</v>
      </c>
      <c r="Z465">
        <v>1.22900513002211</v>
      </c>
      <c r="AA465">
        <v>231.037</v>
      </c>
      <c r="AB465">
        <v>1.26328039876922</v>
      </c>
      <c r="AC465">
        <v>231.037</v>
      </c>
      <c r="AD465">
        <v>1.26723819447487</v>
      </c>
      <c r="AE465">
        <v>231.037</v>
      </c>
      <c r="AF465">
        <v>1.20199784449305</v>
      </c>
    </row>
    <row r="466" spans="23:32">
      <c r="W466">
        <v>231.536</v>
      </c>
      <c r="X466">
        <v>1.21457278865923</v>
      </c>
      <c r="Y466">
        <v>231.536</v>
      </c>
      <c r="Z466">
        <v>1.23255899336293</v>
      </c>
      <c r="AA466">
        <v>231.536</v>
      </c>
      <c r="AB466">
        <v>1.25510496727295</v>
      </c>
      <c r="AC466">
        <v>231.536</v>
      </c>
      <c r="AD466">
        <v>1.26695533523112</v>
      </c>
      <c r="AE466">
        <v>231.536</v>
      </c>
      <c r="AF466">
        <v>1.19237069891463</v>
      </c>
    </row>
    <row r="467" spans="23:32">
      <c r="W467">
        <v>232.035</v>
      </c>
      <c r="X467">
        <v>1.22446960737319</v>
      </c>
      <c r="Y467">
        <v>232.035</v>
      </c>
      <c r="Z467">
        <v>1.23589732320221</v>
      </c>
      <c r="AA467">
        <v>232.035</v>
      </c>
      <c r="AB467">
        <v>1.24973646602139</v>
      </c>
      <c r="AC467">
        <v>232.035</v>
      </c>
      <c r="AD467">
        <v>1.25665729166023</v>
      </c>
      <c r="AE467">
        <v>232.035</v>
      </c>
      <c r="AF467">
        <v>1.19206221512031</v>
      </c>
    </row>
    <row r="468" spans="23:32">
      <c r="W468">
        <v>232.534</v>
      </c>
      <c r="X468">
        <v>1.2216923525445</v>
      </c>
      <c r="Y468">
        <v>232.534</v>
      </c>
      <c r="Z468">
        <v>1.23720586404661</v>
      </c>
      <c r="AA468">
        <v>232.534</v>
      </c>
      <c r="AB468">
        <v>1.24593007520308</v>
      </c>
      <c r="AC468">
        <v>232.534</v>
      </c>
      <c r="AD468">
        <v>1.2609838923455</v>
      </c>
      <c r="AE468">
        <v>232.534</v>
      </c>
      <c r="AF468">
        <v>1.19692977999804</v>
      </c>
    </row>
    <row r="469" spans="23:32">
      <c r="W469">
        <v>233.033</v>
      </c>
      <c r="X469">
        <v>1.22617158111476</v>
      </c>
      <c r="Y469">
        <v>233.033</v>
      </c>
      <c r="Z469">
        <v>1.22906268333016</v>
      </c>
      <c r="AA469">
        <v>233.033</v>
      </c>
      <c r="AB469">
        <v>1.24430548579882</v>
      </c>
      <c r="AC469">
        <v>233.033</v>
      </c>
      <c r="AD469">
        <v>1.25593487980326</v>
      </c>
      <c r="AE469">
        <v>233.033</v>
      </c>
      <c r="AF469">
        <v>1.19996207796095</v>
      </c>
    </row>
    <row r="470" spans="23:32">
      <c r="W470">
        <v>233.532</v>
      </c>
      <c r="X470">
        <v>1.22107930670633</v>
      </c>
      <c r="Y470">
        <v>233.532</v>
      </c>
      <c r="Z470">
        <v>1.24236538005037</v>
      </c>
      <c r="AA470">
        <v>233.532</v>
      </c>
      <c r="AB470">
        <v>1.24662833446805</v>
      </c>
      <c r="AC470">
        <v>233.532</v>
      </c>
      <c r="AD470">
        <v>1.25950202479608</v>
      </c>
      <c r="AE470">
        <v>233.532</v>
      </c>
      <c r="AF470">
        <v>1.18410546036489</v>
      </c>
    </row>
    <row r="471" spans="23:32">
      <c r="W471">
        <v>234.031</v>
      </c>
      <c r="X471">
        <v>1.21951786898907</v>
      </c>
      <c r="Y471">
        <v>234.031</v>
      </c>
      <c r="Z471">
        <v>1.23938618604701</v>
      </c>
      <c r="AA471">
        <v>234.031</v>
      </c>
      <c r="AB471">
        <v>1.2437100477314</v>
      </c>
      <c r="AC471">
        <v>234.031</v>
      </c>
      <c r="AD471">
        <v>1.25404733925359</v>
      </c>
      <c r="AE471">
        <v>234.031</v>
      </c>
      <c r="AF471">
        <v>1.19214309139985</v>
      </c>
    </row>
    <row r="472" spans="23:32">
      <c r="W472">
        <v>234.53</v>
      </c>
      <c r="X472">
        <v>1.22172161996086</v>
      </c>
      <c r="Y472">
        <v>234.53</v>
      </c>
      <c r="Z472">
        <v>1.23587332454333</v>
      </c>
      <c r="AA472">
        <v>234.53</v>
      </c>
      <c r="AB472">
        <v>1.24292324377711</v>
      </c>
      <c r="AC472">
        <v>234.53</v>
      </c>
      <c r="AD472">
        <v>1.25682255650205</v>
      </c>
      <c r="AE472">
        <v>234.53</v>
      </c>
      <c r="AF472">
        <v>1.19461613019983</v>
      </c>
    </row>
    <row r="473" spans="23:32">
      <c r="W473">
        <v>235.029</v>
      </c>
      <c r="X473">
        <v>1.22204723160641</v>
      </c>
      <c r="Y473">
        <v>235.029</v>
      </c>
      <c r="Z473">
        <v>1.23619751186204</v>
      </c>
      <c r="AA473">
        <v>235.029</v>
      </c>
      <c r="AB473">
        <v>1.24824682831072</v>
      </c>
      <c r="AC473">
        <v>235.029</v>
      </c>
      <c r="AD473">
        <v>1.26070983572667</v>
      </c>
      <c r="AE473">
        <v>235.029</v>
      </c>
      <c r="AF473">
        <v>1.1944723032565</v>
      </c>
    </row>
    <row r="474" spans="23:32">
      <c r="W474">
        <v>235.528</v>
      </c>
      <c r="X474">
        <v>1.22196876347763</v>
      </c>
      <c r="Y474">
        <v>235.528</v>
      </c>
      <c r="Z474">
        <v>1.23494472826697</v>
      </c>
      <c r="AA474">
        <v>235.528</v>
      </c>
      <c r="AB474">
        <v>1.24650188021334</v>
      </c>
      <c r="AC474">
        <v>235.528</v>
      </c>
      <c r="AD474">
        <v>1.26949819160095</v>
      </c>
      <c r="AE474">
        <v>235.528</v>
      </c>
      <c r="AF474">
        <v>1.20055394242302</v>
      </c>
    </row>
    <row r="475" spans="23:32">
      <c r="W475">
        <v>236.027</v>
      </c>
      <c r="X475">
        <v>1.223580202287</v>
      </c>
      <c r="Y475">
        <v>236.027</v>
      </c>
      <c r="Z475">
        <v>1.23814831627473</v>
      </c>
      <c r="AA475">
        <v>236.027</v>
      </c>
      <c r="AB475">
        <v>1.25245177595091</v>
      </c>
      <c r="AC475">
        <v>236.027</v>
      </c>
      <c r="AD475">
        <v>1.26122522154343</v>
      </c>
      <c r="AE475">
        <v>236.027</v>
      </c>
      <c r="AF475">
        <v>1.20059619996735</v>
      </c>
    </row>
    <row r="476" spans="23:32">
      <c r="W476">
        <v>236.526</v>
      </c>
      <c r="X476">
        <v>1.21344903625409</v>
      </c>
      <c r="Y476">
        <v>236.526</v>
      </c>
      <c r="Z476">
        <v>1.24273403406921</v>
      </c>
      <c r="AA476">
        <v>236.526</v>
      </c>
      <c r="AB476">
        <v>1.24903127424754</v>
      </c>
      <c r="AC476">
        <v>236.526</v>
      </c>
      <c r="AD476">
        <v>1.25523164227742</v>
      </c>
      <c r="AE476">
        <v>236.526</v>
      </c>
      <c r="AF476">
        <v>1.19438967330141</v>
      </c>
    </row>
    <row r="477" spans="23:32">
      <c r="W477">
        <v>237.025</v>
      </c>
      <c r="X477">
        <v>1.22638990874742</v>
      </c>
      <c r="Y477">
        <v>237.025</v>
      </c>
      <c r="Z477">
        <v>1.24095956708343</v>
      </c>
      <c r="AA477">
        <v>237.025</v>
      </c>
      <c r="AB477">
        <v>1.24921632129572</v>
      </c>
      <c r="AC477">
        <v>237.025</v>
      </c>
      <c r="AD477">
        <v>1.26150269624516</v>
      </c>
      <c r="AE477">
        <v>237.025</v>
      </c>
      <c r="AF477">
        <v>1.19477277450299</v>
      </c>
    </row>
    <row r="478" spans="23:32">
      <c r="W478">
        <v>237.524</v>
      </c>
      <c r="X478">
        <v>1.22100297612702</v>
      </c>
      <c r="Y478">
        <v>237.524</v>
      </c>
      <c r="Z478">
        <v>1.22560471530286</v>
      </c>
      <c r="AA478">
        <v>237.524</v>
      </c>
      <c r="AB478">
        <v>1.24301805324348</v>
      </c>
      <c r="AC478">
        <v>237.524</v>
      </c>
      <c r="AD478">
        <v>1.26677363863282</v>
      </c>
      <c r="AE478">
        <v>237.524</v>
      </c>
      <c r="AF478">
        <v>1.20047467050564</v>
      </c>
    </row>
    <row r="479" spans="23:32">
      <c r="W479">
        <v>238.023</v>
      </c>
      <c r="X479">
        <v>1.2088299320762</v>
      </c>
      <c r="Y479">
        <v>238.023</v>
      </c>
      <c r="Z479">
        <v>1.23614434610739</v>
      </c>
      <c r="AA479">
        <v>238.023</v>
      </c>
      <c r="AB479">
        <v>1.24124783777515</v>
      </c>
      <c r="AC479">
        <v>238.023</v>
      </c>
      <c r="AD479">
        <v>1.26396864499335</v>
      </c>
      <c r="AE479">
        <v>238.023</v>
      </c>
      <c r="AF479">
        <v>1.19755127991735</v>
      </c>
    </row>
    <row r="480" spans="23:32">
      <c r="W480">
        <v>238.522</v>
      </c>
      <c r="X480">
        <v>1.21658652969378</v>
      </c>
      <c r="Y480">
        <v>238.522</v>
      </c>
      <c r="Z480">
        <v>1.23494636055378</v>
      </c>
      <c r="AA480">
        <v>238.522</v>
      </c>
      <c r="AB480">
        <v>1.24679603783636</v>
      </c>
      <c r="AC480">
        <v>238.522</v>
      </c>
      <c r="AD480">
        <v>1.26273356963224</v>
      </c>
      <c r="AE480">
        <v>238.522</v>
      </c>
      <c r="AF480">
        <v>1.18728101733369</v>
      </c>
    </row>
    <row r="481" spans="23:32">
      <c r="W481">
        <v>239.021</v>
      </c>
      <c r="X481">
        <v>1.21493085695321</v>
      </c>
      <c r="Y481">
        <v>239.021</v>
      </c>
      <c r="Z481">
        <v>1.23099904456992</v>
      </c>
      <c r="AA481">
        <v>239.021</v>
      </c>
      <c r="AB481">
        <v>1.2540025218865</v>
      </c>
      <c r="AC481">
        <v>239.021</v>
      </c>
      <c r="AD481">
        <v>1.26699463804941</v>
      </c>
      <c r="AE481">
        <v>239.021</v>
      </c>
      <c r="AF481">
        <v>1.19726805009897</v>
      </c>
    </row>
    <row r="482" spans="23:32">
      <c r="W482">
        <v>239.52</v>
      </c>
      <c r="X482">
        <v>1.21746983521741</v>
      </c>
      <c r="Y482">
        <v>239.52</v>
      </c>
      <c r="Z482">
        <v>1.2382890803814</v>
      </c>
      <c r="AA482">
        <v>239.52</v>
      </c>
      <c r="AB482">
        <v>1.25008122865086</v>
      </c>
      <c r="AC482">
        <v>239.52</v>
      </c>
      <c r="AD482">
        <v>1.26500236711585</v>
      </c>
      <c r="AE482">
        <v>239.52</v>
      </c>
      <c r="AF482">
        <v>1.19655766816115</v>
      </c>
    </row>
    <row r="483" spans="23:32">
      <c r="W483">
        <v>240.019</v>
      </c>
      <c r="X483">
        <v>1.21667585410147</v>
      </c>
      <c r="Y483">
        <v>240.019</v>
      </c>
      <c r="Z483">
        <v>1.22664955050993</v>
      </c>
      <c r="AA483">
        <v>240.019</v>
      </c>
      <c r="AB483">
        <v>1.25228735866029</v>
      </c>
      <c r="AC483">
        <v>240.019</v>
      </c>
      <c r="AD483">
        <v>1.26022329058313</v>
      </c>
      <c r="AE483">
        <v>240.019</v>
      </c>
      <c r="AF483">
        <v>1.19373578554546</v>
      </c>
    </row>
    <row r="484" spans="23:32">
      <c r="W484">
        <v>240.518</v>
      </c>
      <c r="X484">
        <v>1.2256656971087</v>
      </c>
      <c r="Y484">
        <v>240.518</v>
      </c>
      <c r="Z484">
        <v>1.23953008548236</v>
      </c>
      <c r="AA484">
        <v>240.518</v>
      </c>
      <c r="AB484">
        <v>1.25638375328494</v>
      </c>
      <c r="AC484">
        <v>240.518</v>
      </c>
      <c r="AD484">
        <v>1.27239100983557</v>
      </c>
      <c r="AE484">
        <v>240.518</v>
      </c>
      <c r="AF484">
        <v>1.19597064517916</v>
      </c>
    </row>
    <row r="485" spans="23:32">
      <c r="W485">
        <v>241.017</v>
      </c>
      <c r="X485">
        <v>1.21793240626261</v>
      </c>
      <c r="Y485">
        <v>241.017</v>
      </c>
      <c r="Z485">
        <v>1.23324209661135</v>
      </c>
      <c r="AA485">
        <v>241.017</v>
      </c>
      <c r="AB485">
        <v>1.25035680602814</v>
      </c>
      <c r="AC485">
        <v>241.017</v>
      </c>
      <c r="AD485">
        <v>1.27870417459856</v>
      </c>
      <c r="AE485">
        <v>241.017</v>
      </c>
      <c r="AF485">
        <v>1.20343772201167</v>
      </c>
    </row>
    <row r="486" spans="23:32">
      <c r="W486">
        <v>241.516</v>
      </c>
      <c r="X486">
        <v>1.22705677955641</v>
      </c>
      <c r="Y486">
        <v>241.516</v>
      </c>
      <c r="Z486">
        <v>1.23653017065329</v>
      </c>
      <c r="AA486">
        <v>241.516</v>
      </c>
      <c r="AB486">
        <v>1.25675278180498</v>
      </c>
      <c r="AC486">
        <v>241.516</v>
      </c>
      <c r="AD486">
        <v>1.27361432150121</v>
      </c>
      <c r="AE486">
        <v>241.516</v>
      </c>
      <c r="AF486">
        <v>1.20365626554582</v>
      </c>
    </row>
    <row r="487" spans="23:32">
      <c r="W487">
        <v>242.015</v>
      </c>
      <c r="X487">
        <v>1.21802009831227</v>
      </c>
      <c r="Y487">
        <v>242.015</v>
      </c>
      <c r="Z487">
        <v>1.23976787499342</v>
      </c>
      <c r="AA487">
        <v>242.015</v>
      </c>
      <c r="AB487">
        <v>1.25427568288905</v>
      </c>
      <c r="AC487">
        <v>242.015</v>
      </c>
      <c r="AD487">
        <v>1.26384014442015</v>
      </c>
      <c r="AE487">
        <v>242.015</v>
      </c>
      <c r="AF487">
        <v>1.20357875701662</v>
      </c>
    </row>
    <row r="488" spans="23:32">
      <c r="W488">
        <v>242.514</v>
      </c>
      <c r="X488">
        <v>1.21980071189803</v>
      </c>
      <c r="Y488">
        <v>242.514</v>
      </c>
      <c r="Z488">
        <v>1.2300506426325</v>
      </c>
      <c r="AA488">
        <v>242.514</v>
      </c>
      <c r="AB488">
        <v>1.24997010072978</v>
      </c>
      <c r="AC488">
        <v>242.514</v>
      </c>
      <c r="AD488">
        <v>1.27019442080865</v>
      </c>
      <c r="AE488">
        <v>242.514</v>
      </c>
      <c r="AF488">
        <v>1.19056964789407</v>
      </c>
    </row>
    <row r="489" spans="23:32">
      <c r="W489">
        <v>243.013</v>
      </c>
      <c r="X489">
        <v>1.21915988801994</v>
      </c>
      <c r="Y489">
        <v>243.013</v>
      </c>
      <c r="Z489">
        <v>1.23727709001004</v>
      </c>
      <c r="AA489">
        <v>243.013</v>
      </c>
      <c r="AB489">
        <v>1.25278889729542</v>
      </c>
      <c r="AC489">
        <v>243.013</v>
      </c>
      <c r="AD489">
        <v>1.25846702403235</v>
      </c>
      <c r="AE489">
        <v>243.013</v>
      </c>
      <c r="AF489">
        <v>1.18914619770592</v>
      </c>
    </row>
    <row r="490" spans="23:32">
      <c r="W490">
        <v>243.512</v>
      </c>
      <c r="X490">
        <v>1.22853747821064</v>
      </c>
      <c r="Y490">
        <v>243.512</v>
      </c>
      <c r="Z490">
        <v>1.22995246138958</v>
      </c>
      <c r="AA490">
        <v>243.512</v>
      </c>
      <c r="AB490">
        <v>1.25670947360597</v>
      </c>
      <c r="AC490">
        <v>243.512</v>
      </c>
      <c r="AD490">
        <v>1.27265548847959</v>
      </c>
      <c r="AE490">
        <v>243.512</v>
      </c>
      <c r="AF490">
        <v>1.19308736136773</v>
      </c>
    </row>
    <row r="491" spans="23:32">
      <c r="W491">
        <v>244.011</v>
      </c>
      <c r="X491">
        <v>1.22184231007987</v>
      </c>
      <c r="Y491">
        <v>244.011</v>
      </c>
      <c r="Z491">
        <v>1.23192618043619</v>
      </c>
      <c r="AA491">
        <v>244.011</v>
      </c>
      <c r="AB491">
        <v>1.25162714638227</v>
      </c>
      <c r="AC491">
        <v>244.011</v>
      </c>
      <c r="AD491">
        <v>1.26969178777582</v>
      </c>
      <c r="AE491">
        <v>244.011</v>
      </c>
      <c r="AF491">
        <v>1.19143420217123</v>
      </c>
    </row>
    <row r="492" spans="23:32">
      <c r="W492">
        <v>244.51</v>
      </c>
      <c r="X492">
        <v>1.22113836881524</v>
      </c>
      <c r="Y492">
        <v>244.51</v>
      </c>
      <c r="Z492">
        <v>1.23277484659382</v>
      </c>
      <c r="AA492">
        <v>244.51</v>
      </c>
      <c r="AB492">
        <v>1.25602992761244</v>
      </c>
      <c r="AC492">
        <v>244.51</v>
      </c>
      <c r="AD492">
        <v>1.26603223281008</v>
      </c>
      <c r="AE492">
        <v>244.51</v>
      </c>
      <c r="AF492">
        <v>1.19493022697584</v>
      </c>
    </row>
    <row r="493" spans="23:32">
      <c r="W493">
        <v>245.009</v>
      </c>
      <c r="X493">
        <v>1.21406158813384</v>
      </c>
      <c r="Y493">
        <v>245.009</v>
      </c>
      <c r="Z493">
        <v>1.24073957452829</v>
      </c>
      <c r="AA493">
        <v>245.009</v>
      </c>
      <c r="AB493">
        <v>1.25215615965181</v>
      </c>
      <c r="AC493">
        <v>245.009</v>
      </c>
      <c r="AD493">
        <v>1.2638231451793</v>
      </c>
      <c r="AE493">
        <v>245.009</v>
      </c>
      <c r="AF493">
        <v>1.18718237393069</v>
      </c>
    </row>
    <row r="494" spans="23:32">
      <c r="W494">
        <v>245.508</v>
      </c>
      <c r="X494">
        <v>1.21698966709735</v>
      </c>
      <c r="Y494">
        <v>245.508</v>
      </c>
      <c r="Z494">
        <v>1.23187023378114</v>
      </c>
      <c r="AA494">
        <v>245.508</v>
      </c>
      <c r="AB494">
        <v>1.2501741031443</v>
      </c>
      <c r="AC494">
        <v>245.508</v>
      </c>
      <c r="AD494">
        <v>1.25665321294251</v>
      </c>
      <c r="AE494">
        <v>245.508</v>
      </c>
      <c r="AF494">
        <v>1.19574965428348</v>
      </c>
    </row>
    <row r="495" spans="23:32">
      <c r="W495">
        <v>246.007</v>
      </c>
      <c r="X495">
        <v>1.22063644738796</v>
      </c>
      <c r="Y495">
        <v>246.007</v>
      </c>
      <c r="Z495">
        <v>1.23264630871953</v>
      </c>
      <c r="AA495">
        <v>246.007</v>
      </c>
      <c r="AB495">
        <v>1.25266475380056</v>
      </c>
      <c r="AC495">
        <v>246.007</v>
      </c>
      <c r="AD495">
        <v>1.25973001889034</v>
      </c>
      <c r="AE495">
        <v>246.007</v>
      </c>
      <c r="AF495">
        <v>1.19268288517463</v>
      </c>
    </row>
    <row r="496" spans="23:32">
      <c r="W496">
        <v>246.506</v>
      </c>
      <c r="X496">
        <v>1.21509106702163</v>
      </c>
      <c r="Y496">
        <v>246.506</v>
      </c>
      <c r="Z496">
        <v>1.23176208662348</v>
      </c>
      <c r="AA496">
        <v>246.506</v>
      </c>
      <c r="AB496">
        <v>1.25456627894443</v>
      </c>
      <c r="AC496">
        <v>246.506</v>
      </c>
      <c r="AD496">
        <v>1.25853050095166</v>
      </c>
      <c r="AE496">
        <v>246.506</v>
      </c>
      <c r="AF496">
        <v>1.18759533621827</v>
      </c>
    </row>
    <row r="497" spans="23:32">
      <c r="W497">
        <v>247.005</v>
      </c>
      <c r="X497">
        <v>1.22713589582543</v>
      </c>
      <c r="Y497">
        <v>247.005</v>
      </c>
      <c r="Z497">
        <v>1.22447501154832</v>
      </c>
      <c r="AA497">
        <v>247.005</v>
      </c>
      <c r="AB497">
        <v>1.24555022806673</v>
      </c>
      <c r="AC497">
        <v>247.005</v>
      </c>
      <c r="AD497">
        <v>1.26438751482341</v>
      </c>
      <c r="AE497">
        <v>247.005</v>
      </c>
      <c r="AF497">
        <v>1.19330668737495</v>
      </c>
    </row>
    <row r="498" spans="23:32">
      <c r="W498">
        <v>247.504</v>
      </c>
      <c r="X498">
        <v>1.21668161343882</v>
      </c>
      <c r="Y498">
        <v>247.504</v>
      </c>
      <c r="Z498">
        <v>1.22546159124939</v>
      </c>
      <c r="AA498">
        <v>247.504</v>
      </c>
      <c r="AB498">
        <v>1.25144265271157</v>
      </c>
      <c r="AC498">
        <v>247.504</v>
      </c>
      <c r="AD498">
        <v>1.27299018100434</v>
      </c>
      <c r="AE498">
        <v>247.504</v>
      </c>
      <c r="AF498">
        <v>1.19541870699058</v>
      </c>
    </row>
    <row r="499" spans="23:32">
      <c r="W499">
        <v>248.003</v>
      </c>
      <c r="X499">
        <v>1.21285197243042</v>
      </c>
      <c r="Y499">
        <v>248.003</v>
      </c>
      <c r="Z499">
        <v>1.22578053550196</v>
      </c>
      <c r="AA499">
        <v>248.003</v>
      </c>
      <c r="AB499">
        <v>1.25043186637705</v>
      </c>
      <c r="AC499">
        <v>248.003</v>
      </c>
      <c r="AD499">
        <v>1.26209364808198</v>
      </c>
      <c r="AE499">
        <v>248.003</v>
      </c>
      <c r="AF499">
        <v>1.20766489503134</v>
      </c>
    </row>
    <row r="500" spans="23:32">
      <c r="W500">
        <v>248.502</v>
      </c>
      <c r="X500">
        <v>1.20965799363519</v>
      </c>
      <c r="Y500">
        <v>248.502</v>
      </c>
      <c r="Z500">
        <v>1.2257735148345</v>
      </c>
      <c r="AA500">
        <v>248.502</v>
      </c>
      <c r="AB500">
        <v>1.25385453554525</v>
      </c>
      <c r="AC500">
        <v>248.502</v>
      </c>
      <c r="AD500">
        <v>1.26967807987785</v>
      </c>
      <c r="AE500">
        <v>248.502</v>
      </c>
      <c r="AF500">
        <v>1.19790139641584</v>
      </c>
    </row>
    <row r="501" spans="23:32">
      <c r="W501">
        <v>249.001</v>
      </c>
      <c r="X501">
        <v>1.2234038331529</v>
      </c>
      <c r="Y501">
        <v>249.001</v>
      </c>
      <c r="Z501">
        <v>1.23577584148789</v>
      </c>
      <c r="AA501">
        <v>249.001</v>
      </c>
      <c r="AB501">
        <v>1.26077457320791</v>
      </c>
      <c r="AC501">
        <v>249.001</v>
      </c>
      <c r="AD501">
        <v>1.26498945850122</v>
      </c>
      <c r="AE501">
        <v>249.001</v>
      </c>
      <c r="AF501">
        <v>1.19794929416644</v>
      </c>
    </row>
    <row r="502" spans="23:32">
      <c r="W502">
        <v>249.5</v>
      </c>
      <c r="X502">
        <v>1.22365371813047</v>
      </c>
      <c r="Y502">
        <v>249.5</v>
      </c>
      <c r="Z502">
        <v>1.23392894775165</v>
      </c>
      <c r="AA502">
        <v>249.5</v>
      </c>
      <c r="AB502">
        <v>1.2584095366777</v>
      </c>
      <c r="AC502">
        <v>249.5</v>
      </c>
      <c r="AD502">
        <v>1.26694199161501</v>
      </c>
      <c r="AE502">
        <v>249.5</v>
      </c>
      <c r="AF502">
        <v>1.19741409686768</v>
      </c>
    </row>
    <row r="503" spans="23:32">
      <c r="W503">
        <v>249.999</v>
      </c>
      <c r="X503">
        <v>1.21231426254705</v>
      </c>
      <c r="Y503">
        <v>249.999</v>
      </c>
      <c r="Z503">
        <v>1.22755032973924</v>
      </c>
      <c r="AA503">
        <v>249.999</v>
      </c>
      <c r="AB503">
        <v>1.24932369801183</v>
      </c>
      <c r="AC503">
        <v>249.999</v>
      </c>
      <c r="AD503">
        <v>1.26602659453827</v>
      </c>
      <c r="AE503">
        <v>249.999</v>
      </c>
      <c r="AF503">
        <v>1.2072649775716</v>
      </c>
    </row>
    <row r="504" spans="23:32">
      <c r="W504">
        <v>250.498</v>
      </c>
      <c r="X504">
        <v>1.22254284621752</v>
      </c>
      <c r="Y504">
        <v>250.498</v>
      </c>
      <c r="Z504">
        <v>1.23131404076479</v>
      </c>
      <c r="AA504">
        <v>250.498</v>
      </c>
      <c r="AB504">
        <v>1.25645660527472</v>
      </c>
      <c r="AC504">
        <v>250.498</v>
      </c>
      <c r="AD504">
        <v>1.26618230739084</v>
      </c>
      <c r="AE504">
        <v>250.498</v>
      </c>
      <c r="AF504">
        <v>1.19896753328747</v>
      </c>
    </row>
    <row r="505" spans="23:32">
      <c r="W505">
        <v>250.997</v>
      </c>
      <c r="X505">
        <v>1.21588875083662</v>
      </c>
      <c r="Y505">
        <v>250.997</v>
      </c>
      <c r="Z505">
        <v>1.23260632680252</v>
      </c>
      <c r="AA505">
        <v>250.997</v>
      </c>
      <c r="AB505">
        <v>1.25180339157699</v>
      </c>
      <c r="AC505">
        <v>250.997</v>
      </c>
      <c r="AD505">
        <v>1.27157785131947</v>
      </c>
      <c r="AE505">
        <v>250.997</v>
      </c>
      <c r="AF505">
        <v>1.18774322322212</v>
      </c>
    </row>
    <row r="506" spans="23:32">
      <c r="W506">
        <v>251.496</v>
      </c>
      <c r="X506">
        <v>1.22451994499208</v>
      </c>
      <c r="Y506">
        <v>251.496</v>
      </c>
      <c r="Z506">
        <v>1.23403954530329</v>
      </c>
      <c r="AA506">
        <v>251.496</v>
      </c>
      <c r="AB506">
        <v>1.25995789917081</v>
      </c>
      <c r="AC506">
        <v>251.496</v>
      </c>
      <c r="AD506">
        <v>1.26605586244535</v>
      </c>
      <c r="AE506">
        <v>251.496</v>
      </c>
      <c r="AF506">
        <v>1.19053229426865</v>
      </c>
    </row>
    <row r="507" spans="23:32">
      <c r="W507">
        <v>251.995</v>
      </c>
      <c r="X507">
        <v>1.22648247821086</v>
      </c>
      <c r="Y507">
        <v>251.995</v>
      </c>
      <c r="Z507">
        <v>1.22722746153056</v>
      </c>
      <c r="AA507">
        <v>251.995</v>
      </c>
      <c r="AB507">
        <v>1.25573463539175</v>
      </c>
      <c r="AC507">
        <v>251.995</v>
      </c>
      <c r="AD507">
        <v>1.26241718600331</v>
      </c>
      <c r="AE507">
        <v>251.995</v>
      </c>
      <c r="AF507">
        <v>1.18390678379809</v>
      </c>
    </row>
    <row r="508" spans="23:32">
      <c r="W508">
        <v>252.494</v>
      </c>
      <c r="X508">
        <v>1.23073653612634</v>
      </c>
      <c r="Y508">
        <v>252.494</v>
      </c>
      <c r="Z508">
        <v>1.23628070772262</v>
      </c>
      <c r="AA508">
        <v>252.494</v>
      </c>
      <c r="AB508">
        <v>1.26142690470326</v>
      </c>
      <c r="AC508">
        <v>252.494</v>
      </c>
      <c r="AD508">
        <v>1.25724289111683</v>
      </c>
      <c r="AE508">
        <v>252.494</v>
      </c>
      <c r="AF508">
        <v>1.19451634820102</v>
      </c>
    </row>
    <row r="509" spans="23:32">
      <c r="W509">
        <v>252.993</v>
      </c>
      <c r="X509">
        <v>1.22040693650059</v>
      </c>
      <c r="Y509">
        <v>252.993</v>
      </c>
      <c r="Z509">
        <v>1.23689536611699</v>
      </c>
      <c r="AA509">
        <v>252.993</v>
      </c>
      <c r="AB509">
        <v>1.25462434953522</v>
      </c>
      <c r="AC509">
        <v>252.993</v>
      </c>
      <c r="AD509">
        <v>1.2593636303766</v>
      </c>
      <c r="AE509">
        <v>252.993</v>
      </c>
      <c r="AF509">
        <v>1.19188282473269</v>
      </c>
    </row>
    <row r="510" spans="23:32">
      <c r="W510">
        <v>253.492</v>
      </c>
      <c r="X510">
        <v>1.21939163641002</v>
      </c>
      <c r="Y510">
        <v>253.492</v>
      </c>
      <c r="Z510">
        <v>1.23194957354685</v>
      </c>
      <c r="AA510">
        <v>253.492</v>
      </c>
      <c r="AB510">
        <v>1.25246103217916</v>
      </c>
      <c r="AC510">
        <v>253.492</v>
      </c>
      <c r="AD510">
        <v>1.2679233909901</v>
      </c>
      <c r="AE510">
        <v>253.492</v>
      </c>
      <c r="AF510">
        <v>1.20079322116924</v>
      </c>
    </row>
    <row r="511" spans="23:32">
      <c r="W511">
        <v>253.991</v>
      </c>
      <c r="X511">
        <v>1.22001528291715</v>
      </c>
      <c r="Y511">
        <v>253.991</v>
      </c>
      <c r="Z511">
        <v>1.22988758237924</v>
      </c>
      <c r="AA511">
        <v>253.991</v>
      </c>
      <c r="AB511">
        <v>1.25348599076549</v>
      </c>
      <c r="AC511">
        <v>253.991</v>
      </c>
      <c r="AD511">
        <v>1.26526297595634</v>
      </c>
      <c r="AE511">
        <v>253.991</v>
      </c>
      <c r="AF511">
        <v>1.19658644232989</v>
      </c>
    </row>
    <row r="512" spans="23:32">
      <c r="W512">
        <v>254.49</v>
      </c>
      <c r="X512">
        <v>1.22553145092871</v>
      </c>
      <c r="Y512">
        <v>254.49</v>
      </c>
      <c r="Z512">
        <v>1.22680421064372</v>
      </c>
      <c r="AA512">
        <v>254.49</v>
      </c>
      <c r="AB512">
        <v>1.25922314623707</v>
      </c>
      <c r="AC512">
        <v>254.49</v>
      </c>
      <c r="AD512">
        <v>1.26637163276038</v>
      </c>
      <c r="AE512">
        <v>254.49</v>
      </c>
      <c r="AF512">
        <v>1.19691370114158</v>
      </c>
    </row>
    <row r="513" spans="23:32">
      <c r="W513">
        <v>254.989</v>
      </c>
      <c r="X513">
        <v>1.22916352110979</v>
      </c>
      <c r="Y513">
        <v>254.989</v>
      </c>
      <c r="Z513">
        <v>1.22681877831238</v>
      </c>
      <c r="AA513">
        <v>254.989</v>
      </c>
      <c r="AB513">
        <v>1.26146501763633</v>
      </c>
      <c r="AC513">
        <v>254.989</v>
      </c>
      <c r="AD513">
        <v>1.26198563974065</v>
      </c>
      <c r="AE513">
        <v>254.989</v>
      </c>
      <c r="AF513">
        <v>1.19542711419957</v>
      </c>
    </row>
    <row r="514" spans="23:32">
      <c r="W514">
        <v>255.488</v>
      </c>
      <c r="X514">
        <v>1.22410706552097</v>
      </c>
      <c r="Y514">
        <v>255.488</v>
      </c>
      <c r="Z514">
        <v>1.22928952339453</v>
      </c>
      <c r="AA514">
        <v>255.488</v>
      </c>
      <c r="AB514">
        <v>1.25677708590185</v>
      </c>
      <c r="AC514">
        <v>255.488</v>
      </c>
      <c r="AD514">
        <v>1.26086181276753</v>
      </c>
      <c r="AE514">
        <v>255.488</v>
      </c>
      <c r="AF514">
        <v>1.19823929647888</v>
      </c>
    </row>
    <row r="515" spans="23:32">
      <c r="W515">
        <v>255.987</v>
      </c>
      <c r="X515">
        <v>1.22402337523804</v>
      </c>
      <c r="Y515">
        <v>255.987</v>
      </c>
      <c r="Z515">
        <v>1.22968682191215</v>
      </c>
      <c r="AA515">
        <v>255.987</v>
      </c>
      <c r="AB515">
        <v>1.24548005664435</v>
      </c>
      <c r="AC515">
        <v>255.987</v>
      </c>
      <c r="AD515">
        <v>1.25709190058256</v>
      </c>
      <c r="AE515">
        <v>255.987</v>
      </c>
      <c r="AF515">
        <v>1.20403518301819</v>
      </c>
    </row>
    <row r="516" spans="23:32">
      <c r="W516">
        <v>256.486</v>
      </c>
      <c r="X516">
        <v>1.22080396683895</v>
      </c>
      <c r="Y516">
        <v>256.486</v>
      </c>
      <c r="Z516">
        <v>1.23049810305256</v>
      </c>
      <c r="AA516">
        <v>256.486</v>
      </c>
      <c r="AB516">
        <v>1.25204945256136</v>
      </c>
      <c r="AC516">
        <v>256.486</v>
      </c>
      <c r="AD516">
        <v>1.25777951193847</v>
      </c>
      <c r="AE516">
        <v>256.486</v>
      </c>
      <c r="AF516">
        <v>1.20545464737553</v>
      </c>
    </row>
    <row r="517" spans="23:32">
      <c r="W517">
        <v>256.985</v>
      </c>
      <c r="X517">
        <v>1.22899635419663</v>
      </c>
      <c r="Y517">
        <v>256.985</v>
      </c>
      <c r="Z517">
        <v>1.24038777519942</v>
      </c>
      <c r="AA517">
        <v>256.985</v>
      </c>
      <c r="AB517">
        <v>1.25047411324558</v>
      </c>
      <c r="AC517">
        <v>256.985</v>
      </c>
      <c r="AD517">
        <v>1.26336732592354</v>
      </c>
      <c r="AE517">
        <v>256.985</v>
      </c>
      <c r="AF517">
        <v>1.20332009395045</v>
      </c>
    </row>
    <row r="518" spans="23:32">
      <c r="W518">
        <v>257.484</v>
      </c>
      <c r="X518">
        <v>1.21983726444555</v>
      </c>
      <c r="Y518">
        <v>257.484</v>
      </c>
      <c r="Z518">
        <v>1.23524754520167</v>
      </c>
      <c r="AA518">
        <v>257.484</v>
      </c>
      <c r="AB518">
        <v>1.25841379592402</v>
      </c>
      <c r="AC518">
        <v>257.484</v>
      </c>
      <c r="AD518">
        <v>1.25988886237613</v>
      </c>
      <c r="AE518">
        <v>257.484</v>
      </c>
      <c r="AF518">
        <v>1.20716024960644</v>
      </c>
    </row>
    <row r="519" spans="23:32">
      <c r="W519">
        <v>257.983</v>
      </c>
      <c r="X519">
        <v>1.22395694684577</v>
      </c>
      <c r="Y519">
        <v>257.983</v>
      </c>
      <c r="Z519">
        <v>1.23474084056983</v>
      </c>
      <c r="AA519">
        <v>257.983</v>
      </c>
      <c r="AB519">
        <v>1.26324764386968</v>
      </c>
      <c r="AC519">
        <v>257.983</v>
      </c>
      <c r="AD519">
        <v>1.26336392311542</v>
      </c>
      <c r="AE519">
        <v>257.983</v>
      </c>
      <c r="AF519">
        <v>1.20314328459676</v>
      </c>
    </row>
    <row r="520" spans="23:32">
      <c r="W520">
        <v>258.482</v>
      </c>
      <c r="X520">
        <v>1.22179526318364</v>
      </c>
      <c r="Y520">
        <v>258.482</v>
      </c>
      <c r="Z520">
        <v>1.23757495218667</v>
      </c>
      <c r="AA520">
        <v>258.482</v>
      </c>
      <c r="AB520">
        <v>1.26043665055676</v>
      </c>
      <c r="AC520">
        <v>258.482</v>
      </c>
      <c r="AD520">
        <v>1.26588893002517</v>
      </c>
      <c r="AE520">
        <v>258.482</v>
      </c>
      <c r="AF520">
        <v>1.19391075981078</v>
      </c>
    </row>
    <row r="521" spans="23:32">
      <c r="W521">
        <v>258.981</v>
      </c>
      <c r="X521">
        <v>1.21466385678789</v>
      </c>
      <c r="Y521">
        <v>258.981</v>
      </c>
      <c r="Z521">
        <v>1.2350176503831</v>
      </c>
      <c r="AA521">
        <v>258.981</v>
      </c>
      <c r="AB521">
        <v>1.25337103417517</v>
      </c>
      <c r="AC521">
        <v>258.981</v>
      </c>
      <c r="AD521">
        <v>1.262082866161</v>
      </c>
      <c r="AE521">
        <v>258.981</v>
      </c>
      <c r="AF521">
        <v>1.20049492302422</v>
      </c>
    </row>
    <row r="522" spans="23:32">
      <c r="W522">
        <v>259.48</v>
      </c>
      <c r="X522">
        <v>1.22495152326464</v>
      </c>
      <c r="Y522">
        <v>259.48</v>
      </c>
      <c r="Z522">
        <v>1.23729673298735</v>
      </c>
      <c r="AA522">
        <v>259.48</v>
      </c>
      <c r="AB522">
        <v>1.25450069655337</v>
      </c>
      <c r="AC522">
        <v>259.48</v>
      </c>
      <c r="AD522">
        <v>1.26267470684701</v>
      </c>
      <c r="AE522">
        <v>259.48</v>
      </c>
      <c r="AF522">
        <v>1.20134165071522</v>
      </c>
    </row>
    <row r="523" spans="23:32">
      <c r="W523">
        <v>259.979</v>
      </c>
      <c r="X523">
        <v>1.22448376608424</v>
      </c>
      <c r="Y523">
        <v>259.979</v>
      </c>
      <c r="Z523">
        <v>1.23658287318955</v>
      </c>
      <c r="AA523">
        <v>259.979</v>
      </c>
      <c r="AB523">
        <v>1.25250765982235</v>
      </c>
      <c r="AC523">
        <v>259.979</v>
      </c>
      <c r="AD523">
        <v>1.26959715038179</v>
      </c>
      <c r="AE523">
        <v>259.979</v>
      </c>
      <c r="AF523">
        <v>1.20671509698777</v>
      </c>
    </row>
    <row r="524" spans="23:32">
      <c r="W524">
        <v>260.478</v>
      </c>
      <c r="X524">
        <v>1.22384995292028</v>
      </c>
      <c r="Y524">
        <v>260.478</v>
      </c>
      <c r="Z524">
        <v>1.23516142426222</v>
      </c>
      <c r="AA524">
        <v>260.478</v>
      </c>
      <c r="AB524">
        <v>1.25310884219156</v>
      </c>
      <c r="AC524">
        <v>260.478</v>
      </c>
      <c r="AD524">
        <v>1.26016689976327</v>
      </c>
      <c r="AE524">
        <v>260.478</v>
      </c>
      <c r="AF524">
        <v>1.20319941744077</v>
      </c>
    </row>
    <row r="525" spans="23:32">
      <c r="W525">
        <v>260.977</v>
      </c>
      <c r="X525">
        <v>1.22121844447666</v>
      </c>
      <c r="Y525">
        <v>260.977</v>
      </c>
      <c r="Z525">
        <v>1.23831308420382</v>
      </c>
      <c r="AA525">
        <v>260.977</v>
      </c>
      <c r="AB525">
        <v>1.25796500735202</v>
      </c>
      <c r="AC525">
        <v>260.977</v>
      </c>
      <c r="AD525">
        <v>1.26960099852569</v>
      </c>
      <c r="AE525">
        <v>260.977</v>
      </c>
      <c r="AF525">
        <v>1.21038358231635</v>
      </c>
    </row>
    <row r="526" spans="23:32">
      <c r="W526">
        <v>261.476</v>
      </c>
      <c r="X526">
        <v>1.22293490261455</v>
      </c>
      <c r="Y526">
        <v>261.476</v>
      </c>
      <c r="Z526">
        <v>1.24037245502603</v>
      </c>
      <c r="AA526">
        <v>261.476</v>
      </c>
      <c r="AB526">
        <v>1.25259663874284</v>
      </c>
      <c r="AC526">
        <v>261.476</v>
      </c>
      <c r="AD526">
        <v>1.26209954624555</v>
      </c>
      <c r="AE526">
        <v>261.476</v>
      </c>
      <c r="AF526">
        <v>1.1994443141339</v>
      </c>
    </row>
    <row r="527" spans="23:32">
      <c r="W527">
        <v>261.975</v>
      </c>
      <c r="X527">
        <v>1.2253755043137</v>
      </c>
      <c r="Y527">
        <v>261.975</v>
      </c>
      <c r="Z527">
        <v>1.24006482647871</v>
      </c>
      <c r="AA527">
        <v>261.975</v>
      </c>
      <c r="AB527">
        <v>1.25596916497113</v>
      </c>
      <c r="AC527">
        <v>261.975</v>
      </c>
      <c r="AD527">
        <v>1.26505562139875</v>
      </c>
      <c r="AE527">
        <v>261.975</v>
      </c>
      <c r="AF527">
        <v>1.20458052888962</v>
      </c>
    </row>
    <row r="528" spans="23:32">
      <c r="W528">
        <v>262.474</v>
      </c>
      <c r="X528">
        <v>1.22246941881587</v>
      </c>
      <c r="Y528">
        <v>262.474</v>
      </c>
      <c r="Z528">
        <v>1.2305724753921</v>
      </c>
      <c r="AA528">
        <v>262.474</v>
      </c>
      <c r="AB528">
        <v>1.25208300294891</v>
      </c>
      <c r="AC528">
        <v>262.474</v>
      </c>
      <c r="AD528">
        <v>1.26638728486681</v>
      </c>
      <c r="AE528">
        <v>262.474</v>
      </c>
      <c r="AF528">
        <v>1.19322839600076</v>
      </c>
    </row>
    <row r="529" spans="23:32">
      <c r="W529">
        <v>262.973</v>
      </c>
      <c r="X529">
        <v>1.22694250957695</v>
      </c>
      <c r="Y529">
        <v>262.973</v>
      </c>
      <c r="Z529">
        <v>1.22914753140993</v>
      </c>
      <c r="AA529">
        <v>262.973</v>
      </c>
      <c r="AB529">
        <v>1.25999776163688</v>
      </c>
      <c r="AC529">
        <v>262.973</v>
      </c>
      <c r="AD529">
        <v>1.26910185679809</v>
      </c>
      <c r="AE529">
        <v>262.973</v>
      </c>
      <c r="AF529">
        <v>1.20053029709407</v>
      </c>
    </row>
    <row r="530" spans="23:32">
      <c r="W530">
        <v>263.472</v>
      </c>
      <c r="X530">
        <v>1.21517445929143</v>
      </c>
      <c r="Y530">
        <v>263.472</v>
      </c>
      <c r="Z530">
        <v>1.23465897998329</v>
      </c>
      <c r="AA530">
        <v>263.472</v>
      </c>
      <c r="AB530">
        <v>1.25599589634842</v>
      </c>
      <c r="AC530">
        <v>263.472</v>
      </c>
      <c r="AD530">
        <v>1.27408769752954</v>
      </c>
      <c r="AE530">
        <v>263.472</v>
      </c>
      <c r="AF530">
        <v>1.20114352612707</v>
      </c>
    </row>
    <row r="531" spans="23:32">
      <c r="W531">
        <v>263.971</v>
      </c>
      <c r="X531">
        <v>1.22558799751295</v>
      </c>
      <c r="Y531">
        <v>263.971</v>
      </c>
      <c r="Z531">
        <v>1.2327008687189</v>
      </c>
      <c r="AA531">
        <v>263.971</v>
      </c>
      <c r="AB531">
        <v>1.25802146413613</v>
      </c>
      <c r="AC531">
        <v>263.971</v>
      </c>
      <c r="AD531">
        <v>1.27373792483047</v>
      </c>
      <c r="AE531">
        <v>263.971</v>
      </c>
      <c r="AF531">
        <v>1.19996892483801</v>
      </c>
    </row>
    <row r="532" spans="23:32">
      <c r="W532">
        <v>264.47</v>
      </c>
      <c r="X532">
        <v>1.21825159351924</v>
      </c>
      <c r="Y532">
        <v>264.47</v>
      </c>
      <c r="Z532">
        <v>1.23597950857338</v>
      </c>
      <c r="AA532">
        <v>264.47</v>
      </c>
      <c r="AB532">
        <v>1.25584527179248</v>
      </c>
      <c r="AC532">
        <v>264.47</v>
      </c>
      <c r="AD532">
        <v>1.26729167245123</v>
      </c>
      <c r="AE532">
        <v>264.47</v>
      </c>
      <c r="AF532">
        <v>1.20201505502756</v>
      </c>
    </row>
    <row r="533" spans="23:32">
      <c r="W533">
        <v>264.969</v>
      </c>
      <c r="X533">
        <v>1.2205013887225</v>
      </c>
      <c r="Y533">
        <v>264.969</v>
      </c>
      <c r="Z533">
        <v>1.23881774196139</v>
      </c>
      <c r="AA533">
        <v>264.969</v>
      </c>
      <c r="AB533">
        <v>1.25513771849953</v>
      </c>
      <c r="AC533">
        <v>264.969</v>
      </c>
      <c r="AD533">
        <v>1.27209309199834</v>
      </c>
      <c r="AE533">
        <v>264.969</v>
      </c>
      <c r="AF533">
        <v>1.20491946582384</v>
      </c>
    </row>
    <row r="534" spans="23:32">
      <c r="W534">
        <v>265.468</v>
      </c>
      <c r="X534">
        <v>1.21695878980302</v>
      </c>
      <c r="Y534">
        <v>265.468</v>
      </c>
      <c r="Z534">
        <v>1.23148869737533</v>
      </c>
      <c r="AA534">
        <v>265.468</v>
      </c>
      <c r="AB534">
        <v>1.2596359338644</v>
      </c>
      <c r="AC534">
        <v>265.468</v>
      </c>
      <c r="AD534">
        <v>1.26881423604078</v>
      </c>
      <c r="AE534">
        <v>265.468</v>
      </c>
      <c r="AF534">
        <v>1.20233924800206</v>
      </c>
    </row>
    <row r="535" spans="23:32">
      <c r="W535">
        <v>265.967</v>
      </c>
      <c r="X535">
        <v>1.22494855599331</v>
      </c>
      <c r="Y535">
        <v>265.967</v>
      </c>
      <c r="Z535">
        <v>1.23404419934068</v>
      </c>
      <c r="AA535">
        <v>265.967</v>
      </c>
      <c r="AB535">
        <v>1.25621040352023</v>
      </c>
      <c r="AC535">
        <v>265.967</v>
      </c>
      <c r="AD535">
        <v>1.26216230655202</v>
      </c>
      <c r="AE535">
        <v>265.967</v>
      </c>
      <c r="AF535">
        <v>1.20863316122201</v>
      </c>
    </row>
    <row r="536" spans="23:32">
      <c r="W536">
        <v>266.466</v>
      </c>
      <c r="X536">
        <v>1.22402679883854</v>
      </c>
      <c r="Y536">
        <v>266.466</v>
      </c>
      <c r="Z536">
        <v>1.24462569251482</v>
      </c>
      <c r="AA536">
        <v>266.466</v>
      </c>
      <c r="AB536">
        <v>1.25109989614991</v>
      </c>
      <c r="AC536">
        <v>266.466</v>
      </c>
      <c r="AD536">
        <v>1.27594568131823</v>
      </c>
      <c r="AE536">
        <v>266.466</v>
      </c>
      <c r="AF536">
        <v>1.20022090526417</v>
      </c>
    </row>
    <row r="537" spans="23:32">
      <c r="W537">
        <v>266.965</v>
      </c>
      <c r="X537">
        <v>1.2256594875744</v>
      </c>
      <c r="Y537">
        <v>266.965</v>
      </c>
      <c r="Z537">
        <v>1.24156087514731</v>
      </c>
      <c r="AA537">
        <v>266.965</v>
      </c>
      <c r="AB537">
        <v>1.26284646970259</v>
      </c>
      <c r="AC537">
        <v>266.965</v>
      </c>
      <c r="AD537">
        <v>1.26817001164771</v>
      </c>
      <c r="AE537">
        <v>266.965</v>
      </c>
      <c r="AF537">
        <v>1.20579512161815</v>
      </c>
    </row>
    <row r="538" spans="23:32">
      <c r="W538">
        <v>267.464</v>
      </c>
      <c r="X538">
        <v>1.22410496696187</v>
      </c>
      <c r="Y538">
        <v>267.464</v>
      </c>
      <c r="Z538">
        <v>1.23486163407485</v>
      </c>
      <c r="AA538">
        <v>267.464</v>
      </c>
      <c r="AB538">
        <v>1.26178317918995</v>
      </c>
      <c r="AC538">
        <v>267.464</v>
      </c>
      <c r="AD538">
        <v>1.27337499385683</v>
      </c>
      <c r="AE538">
        <v>267.464</v>
      </c>
      <c r="AF538">
        <v>1.20610660500456</v>
      </c>
    </row>
    <row r="539" spans="23:32">
      <c r="W539">
        <v>267.963</v>
      </c>
      <c r="X539">
        <v>1.21535544373433</v>
      </c>
      <c r="Y539">
        <v>267.963</v>
      </c>
      <c r="Z539">
        <v>1.24127795121211</v>
      </c>
      <c r="AA539">
        <v>267.963</v>
      </c>
      <c r="AB539">
        <v>1.24662266112561</v>
      </c>
      <c r="AC539">
        <v>267.963</v>
      </c>
      <c r="AD539">
        <v>1.26848267871035</v>
      </c>
      <c r="AE539">
        <v>267.963</v>
      </c>
      <c r="AF539">
        <v>1.20991455919141</v>
      </c>
    </row>
    <row r="540" spans="23:32">
      <c r="W540">
        <v>268.462</v>
      </c>
      <c r="X540">
        <v>1.22398973445226</v>
      </c>
      <c r="Y540">
        <v>268.462</v>
      </c>
      <c r="Z540">
        <v>1.23015510621286</v>
      </c>
      <c r="AA540">
        <v>268.462</v>
      </c>
      <c r="AB540">
        <v>1.25177724095997</v>
      </c>
      <c r="AC540">
        <v>268.462</v>
      </c>
      <c r="AD540">
        <v>1.27587628462684</v>
      </c>
      <c r="AE540">
        <v>268.462</v>
      </c>
      <c r="AF540">
        <v>1.20511737368094</v>
      </c>
    </row>
    <row r="541" spans="23:32">
      <c r="W541">
        <v>268.961</v>
      </c>
      <c r="X541">
        <v>1.2293693404694</v>
      </c>
      <c r="Y541">
        <v>268.961</v>
      </c>
      <c r="Z541">
        <v>1.23408953714995</v>
      </c>
      <c r="AA541">
        <v>268.961</v>
      </c>
      <c r="AB541">
        <v>1.2600931247848</v>
      </c>
      <c r="AC541">
        <v>268.961</v>
      </c>
      <c r="AD541">
        <v>1.26920036384489</v>
      </c>
      <c r="AE541">
        <v>268.961</v>
      </c>
      <c r="AF541">
        <v>1.20596359699153</v>
      </c>
    </row>
    <row r="542" spans="23:32">
      <c r="W542">
        <v>269.46</v>
      </c>
      <c r="X542">
        <v>1.23224010323056</v>
      </c>
      <c r="Y542">
        <v>269.46</v>
      </c>
      <c r="Z542">
        <v>1.23603735897719</v>
      </c>
      <c r="AA542">
        <v>269.46</v>
      </c>
      <c r="AB542">
        <v>1.25176274509129</v>
      </c>
      <c r="AC542">
        <v>269.46</v>
      </c>
      <c r="AD542">
        <v>1.26758765301679</v>
      </c>
      <c r="AE542">
        <v>269.46</v>
      </c>
      <c r="AF542">
        <v>1.21108758333457</v>
      </c>
    </row>
    <row r="543" spans="23:32">
      <c r="W543">
        <v>269.959</v>
      </c>
      <c r="X543">
        <v>1.22399972643615</v>
      </c>
      <c r="Y543">
        <v>269.959</v>
      </c>
      <c r="Z543">
        <v>1.22856066059783</v>
      </c>
      <c r="AA543">
        <v>269.959</v>
      </c>
      <c r="AB543">
        <v>1.25047194231474</v>
      </c>
      <c r="AC543">
        <v>269.959</v>
      </c>
      <c r="AD543">
        <v>1.26732239265958</v>
      </c>
      <c r="AE543">
        <v>269.959</v>
      </c>
      <c r="AF543">
        <v>1.20604291861868</v>
      </c>
    </row>
    <row r="544" spans="23:32">
      <c r="W544">
        <v>270.458</v>
      </c>
      <c r="X544">
        <v>1.2220921411018</v>
      </c>
      <c r="Y544">
        <v>270.458</v>
      </c>
      <c r="Z544">
        <v>1.24357387538487</v>
      </c>
      <c r="AA544">
        <v>270.458</v>
      </c>
      <c r="AB544">
        <v>1.25078566183618</v>
      </c>
      <c r="AC544">
        <v>270.458</v>
      </c>
      <c r="AD544">
        <v>1.2635980982217</v>
      </c>
      <c r="AE544">
        <v>270.458</v>
      </c>
      <c r="AF544">
        <v>1.20454548332623</v>
      </c>
    </row>
    <row r="545" spans="23:32">
      <c r="W545">
        <v>270.957</v>
      </c>
      <c r="X545">
        <v>1.2308923212799</v>
      </c>
      <c r="Y545">
        <v>270.957</v>
      </c>
      <c r="Z545">
        <v>1.23583083152803</v>
      </c>
      <c r="AA545">
        <v>270.957</v>
      </c>
      <c r="AB545">
        <v>1.25787119469646</v>
      </c>
      <c r="AC545">
        <v>270.957</v>
      </c>
      <c r="AD545">
        <v>1.26036216787849</v>
      </c>
      <c r="AE545">
        <v>270.957</v>
      </c>
      <c r="AF545">
        <v>1.20678029854721</v>
      </c>
    </row>
    <row r="546" spans="23:32">
      <c r="W546">
        <v>271.456</v>
      </c>
      <c r="X546">
        <v>1.22913169731806</v>
      </c>
      <c r="Y546">
        <v>271.456</v>
      </c>
      <c r="Z546">
        <v>1.23577123019919</v>
      </c>
      <c r="AA546">
        <v>271.456</v>
      </c>
      <c r="AB546">
        <v>1.25676302770151</v>
      </c>
      <c r="AC546">
        <v>271.456</v>
      </c>
      <c r="AD546">
        <v>1.26323540526245</v>
      </c>
      <c r="AE546">
        <v>271.456</v>
      </c>
      <c r="AF546">
        <v>1.20397579981565</v>
      </c>
    </row>
    <row r="547" spans="23:32">
      <c r="W547">
        <v>271.955</v>
      </c>
      <c r="X547">
        <v>1.22900663022235</v>
      </c>
      <c r="Y547">
        <v>271.955</v>
      </c>
      <c r="Z547">
        <v>1.23798068529243</v>
      </c>
      <c r="AA547">
        <v>271.955</v>
      </c>
      <c r="AB547">
        <v>1.25940111398327</v>
      </c>
      <c r="AC547">
        <v>271.955</v>
      </c>
      <c r="AD547">
        <v>1.25333306115473</v>
      </c>
      <c r="AE547">
        <v>271.955</v>
      </c>
      <c r="AF547">
        <v>1.21270920133555</v>
      </c>
    </row>
    <row r="548" spans="23:32">
      <c r="W548">
        <v>272.454</v>
      </c>
      <c r="X548">
        <v>1.2352762131244</v>
      </c>
      <c r="Y548">
        <v>272.454</v>
      </c>
      <c r="Z548">
        <v>1.24153842087879</v>
      </c>
      <c r="AA548">
        <v>272.454</v>
      </c>
      <c r="AB548">
        <v>1.25811633410511</v>
      </c>
      <c r="AC548">
        <v>272.454</v>
      </c>
      <c r="AD548">
        <v>1.2704276131196</v>
      </c>
      <c r="AE548">
        <v>272.454</v>
      </c>
      <c r="AF548">
        <v>1.20726134601086</v>
      </c>
    </row>
    <row r="549" spans="23:32">
      <c r="W549">
        <v>272.953</v>
      </c>
      <c r="X549">
        <v>1.2252344672344</v>
      </c>
      <c r="Y549">
        <v>272.953</v>
      </c>
      <c r="Z549">
        <v>1.23691856643257</v>
      </c>
      <c r="AA549">
        <v>272.953</v>
      </c>
      <c r="AB549">
        <v>1.25776643495585</v>
      </c>
      <c r="AC549">
        <v>272.953</v>
      </c>
      <c r="AD549">
        <v>1.25356612713129</v>
      </c>
      <c r="AE549">
        <v>272.953</v>
      </c>
      <c r="AF549">
        <v>1.20861066778318</v>
      </c>
    </row>
    <row r="550" spans="23:32">
      <c r="W550">
        <v>273.452</v>
      </c>
      <c r="X550">
        <v>1.22415792801129</v>
      </c>
      <c r="Y550">
        <v>273.452</v>
      </c>
      <c r="Z550">
        <v>1.23038433210022</v>
      </c>
      <c r="AA550">
        <v>273.452</v>
      </c>
      <c r="AB550">
        <v>1.25859820356851</v>
      </c>
      <c r="AC550">
        <v>273.452</v>
      </c>
      <c r="AD550">
        <v>1.26067164521135</v>
      </c>
      <c r="AE550">
        <v>273.452</v>
      </c>
      <c r="AF550">
        <v>1.20851157170631</v>
      </c>
    </row>
    <row r="551" spans="23:32">
      <c r="W551">
        <v>273.951</v>
      </c>
      <c r="X551">
        <v>1.22236776061466</v>
      </c>
      <c r="Y551">
        <v>273.951</v>
      </c>
      <c r="Z551">
        <v>1.2331174499305</v>
      </c>
      <c r="AA551">
        <v>273.951</v>
      </c>
      <c r="AB551">
        <v>1.25469596534141</v>
      </c>
      <c r="AC551">
        <v>273.951</v>
      </c>
      <c r="AD551">
        <v>1.26747539049741</v>
      </c>
      <c r="AE551">
        <v>273.951</v>
      </c>
      <c r="AF551">
        <v>1.21565662617497</v>
      </c>
    </row>
    <row r="552" spans="23:32">
      <c r="W552">
        <v>274.45</v>
      </c>
      <c r="X552">
        <v>1.22271032428318</v>
      </c>
      <c r="Y552">
        <v>274.45</v>
      </c>
      <c r="Z552">
        <v>1.22958549386594</v>
      </c>
      <c r="AA552">
        <v>274.45</v>
      </c>
      <c r="AB552">
        <v>1.25029702212675</v>
      </c>
      <c r="AC552">
        <v>274.45</v>
      </c>
      <c r="AD552">
        <v>1.26823843736361</v>
      </c>
      <c r="AE552">
        <v>274.45</v>
      </c>
      <c r="AF552">
        <v>1.21095754489058</v>
      </c>
    </row>
    <row r="553" spans="23:32">
      <c r="W553">
        <v>274.949</v>
      </c>
      <c r="X553">
        <v>1.2278234875728</v>
      </c>
      <c r="Y553">
        <v>274.949</v>
      </c>
      <c r="Z553">
        <v>1.23566036079812</v>
      </c>
      <c r="AA553">
        <v>274.949</v>
      </c>
      <c r="AB553">
        <v>1.25078540291665</v>
      </c>
      <c r="AC553">
        <v>274.949</v>
      </c>
      <c r="AD553">
        <v>1.26586873014001</v>
      </c>
      <c r="AE553">
        <v>274.949</v>
      </c>
      <c r="AF553">
        <v>1.21052364880305</v>
      </c>
    </row>
    <row r="554" spans="23:32">
      <c r="W554">
        <v>275.448</v>
      </c>
      <c r="X554">
        <v>1.2241325290425</v>
      </c>
      <c r="Y554">
        <v>275.448</v>
      </c>
      <c r="Z554">
        <v>1.23861725846735</v>
      </c>
      <c r="AA554">
        <v>275.448</v>
      </c>
      <c r="AB554">
        <v>1.25431459525666</v>
      </c>
      <c r="AC554">
        <v>275.448</v>
      </c>
      <c r="AD554">
        <v>1.26595294654367</v>
      </c>
      <c r="AE554">
        <v>275.448</v>
      </c>
      <c r="AF554">
        <v>1.22518543015903</v>
      </c>
    </row>
    <row r="555" spans="23:32">
      <c r="W555">
        <v>275.947</v>
      </c>
      <c r="X555">
        <v>1.22664953044745</v>
      </c>
      <c r="Y555">
        <v>275.947</v>
      </c>
      <c r="Z555">
        <v>1.23618543295215</v>
      </c>
      <c r="AA555">
        <v>275.947</v>
      </c>
      <c r="AB555">
        <v>1.25224203555043</v>
      </c>
      <c r="AC555">
        <v>275.947</v>
      </c>
      <c r="AD555">
        <v>1.26776716727873</v>
      </c>
      <c r="AE555">
        <v>275.947</v>
      </c>
      <c r="AF555">
        <v>1.21786044946434</v>
      </c>
    </row>
    <row r="556" spans="23:32">
      <c r="W556">
        <v>276.446</v>
      </c>
      <c r="X556">
        <v>1.22677726988636</v>
      </c>
      <c r="Y556">
        <v>276.446</v>
      </c>
      <c r="Z556">
        <v>1.23264329253747</v>
      </c>
      <c r="AA556">
        <v>276.446</v>
      </c>
      <c r="AB556">
        <v>1.25845756827706</v>
      </c>
      <c r="AC556">
        <v>276.446</v>
      </c>
      <c r="AD556">
        <v>1.26887164421606</v>
      </c>
      <c r="AE556">
        <v>276.446</v>
      </c>
      <c r="AF556">
        <v>1.20930354623182</v>
      </c>
    </row>
    <row r="557" spans="23:32">
      <c r="W557">
        <v>276.945</v>
      </c>
      <c r="X557">
        <v>1.21244175071731</v>
      </c>
      <c r="Y557">
        <v>276.945</v>
      </c>
      <c r="Z557">
        <v>1.23580188746912</v>
      </c>
      <c r="AA557">
        <v>276.945</v>
      </c>
      <c r="AB557">
        <v>1.2576678870357</v>
      </c>
      <c r="AC557">
        <v>276.945</v>
      </c>
      <c r="AD557">
        <v>1.26591350573349</v>
      </c>
      <c r="AE557">
        <v>276.945</v>
      </c>
      <c r="AF557">
        <v>1.20883470696171</v>
      </c>
    </row>
    <row r="558" spans="23:32">
      <c r="W558">
        <v>277.444</v>
      </c>
      <c r="X558">
        <v>1.22892370300232</v>
      </c>
      <c r="Y558">
        <v>277.444</v>
      </c>
      <c r="Z558">
        <v>1.23423125485498</v>
      </c>
      <c r="AA558">
        <v>277.444</v>
      </c>
      <c r="AB558">
        <v>1.25803037630032</v>
      </c>
      <c r="AC558">
        <v>277.444</v>
      </c>
      <c r="AD558">
        <v>1.26524718963472</v>
      </c>
      <c r="AE558">
        <v>277.444</v>
      </c>
      <c r="AF558">
        <v>1.21516698967597</v>
      </c>
    </row>
    <row r="559" spans="23:32">
      <c r="W559">
        <v>277.943</v>
      </c>
      <c r="X559">
        <v>1.22503043619776</v>
      </c>
      <c r="Y559">
        <v>277.943</v>
      </c>
      <c r="Z559">
        <v>1.24581349516552</v>
      </c>
      <c r="AA559">
        <v>277.943</v>
      </c>
      <c r="AB559">
        <v>1.2529042806427</v>
      </c>
      <c r="AC559">
        <v>277.943</v>
      </c>
      <c r="AD559">
        <v>1.26099709434746</v>
      </c>
      <c r="AE559">
        <v>277.943</v>
      </c>
      <c r="AF559">
        <v>1.21403556877541</v>
      </c>
    </row>
    <row r="560" spans="23:32">
      <c r="W560">
        <v>278.442</v>
      </c>
      <c r="X560">
        <v>1.22287759144201</v>
      </c>
      <c r="Y560">
        <v>278.442</v>
      </c>
      <c r="Z560">
        <v>1.23441184457049</v>
      </c>
      <c r="AA560">
        <v>278.442</v>
      </c>
      <c r="AB560">
        <v>1.2463157763888</v>
      </c>
      <c r="AC560">
        <v>278.442</v>
      </c>
      <c r="AD560">
        <v>1.25779376492885</v>
      </c>
      <c r="AE560">
        <v>278.442</v>
      </c>
      <c r="AF560">
        <v>1.21283142326089</v>
      </c>
    </row>
    <row r="561" spans="23:32">
      <c r="W561">
        <v>278.941</v>
      </c>
      <c r="X561">
        <v>1.22358398159341</v>
      </c>
      <c r="Y561">
        <v>278.941</v>
      </c>
      <c r="Z561">
        <v>1.23450917233391</v>
      </c>
      <c r="AA561">
        <v>278.941</v>
      </c>
      <c r="AB561">
        <v>1.25489443458683</v>
      </c>
      <c r="AC561">
        <v>278.941</v>
      </c>
      <c r="AD561">
        <v>1.26207300133206</v>
      </c>
      <c r="AE561">
        <v>278.941</v>
      </c>
      <c r="AF561">
        <v>1.21573619602805</v>
      </c>
    </row>
    <row r="562" spans="23:32">
      <c r="W562">
        <v>279.44</v>
      </c>
      <c r="X562">
        <v>1.21263421433031</v>
      </c>
      <c r="Y562">
        <v>279.44</v>
      </c>
      <c r="Z562">
        <v>1.23567515736685</v>
      </c>
      <c r="AA562">
        <v>279.44</v>
      </c>
      <c r="AB562">
        <v>1.25267770509183</v>
      </c>
      <c r="AC562">
        <v>279.44</v>
      </c>
      <c r="AD562">
        <v>1.26271606051029</v>
      </c>
      <c r="AE562">
        <v>279.44</v>
      </c>
      <c r="AF562">
        <v>1.21209582723497</v>
      </c>
    </row>
    <row r="563" spans="23:32">
      <c r="W563">
        <v>279.939</v>
      </c>
      <c r="X563">
        <v>1.2196717873757</v>
      </c>
      <c r="Y563">
        <v>279.939</v>
      </c>
      <c r="Z563">
        <v>1.23897153927884</v>
      </c>
      <c r="AA563">
        <v>279.939</v>
      </c>
      <c r="AB563">
        <v>1.25475554584392</v>
      </c>
      <c r="AC563">
        <v>279.939</v>
      </c>
      <c r="AD563">
        <v>1.26871831707112</v>
      </c>
      <c r="AE563">
        <v>279.939</v>
      </c>
      <c r="AF563">
        <v>1.21277084562639</v>
      </c>
    </row>
    <row r="564" spans="23:32">
      <c r="W564">
        <v>280.438</v>
      </c>
      <c r="X564">
        <v>1.21966178766779</v>
      </c>
      <c r="Y564">
        <v>280.438</v>
      </c>
      <c r="Z564">
        <v>1.23621723608384</v>
      </c>
      <c r="AA564">
        <v>280.438</v>
      </c>
      <c r="AB564">
        <v>1.25709797523945</v>
      </c>
      <c r="AC564">
        <v>280.438</v>
      </c>
      <c r="AD564">
        <v>1.27057078513002</v>
      </c>
      <c r="AE564">
        <v>280.438</v>
      </c>
      <c r="AF564">
        <v>1.20474609100697</v>
      </c>
    </row>
    <row r="565" spans="23:32">
      <c r="W565">
        <v>280.937</v>
      </c>
      <c r="X565">
        <v>1.21750200762429</v>
      </c>
      <c r="Y565">
        <v>280.937</v>
      </c>
      <c r="Z565">
        <v>1.23450537628526</v>
      </c>
      <c r="AA565">
        <v>280.937</v>
      </c>
      <c r="AB565">
        <v>1.24619824136921</v>
      </c>
      <c r="AC565">
        <v>280.937</v>
      </c>
      <c r="AD565">
        <v>1.26083154656132</v>
      </c>
      <c r="AE565">
        <v>280.937</v>
      </c>
      <c r="AF565">
        <v>1.21245255319544</v>
      </c>
    </row>
    <row r="566" spans="23:32">
      <c r="W566">
        <v>281.436</v>
      </c>
      <c r="X566">
        <v>1.22033311511968</v>
      </c>
      <c r="Y566">
        <v>281.436</v>
      </c>
      <c r="Z566">
        <v>1.23926361788334</v>
      </c>
      <c r="AA566">
        <v>281.436</v>
      </c>
      <c r="AB566">
        <v>1.24950563848773</v>
      </c>
      <c r="AC566">
        <v>281.436</v>
      </c>
      <c r="AD566">
        <v>1.26253727531153</v>
      </c>
      <c r="AE566">
        <v>281.436</v>
      </c>
      <c r="AF566">
        <v>1.21162915023835</v>
      </c>
    </row>
    <row r="567" spans="23:32">
      <c r="W567">
        <v>281.935</v>
      </c>
      <c r="X567">
        <v>1.22273734053247</v>
      </c>
      <c r="Y567">
        <v>281.935</v>
      </c>
      <c r="Z567">
        <v>1.23668332088346</v>
      </c>
      <c r="AA567">
        <v>281.935</v>
      </c>
      <c r="AB567">
        <v>1.25160193014458</v>
      </c>
      <c r="AC567">
        <v>281.935</v>
      </c>
      <c r="AD567">
        <v>1.25985533927712</v>
      </c>
      <c r="AE567">
        <v>281.935</v>
      </c>
      <c r="AF567">
        <v>1.20945040820617</v>
      </c>
    </row>
    <row r="568" spans="23:32">
      <c r="W568">
        <v>282.434</v>
      </c>
      <c r="X568">
        <v>1.22360116414814</v>
      </c>
      <c r="Y568">
        <v>282.434</v>
      </c>
      <c r="Z568">
        <v>1.24525088894799</v>
      </c>
      <c r="AA568">
        <v>282.434</v>
      </c>
      <c r="AB568">
        <v>1.25128194713492</v>
      </c>
      <c r="AC568">
        <v>282.434</v>
      </c>
      <c r="AD568">
        <v>1.26146893278453</v>
      </c>
      <c r="AE568">
        <v>282.434</v>
      </c>
      <c r="AF568">
        <v>1.21186485077284</v>
      </c>
    </row>
    <row r="569" spans="23:32">
      <c r="W569">
        <v>282.933</v>
      </c>
      <c r="X569">
        <v>1.21800575535534</v>
      </c>
      <c r="Y569">
        <v>282.933</v>
      </c>
      <c r="Z569">
        <v>1.24159524235379</v>
      </c>
      <c r="AA569">
        <v>282.933</v>
      </c>
      <c r="AB569">
        <v>1.24798816525619</v>
      </c>
      <c r="AC569">
        <v>282.933</v>
      </c>
      <c r="AD569">
        <v>1.26176375920006</v>
      </c>
      <c r="AE569">
        <v>282.933</v>
      </c>
      <c r="AF569">
        <v>1.21896171281778</v>
      </c>
    </row>
    <row r="570" spans="23:32">
      <c r="W570">
        <v>283.432</v>
      </c>
      <c r="X570">
        <v>1.22504510217203</v>
      </c>
      <c r="Y570">
        <v>283.432</v>
      </c>
      <c r="Z570">
        <v>1.23282146593108</v>
      </c>
      <c r="AA570">
        <v>283.432</v>
      </c>
      <c r="AB570">
        <v>1.25281939640062</v>
      </c>
      <c r="AC570">
        <v>283.432</v>
      </c>
      <c r="AD570">
        <v>1.26547178217575</v>
      </c>
      <c r="AE570">
        <v>283.432</v>
      </c>
      <c r="AF570">
        <v>1.20999869982468</v>
      </c>
    </row>
    <row r="571" spans="23:32">
      <c r="W571">
        <v>283.931</v>
      </c>
      <c r="X571">
        <v>1.22200420082346</v>
      </c>
      <c r="Y571">
        <v>283.931</v>
      </c>
      <c r="Z571">
        <v>1.23541867747266</v>
      </c>
      <c r="AA571">
        <v>283.931</v>
      </c>
      <c r="AB571">
        <v>1.25864401413047</v>
      </c>
      <c r="AC571">
        <v>283.931</v>
      </c>
      <c r="AD571">
        <v>1.26339324098213</v>
      </c>
      <c r="AE571">
        <v>283.931</v>
      </c>
      <c r="AF571">
        <v>1.20438067825313</v>
      </c>
    </row>
    <row r="572" spans="23:32">
      <c r="W572">
        <v>284.43</v>
      </c>
      <c r="X572">
        <v>1.22919877926519</v>
      </c>
      <c r="Y572">
        <v>284.43</v>
      </c>
      <c r="Z572">
        <v>1.2366294428557</v>
      </c>
      <c r="AA572">
        <v>284.43</v>
      </c>
      <c r="AB572">
        <v>1.25466596360751</v>
      </c>
      <c r="AC572">
        <v>284.43</v>
      </c>
      <c r="AD572">
        <v>1.26546163730855</v>
      </c>
      <c r="AE572">
        <v>284.43</v>
      </c>
      <c r="AF572">
        <v>1.20665236918116</v>
      </c>
    </row>
    <row r="573" spans="23:32">
      <c r="W573">
        <v>284.929</v>
      </c>
      <c r="X573">
        <v>1.22714620554625</v>
      </c>
      <c r="Y573">
        <v>284.929</v>
      </c>
      <c r="Z573">
        <v>1.23021642616349</v>
      </c>
      <c r="AA573">
        <v>284.929</v>
      </c>
      <c r="AB573">
        <v>1.25668340304633</v>
      </c>
      <c r="AC573">
        <v>284.929</v>
      </c>
      <c r="AD573">
        <v>1.27009152984859</v>
      </c>
      <c r="AE573">
        <v>284.929</v>
      </c>
      <c r="AF573">
        <v>1.21610531684199</v>
      </c>
    </row>
    <row r="574" spans="23:32">
      <c r="W574">
        <v>285.428</v>
      </c>
      <c r="X574">
        <v>1.22512338484222</v>
      </c>
      <c r="Y574">
        <v>285.428</v>
      </c>
      <c r="Z574">
        <v>1.23774866502378</v>
      </c>
      <c r="AA574">
        <v>285.428</v>
      </c>
      <c r="AB574">
        <v>1.24882178481877</v>
      </c>
      <c r="AC574">
        <v>285.428</v>
      </c>
      <c r="AD574">
        <v>1.26127736667508</v>
      </c>
      <c r="AE574">
        <v>285.428</v>
      </c>
      <c r="AF574">
        <v>1.20970765085524</v>
      </c>
    </row>
    <row r="575" spans="23:32">
      <c r="W575">
        <v>285.927</v>
      </c>
      <c r="X575">
        <v>1.22167983225867</v>
      </c>
      <c r="Y575">
        <v>285.927</v>
      </c>
      <c r="Z575">
        <v>1.23548024222204</v>
      </c>
      <c r="AA575">
        <v>285.927</v>
      </c>
      <c r="AB575">
        <v>1.25636837599109</v>
      </c>
      <c r="AC575">
        <v>285.927</v>
      </c>
      <c r="AD575">
        <v>1.26325022777731</v>
      </c>
      <c r="AE575">
        <v>285.927</v>
      </c>
      <c r="AF575">
        <v>1.2086605397042</v>
      </c>
    </row>
    <row r="576" spans="23:32">
      <c r="W576">
        <v>286.426</v>
      </c>
      <c r="X576">
        <v>1.23362147322273</v>
      </c>
      <c r="Y576">
        <v>286.426</v>
      </c>
      <c r="Z576">
        <v>1.23781571509428</v>
      </c>
      <c r="AA576">
        <v>286.426</v>
      </c>
      <c r="AB576">
        <v>1.25538633237557</v>
      </c>
      <c r="AC576">
        <v>286.426</v>
      </c>
      <c r="AD576">
        <v>1.26616818032542</v>
      </c>
      <c r="AE576">
        <v>286.426</v>
      </c>
      <c r="AF576">
        <v>1.21297572872374</v>
      </c>
    </row>
    <row r="577" spans="23:32">
      <c r="W577">
        <v>286.925</v>
      </c>
      <c r="X577">
        <v>1.22273603380585</v>
      </c>
      <c r="Y577">
        <v>286.925</v>
      </c>
      <c r="Z577">
        <v>1.24247276299512</v>
      </c>
      <c r="AA577">
        <v>286.925</v>
      </c>
      <c r="AB577">
        <v>1.25653883238004</v>
      </c>
      <c r="AC577">
        <v>286.925</v>
      </c>
      <c r="AD577">
        <v>1.27200636833775</v>
      </c>
      <c r="AE577">
        <v>286.925</v>
      </c>
      <c r="AF577">
        <v>1.2158756033565</v>
      </c>
    </row>
    <row r="578" spans="23:32">
      <c r="W578">
        <v>287.424</v>
      </c>
      <c r="X578">
        <v>1.22355689085693</v>
      </c>
      <c r="Y578">
        <v>287.424</v>
      </c>
      <c r="Z578">
        <v>1.2360944821923</v>
      </c>
      <c r="AA578">
        <v>287.424</v>
      </c>
      <c r="AB578">
        <v>1.24291729273566</v>
      </c>
      <c r="AC578">
        <v>287.424</v>
      </c>
      <c r="AD578">
        <v>1.26638608608809</v>
      </c>
      <c r="AE578">
        <v>287.424</v>
      </c>
      <c r="AF578">
        <v>1.21201432402379</v>
      </c>
    </row>
    <row r="579" spans="23:32">
      <c r="W579">
        <v>287.923</v>
      </c>
      <c r="X579">
        <v>1.22541487648223</v>
      </c>
      <c r="Y579">
        <v>287.923</v>
      </c>
      <c r="Z579">
        <v>1.24970774567397</v>
      </c>
      <c r="AA579">
        <v>287.923</v>
      </c>
      <c r="AB579">
        <v>1.24942156225092</v>
      </c>
      <c r="AC579">
        <v>287.923</v>
      </c>
      <c r="AD579">
        <v>1.26934601939659</v>
      </c>
      <c r="AE579">
        <v>287.923</v>
      </c>
      <c r="AF579">
        <v>1.21089094460292</v>
      </c>
    </row>
    <row r="580" spans="23:32">
      <c r="W580">
        <v>288.422</v>
      </c>
      <c r="X580">
        <v>1.21978769272229</v>
      </c>
      <c r="Y580">
        <v>288.422</v>
      </c>
      <c r="Z580">
        <v>1.24012823796023</v>
      </c>
      <c r="AA580">
        <v>288.422</v>
      </c>
      <c r="AB580">
        <v>1.24982063098743</v>
      </c>
      <c r="AC580">
        <v>288.422</v>
      </c>
      <c r="AD580">
        <v>1.26669819322568</v>
      </c>
      <c r="AE580">
        <v>288.422</v>
      </c>
      <c r="AF580">
        <v>1.21514791067536</v>
      </c>
    </row>
    <row r="581" spans="23:32">
      <c r="W581">
        <v>288.921</v>
      </c>
      <c r="X581">
        <v>1.22433871113443</v>
      </c>
      <c r="Y581">
        <v>288.921</v>
      </c>
      <c r="Z581">
        <v>1.24204396645021</v>
      </c>
      <c r="AA581">
        <v>288.921</v>
      </c>
      <c r="AB581">
        <v>1.26140031417462</v>
      </c>
      <c r="AC581">
        <v>288.921</v>
      </c>
      <c r="AD581">
        <v>1.26641377087604</v>
      </c>
      <c r="AE581">
        <v>288.921</v>
      </c>
      <c r="AF581">
        <v>1.21068199831971</v>
      </c>
    </row>
    <row r="582" spans="23:32">
      <c r="W582">
        <v>289.42</v>
      </c>
      <c r="X582">
        <v>1.22291691574836</v>
      </c>
      <c r="Y582">
        <v>289.42</v>
      </c>
      <c r="Z582">
        <v>1.24099915512847</v>
      </c>
      <c r="AA582">
        <v>289.42</v>
      </c>
      <c r="AB582">
        <v>1.24703320020739</v>
      </c>
      <c r="AC582">
        <v>289.42</v>
      </c>
      <c r="AD582">
        <v>1.27106230571032</v>
      </c>
      <c r="AE582">
        <v>289.42</v>
      </c>
      <c r="AF582">
        <v>1.20078190626678</v>
      </c>
    </row>
    <row r="583" spans="23:32">
      <c r="W583">
        <v>289.919</v>
      </c>
      <c r="X583">
        <v>1.22075182035949</v>
      </c>
      <c r="Y583">
        <v>289.919</v>
      </c>
      <c r="Z583">
        <v>1.24726770847455</v>
      </c>
      <c r="AA583">
        <v>289.919</v>
      </c>
      <c r="AB583">
        <v>1.25427764907021</v>
      </c>
      <c r="AC583">
        <v>289.919</v>
      </c>
      <c r="AD583">
        <v>1.26898608169339</v>
      </c>
      <c r="AE583">
        <v>289.919</v>
      </c>
      <c r="AF583">
        <v>1.20420177673854</v>
      </c>
    </row>
    <row r="584" spans="23:32">
      <c r="W584">
        <v>290.418</v>
      </c>
      <c r="X584">
        <v>1.22367701125874</v>
      </c>
      <c r="Y584">
        <v>290.418</v>
      </c>
      <c r="Z584">
        <v>1.23903156057908</v>
      </c>
      <c r="AA584">
        <v>290.418</v>
      </c>
      <c r="AB584">
        <v>1.24926534073948</v>
      </c>
      <c r="AC584">
        <v>290.418</v>
      </c>
      <c r="AD584">
        <v>1.27250181691094</v>
      </c>
      <c r="AE584">
        <v>290.418</v>
      </c>
      <c r="AF584">
        <v>1.20364534443303</v>
      </c>
    </row>
    <row r="585" spans="23:32">
      <c r="W585">
        <v>290.917</v>
      </c>
      <c r="X585">
        <v>1.22185061745385</v>
      </c>
      <c r="Y585">
        <v>290.917</v>
      </c>
      <c r="Z585">
        <v>1.2379611772281</v>
      </c>
      <c r="AA585">
        <v>290.917</v>
      </c>
      <c r="AB585">
        <v>1.25782801954012</v>
      </c>
      <c r="AC585">
        <v>290.917</v>
      </c>
      <c r="AD585">
        <v>1.26773258193446</v>
      </c>
      <c r="AE585">
        <v>290.917</v>
      </c>
      <c r="AF585">
        <v>1.20277645413338</v>
      </c>
    </row>
    <row r="586" spans="23:32">
      <c r="W586">
        <v>291.416</v>
      </c>
      <c r="X586">
        <v>1.22055850569607</v>
      </c>
      <c r="Y586">
        <v>291.416</v>
      </c>
      <c r="Z586">
        <v>1.23253705903495</v>
      </c>
      <c r="AA586">
        <v>291.416</v>
      </c>
      <c r="AB586">
        <v>1.25921534842401</v>
      </c>
      <c r="AC586">
        <v>291.416</v>
      </c>
      <c r="AD586">
        <v>1.27144009010581</v>
      </c>
      <c r="AE586">
        <v>291.416</v>
      </c>
      <c r="AF586">
        <v>1.21014973350069</v>
      </c>
    </row>
    <row r="587" spans="23:32">
      <c r="W587">
        <v>291.915</v>
      </c>
      <c r="X587">
        <v>1.22314944536129</v>
      </c>
      <c r="Y587">
        <v>291.915</v>
      </c>
      <c r="Z587">
        <v>1.23395860694619</v>
      </c>
      <c r="AA587">
        <v>291.915</v>
      </c>
      <c r="AB587">
        <v>1.26046278578524</v>
      </c>
      <c r="AC587">
        <v>291.915</v>
      </c>
      <c r="AD587">
        <v>1.26826993081336</v>
      </c>
      <c r="AE587">
        <v>291.915</v>
      </c>
      <c r="AF587">
        <v>1.19756619287785</v>
      </c>
    </row>
    <row r="588" spans="23:32">
      <c r="W588">
        <v>292.414</v>
      </c>
      <c r="X588">
        <v>1.23435261100255</v>
      </c>
      <c r="Y588">
        <v>292.414</v>
      </c>
      <c r="Z588">
        <v>1.24193932764877</v>
      </c>
      <c r="AA588">
        <v>292.414</v>
      </c>
      <c r="AB588">
        <v>1.25088782842232</v>
      </c>
      <c r="AC588">
        <v>292.414</v>
      </c>
      <c r="AD588">
        <v>1.2683972648598</v>
      </c>
      <c r="AE588">
        <v>292.414</v>
      </c>
      <c r="AF588">
        <v>1.20644058501826</v>
      </c>
    </row>
    <row r="589" spans="23:32">
      <c r="W589">
        <v>292.913</v>
      </c>
      <c r="X589">
        <v>1.22839272162119</v>
      </c>
      <c r="Y589">
        <v>292.913</v>
      </c>
      <c r="Z589">
        <v>1.24810457148326</v>
      </c>
      <c r="AA589">
        <v>292.913</v>
      </c>
      <c r="AB589">
        <v>1.2575201133923</v>
      </c>
      <c r="AC589">
        <v>292.913</v>
      </c>
      <c r="AD589">
        <v>1.26966899874137</v>
      </c>
      <c r="AE589">
        <v>292.913</v>
      </c>
      <c r="AF589">
        <v>1.20640037509953</v>
      </c>
    </row>
    <row r="590" spans="23:32">
      <c r="W590">
        <v>293.412</v>
      </c>
      <c r="X590">
        <v>1.22416570758595</v>
      </c>
      <c r="Y590">
        <v>293.412</v>
      </c>
      <c r="Z590">
        <v>1.24357632013816</v>
      </c>
      <c r="AA590">
        <v>293.412</v>
      </c>
      <c r="AB590">
        <v>1.25409322086452</v>
      </c>
      <c r="AC590">
        <v>293.412</v>
      </c>
      <c r="AD590">
        <v>1.27152751869067</v>
      </c>
      <c r="AE590">
        <v>293.412</v>
      </c>
      <c r="AF590">
        <v>1.21455175357183</v>
      </c>
    </row>
    <row r="591" spans="23:32">
      <c r="W591">
        <v>293.911</v>
      </c>
      <c r="X591">
        <v>1.21947411716414</v>
      </c>
      <c r="Y591">
        <v>293.911</v>
      </c>
      <c r="Z591">
        <v>1.2398205907195</v>
      </c>
      <c r="AA591">
        <v>293.911</v>
      </c>
      <c r="AB591">
        <v>1.24786911514875</v>
      </c>
      <c r="AC591">
        <v>293.911</v>
      </c>
      <c r="AD591">
        <v>1.27642253138431</v>
      </c>
      <c r="AE591">
        <v>293.911</v>
      </c>
      <c r="AF591">
        <v>1.20725879355033</v>
      </c>
    </row>
    <row r="592" spans="23:32">
      <c r="W592">
        <v>294.41</v>
      </c>
      <c r="X592">
        <v>1.22922683075877</v>
      </c>
      <c r="Y592">
        <v>294.41</v>
      </c>
      <c r="Z592">
        <v>1.2437088588387</v>
      </c>
      <c r="AA592">
        <v>294.41</v>
      </c>
      <c r="AB592">
        <v>1.2526324699288</v>
      </c>
      <c r="AC592">
        <v>294.41</v>
      </c>
      <c r="AD592">
        <v>1.26881528786292</v>
      </c>
      <c r="AE592">
        <v>294.41</v>
      </c>
      <c r="AF592">
        <v>1.21241063887303</v>
      </c>
    </row>
    <row r="593" spans="23:32">
      <c r="W593">
        <v>294.909</v>
      </c>
      <c r="X593">
        <v>1.22300642960888</v>
      </c>
      <c r="Y593">
        <v>294.909</v>
      </c>
      <c r="Z593">
        <v>1.23423851503224</v>
      </c>
      <c r="AA593">
        <v>294.909</v>
      </c>
      <c r="AB593">
        <v>1.24590458466087</v>
      </c>
      <c r="AC593">
        <v>294.909</v>
      </c>
      <c r="AD593">
        <v>1.27339553553774</v>
      </c>
      <c r="AE593">
        <v>294.909</v>
      </c>
      <c r="AF593">
        <v>1.20865213827596</v>
      </c>
    </row>
    <row r="594" spans="23:32">
      <c r="W594">
        <v>295.408</v>
      </c>
      <c r="X594">
        <v>1.22621964258618</v>
      </c>
      <c r="Y594">
        <v>295.408</v>
      </c>
      <c r="Z594">
        <v>1.23503142576789</v>
      </c>
      <c r="AA594">
        <v>295.408</v>
      </c>
      <c r="AB594">
        <v>1.24796107844374</v>
      </c>
      <c r="AC594">
        <v>295.408</v>
      </c>
      <c r="AD594">
        <v>1.27498920968929</v>
      </c>
      <c r="AE594">
        <v>295.408</v>
      </c>
      <c r="AF594">
        <v>1.22191490139709</v>
      </c>
    </row>
    <row r="595" spans="23:32">
      <c r="W595">
        <v>295.907</v>
      </c>
      <c r="X595">
        <v>1.224427547455</v>
      </c>
      <c r="Y595">
        <v>295.907</v>
      </c>
      <c r="Z595">
        <v>1.24082265850006</v>
      </c>
      <c r="AA595">
        <v>295.907</v>
      </c>
      <c r="AB595">
        <v>1.24917168411389</v>
      </c>
      <c r="AC595">
        <v>295.907</v>
      </c>
      <c r="AD595">
        <v>1.27575319727416</v>
      </c>
      <c r="AE595">
        <v>295.907</v>
      </c>
      <c r="AF595">
        <v>1.22027238443501</v>
      </c>
    </row>
    <row r="596" spans="23:32">
      <c r="W596">
        <v>296.406</v>
      </c>
      <c r="X596">
        <v>1.2210590750511</v>
      </c>
      <c r="Y596">
        <v>296.406</v>
      </c>
      <c r="Z596">
        <v>1.24230868469452</v>
      </c>
      <c r="AA596">
        <v>296.406</v>
      </c>
      <c r="AB596">
        <v>1.25445740448256</v>
      </c>
      <c r="AC596">
        <v>296.406</v>
      </c>
      <c r="AD596">
        <v>1.27552629707032</v>
      </c>
      <c r="AE596">
        <v>296.406</v>
      </c>
      <c r="AF596">
        <v>1.21202834453336</v>
      </c>
    </row>
    <row r="597" spans="23:32">
      <c r="W597">
        <v>296.905</v>
      </c>
      <c r="X597">
        <v>1.22898669453253</v>
      </c>
      <c r="Y597">
        <v>296.905</v>
      </c>
      <c r="Z597">
        <v>1.24747121812149</v>
      </c>
      <c r="AA597">
        <v>296.905</v>
      </c>
      <c r="AB597">
        <v>1.24834527295568</v>
      </c>
      <c r="AC597">
        <v>296.905</v>
      </c>
      <c r="AD597">
        <v>1.27104846455197</v>
      </c>
      <c r="AE597">
        <v>296.905</v>
      </c>
      <c r="AF597">
        <v>1.21119122393372</v>
      </c>
    </row>
    <row r="598" spans="23:32">
      <c r="W598">
        <v>297.404</v>
      </c>
      <c r="X598">
        <v>1.2268986898113</v>
      </c>
      <c r="Y598">
        <v>297.404</v>
      </c>
      <c r="Z598">
        <v>1.24248734069437</v>
      </c>
      <c r="AA598">
        <v>297.404</v>
      </c>
      <c r="AB598">
        <v>1.2540023329783</v>
      </c>
      <c r="AC598">
        <v>297.404</v>
      </c>
      <c r="AD598">
        <v>1.27123157688938</v>
      </c>
      <c r="AE598">
        <v>297.404</v>
      </c>
      <c r="AF598">
        <v>1.20416717784398</v>
      </c>
    </row>
    <row r="599" spans="23:32">
      <c r="W599">
        <v>297.903</v>
      </c>
      <c r="X599">
        <v>1.23112976169811</v>
      </c>
      <c r="Y599">
        <v>297.903</v>
      </c>
      <c r="Z599">
        <v>1.24151566821503</v>
      </c>
      <c r="AA599">
        <v>297.903</v>
      </c>
      <c r="AB599">
        <v>1.25792866410749</v>
      </c>
      <c r="AC599">
        <v>297.903</v>
      </c>
      <c r="AD599">
        <v>1.27581006165955</v>
      </c>
      <c r="AE599">
        <v>297.903</v>
      </c>
      <c r="AF599">
        <v>1.21779337300662</v>
      </c>
    </row>
    <row r="600" spans="23:32">
      <c r="W600">
        <v>298.402</v>
      </c>
      <c r="X600">
        <v>1.23056936192408</v>
      </c>
      <c r="Y600">
        <v>298.402</v>
      </c>
      <c r="Z600">
        <v>1.2415025628155</v>
      </c>
      <c r="AA600">
        <v>298.402</v>
      </c>
      <c r="AB600">
        <v>1.24298718148134</v>
      </c>
      <c r="AC600">
        <v>298.402</v>
      </c>
      <c r="AD600">
        <v>1.27131848533714</v>
      </c>
      <c r="AE600">
        <v>298.402</v>
      </c>
      <c r="AF600">
        <v>1.2148096627456</v>
      </c>
    </row>
    <row r="601" spans="23:32">
      <c r="W601">
        <v>298.901</v>
      </c>
      <c r="X601">
        <v>1.22308029515472</v>
      </c>
      <c r="Y601">
        <v>298.901</v>
      </c>
      <c r="Z601">
        <v>1.24495655487561</v>
      </c>
      <c r="AA601">
        <v>298.901</v>
      </c>
      <c r="AB601">
        <v>1.25571899560736</v>
      </c>
      <c r="AC601">
        <v>298.901</v>
      </c>
      <c r="AD601">
        <v>1.27544405882678</v>
      </c>
      <c r="AE601">
        <v>298.901</v>
      </c>
      <c r="AF601">
        <v>1.21242751536772</v>
      </c>
    </row>
    <row r="602" spans="23:32">
      <c r="W602">
        <v>299.4</v>
      </c>
      <c r="X602">
        <v>1.23046152773431</v>
      </c>
      <c r="Y602">
        <v>299.4</v>
      </c>
      <c r="Z602">
        <v>1.24143190735628</v>
      </c>
      <c r="AA602">
        <v>299.4</v>
      </c>
      <c r="AB602">
        <v>1.24797128970797</v>
      </c>
      <c r="AC602">
        <v>299.4</v>
      </c>
      <c r="AD602">
        <v>1.26995862577401</v>
      </c>
      <c r="AE602">
        <v>299.4</v>
      </c>
      <c r="AF602">
        <v>1.21322953394709</v>
      </c>
    </row>
    <row r="603" spans="23:32">
      <c r="W603">
        <v>299.899</v>
      </c>
      <c r="X603">
        <v>1.23290614983342</v>
      </c>
      <c r="Y603">
        <v>299.899</v>
      </c>
      <c r="Z603">
        <v>1.23227567917011</v>
      </c>
      <c r="AA603">
        <v>299.899</v>
      </c>
      <c r="AB603">
        <v>1.25232905097922</v>
      </c>
      <c r="AC603">
        <v>299.899</v>
      </c>
      <c r="AD603">
        <v>1.26732130676277</v>
      </c>
      <c r="AE603">
        <v>299.899</v>
      </c>
      <c r="AF603">
        <v>1.20763582904061</v>
      </c>
    </row>
    <row r="604" spans="23:32">
      <c r="W604">
        <v>300.398</v>
      </c>
      <c r="X604">
        <v>1.22983973366125</v>
      </c>
      <c r="Y604">
        <v>300.398</v>
      </c>
      <c r="Z604">
        <v>1.24623200159242</v>
      </c>
      <c r="AA604">
        <v>300.398</v>
      </c>
      <c r="AB604">
        <v>1.25617949507395</v>
      </c>
      <c r="AC604">
        <v>300.398</v>
      </c>
      <c r="AD604">
        <v>1.2748478763815</v>
      </c>
      <c r="AE604">
        <v>300.398</v>
      </c>
      <c r="AF604">
        <v>1.21101110040137</v>
      </c>
    </row>
    <row r="605" spans="23:32">
      <c r="W605">
        <v>300.897</v>
      </c>
      <c r="X605">
        <v>1.24070691957952</v>
      </c>
      <c r="Y605">
        <v>300.897</v>
      </c>
      <c r="Z605">
        <v>1.24882818796438</v>
      </c>
      <c r="AA605">
        <v>300.897</v>
      </c>
      <c r="AB605">
        <v>1.24172358537842</v>
      </c>
      <c r="AC605">
        <v>300.897</v>
      </c>
      <c r="AD605">
        <v>1.27440301843081</v>
      </c>
      <c r="AE605">
        <v>300.897</v>
      </c>
      <c r="AF605">
        <v>1.20752855123353</v>
      </c>
    </row>
    <row r="606" spans="23:32">
      <c r="W606">
        <v>301.396</v>
      </c>
      <c r="X606">
        <v>1.2281218556121</v>
      </c>
      <c r="Y606">
        <v>301.396</v>
      </c>
      <c r="Z606">
        <v>1.24255940004918</v>
      </c>
      <c r="AA606">
        <v>301.396</v>
      </c>
      <c r="AB606">
        <v>1.25583756558991</v>
      </c>
      <c r="AC606">
        <v>301.396</v>
      </c>
      <c r="AD606">
        <v>1.26447571904096</v>
      </c>
      <c r="AE606">
        <v>301.396</v>
      </c>
      <c r="AF606">
        <v>1.20870517897016</v>
      </c>
    </row>
    <row r="607" spans="23:32">
      <c r="W607">
        <v>301.895</v>
      </c>
      <c r="X607">
        <v>1.22980291621462</v>
      </c>
      <c r="Y607">
        <v>301.895</v>
      </c>
      <c r="Z607">
        <v>1.2474948505535</v>
      </c>
      <c r="AA607">
        <v>301.895</v>
      </c>
      <c r="AB607">
        <v>1.25507289586007</v>
      </c>
      <c r="AC607">
        <v>301.895</v>
      </c>
      <c r="AD607">
        <v>1.26660228732831</v>
      </c>
      <c r="AE607">
        <v>301.895</v>
      </c>
      <c r="AF607">
        <v>1.20853142829351</v>
      </c>
    </row>
    <row r="608" spans="23:32">
      <c r="W608">
        <v>302.394</v>
      </c>
      <c r="X608">
        <v>1.22013627873887</v>
      </c>
      <c r="Y608">
        <v>302.394</v>
      </c>
      <c r="Z608">
        <v>1.24295822673159</v>
      </c>
      <c r="AA608">
        <v>302.394</v>
      </c>
      <c r="AB608">
        <v>1.25260798589346</v>
      </c>
      <c r="AC608">
        <v>302.394</v>
      </c>
      <c r="AD608">
        <v>1.26725725221237</v>
      </c>
      <c r="AE608">
        <v>302.394</v>
      </c>
      <c r="AF608">
        <v>1.21237047299332</v>
      </c>
    </row>
    <row r="609" spans="23:32">
      <c r="W609">
        <v>302.893</v>
      </c>
      <c r="X609">
        <v>1.23516494617365</v>
      </c>
      <c r="Y609">
        <v>302.893</v>
      </c>
      <c r="Z609">
        <v>1.23835801165481</v>
      </c>
      <c r="AA609">
        <v>302.893</v>
      </c>
      <c r="AB609">
        <v>1.25197965217796</v>
      </c>
      <c r="AC609">
        <v>302.893</v>
      </c>
      <c r="AD609">
        <v>1.26502204966725</v>
      </c>
      <c r="AE609">
        <v>302.893</v>
      </c>
      <c r="AF609">
        <v>1.21095224233349</v>
      </c>
    </row>
    <row r="610" spans="23:32">
      <c r="W610">
        <v>303.392</v>
      </c>
      <c r="X610">
        <v>1.22759381022506</v>
      </c>
      <c r="Y610">
        <v>303.392</v>
      </c>
      <c r="Z610">
        <v>1.24038227823415</v>
      </c>
      <c r="AA610">
        <v>303.392</v>
      </c>
      <c r="AB610">
        <v>1.25152662923517</v>
      </c>
      <c r="AC610">
        <v>303.392</v>
      </c>
      <c r="AD610">
        <v>1.27077567509176</v>
      </c>
      <c r="AE610">
        <v>303.392</v>
      </c>
      <c r="AF610">
        <v>1.21270816228795</v>
      </c>
    </row>
    <row r="611" spans="23:32">
      <c r="W611">
        <v>303.891</v>
      </c>
      <c r="X611">
        <v>1.22642345454949</v>
      </c>
      <c r="Y611">
        <v>303.891</v>
      </c>
      <c r="Z611">
        <v>1.24701356548313</v>
      </c>
      <c r="AA611">
        <v>303.891</v>
      </c>
      <c r="AB611">
        <v>1.25432470299674</v>
      </c>
      <c r="AC611">
        <v>303.891</v>
      </c>
      <c r="AD611">
        <v>1.2756427358841</v>
      </c>
      <c r="AE611">
        <v>303.891</v>
      </c>
      <c r="AF611">
        <v>1.21755213309338</v>
      </c>
    </row>
    <row r="612" spans="23:32">
      <c r="W612">
        <v>304.39</v>
      </c>
      <c r="X612">
        <v>1.23370504722953</v>
      </c>
      <c r="Y612">
        <v>304.39</v>
      </c>
      <c r="Z612">
        <v>1.24681552296557</v>
      </c>
      <c r="AA612">
        <v>304.39</v>
      </c>
      <c r="AB612">
        <v>1.26017082081357</v>
      </c>
      <c r="AC612">
        <v>304.39</v>
      </c>
      <c r="AD612">
        <v>1.27358052406789</v>
      </c>
      <c r="AE612">
        <v>304.39</v>
      </c>
      <c r="AF612">
        <v>1.2134320232806</v>
      </c>
    </row>
    <row r="613" spans="23:32">
      <c r="W613">
        <v>304.889</v>
      </c>
      <c r="X613">
        <v>1.22805218682777</v>
      </c>
      <c r="Y613">
        <v>304.889</v>
      </c>
      <c r="Z613">
        <v>1.24326083831355</v>
      </c>
      <c r="AA613">
        <v>304.889</v>
      </c>
      <c r="AB613">
        <v>1.25331133184189</v>
      </c>
      <c r="AC613">
        <v>304.889</v>
      </c>
      <c r="AD613">
        <v>1.26293450396556</v>
      </c>
      <c r="AE613">
        <v>304.889</v>
      </c>
      <c r="AF613">
        <v>1.21002290432972</v>
      </c>
    </row>
    <row r="614" spans="23:32">
      <c r="W614">
        <v>305.388</v>
      </c>
      <c r="X614">
        <v>1.22523660145217</v>
      </c>
      <c r="Y614">
        <v>305.388</v>
      </c>
      <c r="Z614">
        <v>1.24225968142719</v>
      </c>
      <c r="AA614">
        <v>305.388</v>
      </c>
      <c r="AB614">
        <v>1.24946138020487</v>
      </c>
      <c r="AC614">
        <v>305.388</v>
      </c>
      <c r="AD614">
        <v>1.27005949120536</v>
      </c>
      <c r="AE614">
        <v>305.388</v>
      </c>
      <c r="AF614">
        <v>1.21574638622345</v>
      </c>
    </row>
    <row r="615" spans="23:32">
      <c r="W615">
        <v>305.887</v>
      </c>
      <c r="X615">
        <v>1.22641037299746</v>
      </c>
      <c r="Y615">
        <v>305.887</v>
      </c>
      <c r="Z615">
        <v>1.23320654912127</v>
      </c>
      <c r="AA615">
        <v>305.887</v>
      </c>
      <c r="AB615">
        <v>1.25528308600421</v>
      </c>
      <c r="AC615">
        <v>305.887</v>
      </c>
      <c r="AD615">
        <v>1.27569938429296</v>
      </c>
      <c r="AE615">
        <v>305.887</v>
      </c>
      <c r="AF615">
        <v>1.21495482826678</v>
      </c>
    </row>
    <row r="616" spans="23:32">
      <c r="W616">
        <v>306.386</v>
      </c>
      <c r="X616">
        <v>1.23297293705926</v>
      </c>
      <c r="Y616">
        <v>306.386</v>
      </c>
      <c r="Z616">
        <v>1.23561837923917</v>
      </c>
      <c r="AA616">
        <v>306.386</v>
      </c>
      <c r="AB616">
        <v>1.2511880226988</v>
      </c>
      <c r="AC616">
        <v>306.386</v>
      </c>
      <c r="AD616">
        <v>1.27240299309617</v>
      </c>
      <c r="AE616">
        <v>306.386</v>
      </c>
      <c r="AF616">
        <v>1.20748385952282</v>
      </c>
    </row>
    <row r="617" spans="23:32">
      <c r="W617">
        <v>306.885</v>
      </c>
      <c r="X617">
        <v>1.22629384030682</v>
      </c>
      <c r="Y617">
        <v>306.885</v>
      </c>
      <c r="Z617">
        <v>1.23470922495259</v>
      </c>
      <c r="AA617">
        <v>306.885</v>
      </c>
      <c r="AB617">
        <v>1.24950822785254</v>
      </c>
      <c r="AC617">
        <v>306.885</v>
      </c>
      <c r="AD617">
        <v>1.27040248130866</v>
      </c>
      <c r="AE617">
        <v>306.885</v>
      </c>
      <c r="AF617">
        <v>1.20689326352865</v>
      </c>
    </row>
    <row r="618" spans="23:32">
      <c r="W618">
        <v>307.384</v>
      </c>
      <c r="X618">
        <v>1.23152100953985</v>
      </c>
      <c r="Y618">
        <v>307.384</v>
      </c>
      <c r="Z618">
        <v>1.24603643881563</v>
      </c>
      <c r="AA618">
        <v>307.384</v>
      </c>
      <c r="AB618">
        <v>1.25451077179606</v>
      </c>
      <c r="AC618">
        <v>307.384</v>
      </c>
      <c r="AD618">
        <v>1.27013922217609</v>
      </c>
      <c r="AE618">
        <v>307.384</v>
      </c>
      <c r="AF618">
        <v>1.2137760946718</v>
      </c>
    </row>
    <row r="619" spans="23:32">
      <c r="W619">
        <v>307.883</v>
      </c>
      <c r="X619">
        <v>1.23112687904446</v>
      </c>
      <c r="Y619">
        <v>307.883</v>
      </c>
      <c r="Z619">
        <v>1.24870576734098</v>
      </c>
      <c r="AA619">
        <v>307.883</v>
      </c>
      <c r="AB619">
        <v>1.25063334614331</v>
      </c>
      <c r="AC619">
        <v>307.883</v>
      </c>
      <c r="AD619">
        <v>1.2700658545865</v>
      </c>
      <c r="AE619">
        <v>307.883</v>
      </c>
      <c r="AF619">
        <v>1.21140272036009</v>
      </c>
    </row>
    <row r="620" spans="23:32">
      <c r="W620">
        <v>308.382</v>
      </c>
      <c r="X620">
        <v>1.23047223349845</v>
      </c>
      <c r="Y620">
        <v>308.382</v>
      </c>
      <c r="Z620">
        <v>1.24104256700968</v>
      </c>
      <c r="AA620">
        <v>308.382</v>
      </c>
      <c r="AB620">
        <v>1.25267902536784</v>
      </c>
      <c r="AC620">
        <v>308.382</v>
      </c>
      <c r="AD620">
        <v>1.26533428495232</v>
      </c>
      <c r="AE620">
        <v>308.382</v>
      </c>
      <c r="AF620">
        <v>1.20580807273934</v>
      </c>
    </row>
    <row r="621" spans="23:32">
      <c r="W621">
        <v>308.881</v>
      </c>
      <c r="X621">
        <v>1.2291385799828</v>
      </c>
      <c r="Y621">
        <v>308.881</v>
      </c>
      <c r="Z621">
        <v>1.24855261444293</v>
      </c>
      <c r="AA621">
        <v>308.881</v>
      </c>
      <c r="AB621">
        <v>1.25209583443736</v>
      </c>
      <c r="AC621">
        <v>308.881</v>
      </c>
      <c r="AD621">
        <v>1.27063234427779</v>
      </c>
      <c r="AE621">
        <v>308.881</v>
      </c>
      <c r="AF621">
        <v>1.20777645218226</v>
      </c>
    </row>
    <row r="622" spans="23:32">
      <c r="W622">
        <v>309.38</v>
      </c>
      <c r="X622">
        <v>1.22789847661017</v>
      </c>
      <c r="Y622">
        <v>309.38</v>
      </c>
      <c r="Z622">
        <v>1.24294426654819</v>
      </c>
      <c r="AA622">
        <v>309.38</v>
      </c>
      <c r="AB622">
        <v>1.24923725353174</v>
      </c>
      <c r="AC622">
        <v>309.38</v>
      </c>
      <c r="AD622">
        <v>1.26298990836817</v>
      </c>
      <c r="AE622">
        <v>309.38</v>
      </c>
      <c r="AF622">
        <v>1.20789323578517</v>
      </c>
    </row>
    <row r="623" spans="23:32">
      <c r="W623">
        <v>309.879</v>
      </c>
      <c r="X623">
        <v>1.2198143178367</v>
      </c>
      <c r="Y623">
        <v>309.879</v>
      </c>
      <c r="Z623">
        <v>1.24471828151623</v>
      </c>
      <c r="AA623">
        <v>309.879</v>
      </c>
      <c r="AB623">
        <v>1.24915612311713</v>
      </c>
      <c r="AC623">
        <v>309.879</v>
      </c>
      <c r="AD623">
        <v>1.25939640207554</v>
      </c>
      <c r="AE623">
        <v>309.879</v>
      </c>
      <c r="AF623">
        <v>1.20607474360365</v>
      </c>
    </row>
    <row r="624" spans="23:32">
      <c r="W624">
        <v>310.378</v>
      </c>
      <c r="X624">
        <v>1.23260208291711</v>
      </c>
      <c r="Y624">
        <v>310.378</v>
      </c>
      <c r="Z624">
        <v>1.24626453824511</v>
      </c>
      <c r="AA624">
        <v>310.378</v>
      </c>
      <c r="AB624">
        <v>1.25144687013547</v>
      </c>
      <c r="AC624">
        <v>310.378</v>
      </c>
      <c r="AD624">
        <v>1.2647685654563</v>
      </c>
      <c r="AE624">
        <v>310.378</v>
      </c>
      <c r="AF624">
        <v>1.20917314513478</v>
      </c>
    </row>
    <row r="625" spans="23:32">
      <c r="W625">
        <v>310.877</v>
      </c>
      <c r="X625">
        <v>1.22437568514193</v>
      </c>
      <c r="Y625">
        <v>310.877</v>
      </c>
      <c r="Z625">
        <v>1.24047631197912</v>
      </c>
      <c r="AA625">
        <v>310.877</v>
      </c>
      <c r="AB625">
        <v>1.25996489095124</v>
      </c>
      <c r="AC625">
        <v>310.877</v>
      </c>
      <c r="AD625">
        <v>1.26356665587645</v>
      </c>
      <c r="AE625">
        <v>310.877</v>
      </c>
      <c r="AF625">
        <v>1.20483061800762</v>
      </c>
    </row>
    <row r="626" spans="23:32">
      <c r="W626">
        <v>311.376</v>
      </c>
      <c r="X626">
        <v>1.22282256072848</v>
      </c>
      <c r="Y626">
        <v>311.376</v>
      </c>
      <c r="Z626">
        <v>1.24015592578861</v>
      </c>
      <c r="AA626">
        <v>311.376</v>
      </c>
      <c r="AB626">
        <v>1.24958960082289</v>
      </c>
      <c r="AC626">
        <v>311.376</v>
      </c>
      <c r="AD626">
        <v>1.26845757831421</v>
      </c>
      <c r="AE626">
        <v>311.376</v>
      </c>
      <c r="AF626">
        <v>1.19875692563231</v>
      </c>
    </row>
    <row r="627" spans="23:32">
      <c r="W627">
        <v>311.875</v>
      </c>
      <c r="X627">
        <v>1.22342201750793</v>
      </c>
      <c r="Y627">
        <v>311.875</v>
      </c>
      <c r="Z627">
        <v>1.23857756399182</v>
      </c>
      <c r="AA627">
        <v>311.875</v>
      </c>
      <c r="AB627">
        <v>1.25982168650366</v>
      </c>
      <c r="AC627">
        <v>311.875</v>
      </c>
      <c r="AD627">
        <v>1.2597164257083</v>
      </c>
      <c r="AE627">
        <v>311.875</v>
      </c>
      <c r="AF627">
        <v>1.20112743635057</v>
      </c>
    </row>
    <row r="628" spans="23:32">
      <c r="W628">
        <v>312.374</v>
      </c>
      <c r="X628">
        <v>1.22821544397051</v>
      </c>
      <c r="Y628">
        <v>312.374</v>
      </c>
      <c r="Z628">
        <v>1.24688970585792</v>
      </c>
      <c r="AA628">
        <v>312.374</v>
      </c>
      <c r="AB628">
        <v>1.25200685670587</v>
      </c>
      <c r="AC628">
        <v>312.374</v>
      </c>
      <c r="AD628">
        <v>1.25887728926807</v>
      </c>
      <c r="AE628">
        <v>312.374</v>
      </c>
      <c r="AF628">
        <v>1.21317730553966</v>
      </c>
    </row>
    <row r="629" spans="23:32">
      <c r="W629">
        <v>312.873</v>
      </c>
      <c r="X629">
        <v>1.22490335328123</v>
      </c>
      <c r="Y629">
        <v>312.873</v>
      </c>
      <c r="Z629">
        <v>1.23991700591333</v>
      </c>
      <c r="AA629">
        <v>312.873</v>
      </c>
      <c r="AB629">
        <v>1.2528505681797</v>
      </c>
      <c r="AC629">
        <v>312.873</v>
      </c>
      <c r="AD629">
        <v>1.26187662305052</v>
      </c>
      <c r="AE629">
        <v>312.873</v>
      </c>
      <c r="AF629">
        <v>1.21083498733631</v>
      </c>
    </row>
    <row r="630" spans="23:32">
      <c r="W630">
        <v>313.372</v>
      </c>
      <c r="X630">
        <v>1.22869511241365</v>
      </c>
      <c r="Y630">
        <v>313.372</v>
      </c>
      <c r="Z630">
        <v>1.24824615399464</v>
      </c>
      <c r="AA630">
        <v>313.372</v>
      </c>
      <c r="AB630">
        <v>1.24964432782733</v>
      </c>
      <c r="AC630">
        <v>313.372</v>
      </c>
      <c r="AD630">
        <v>1.26856569627477</v>
      </c>
      <c r="AE630">
        <v>313.372</v>
      </c>
      <c r="AF630">
        <v>1.21074010670497</v>
      </c>
    </row>
    <row r="631" spans="23:32">
      <c r="W631">
        <v>313.871</v>
      </c>
      <c r="X631">
        <v>1.22255639668823</v>
      </c>
      <c r="Y631">
        <v>313.871</v>
      </c>
      <c r="Z631">
        <v>1.25345253471588</v>
      </c>
      <c r="AA631">
        <v>313.871</v>
      </c>
      <c r="AB631">
        <v>1.26021828190299</v>
      </c>
      <c r="AC631">
        <v>313.871</v>
      </c>
      <c r="AD631">
        <v>1.26603995704659</v>
      </c>
      <c r="AE631">
        <v>313.871</v>
      </c>
      <c r="AF631">
        <v>1.20355270310774</v>
      </c>
    </row>
    <row r="632" spans="23:32">
      <c r="W632">
        <v>314.37</v>
      </c>
      <c r="X632">
        <v>1.23138606647163</v>
      </c>
      <c r="Y632">
        <v>314.37</v>
      </c>
      <c r="Z632">
        <v>1.24235891578187</v>
      </c>
      <c r="AA632">
        <v>314.37</v>
      </c>
      <c r="AB632">
        <v>1.25768630990542</v>
      </c>
      <c r="AC632">
        <v>314.37</v>
      </c>
      <c r="AD632">
        <v>1.27039615620187</v>
      </c>
      <c r="AE632">
        <v>314.37</v>
      </c>
      <c r="AF632">
        <v>1.208980750887</v>
      </c>
    </row>
    <row r="633" spans="23:32">
      <c r="W633">
        <v>314.869</v>
      </c>
      <c r="X633">
        <v>1.22197606363316</v>
      </c>
      <c r="Y633">
        <v>314.869</v>
      </c>
      <c r="Z633">
        <v>1.24505972566448</v>
      </c>
      <c r="AA633">
        <v>314.869</v>
      </c>
      <c r="AB633">
        <v>1.25106927205043</v>
      </c>
      <c r="AC633">
        <v>314.869</v>
      </c>
      <c r="AD633">
        <v>1.26241510855455</v>
      </c>
      <c r="AE633">
        <v>314.869</v>
      </c>
      <c r="AF633">
        <v>1.21807325056531</v>
      </c>
    </row>
    <row r="634" spans="23:32">
      <c r="W634">
        <v>315.368</v>
      </c>
      <c r="X634">
        <v>1.22688043338965</v>
      </c>
      <c r="Y634">
        <v>315.368</v>
      </c>
      <c r="Z634">
        <v>1.24566684675106</v>
      </c>
      <c r="AA634">
        <v>315.368</v>
      </c>
      <c r="AB634">
        <v>1.25825168484119</v>
      </c>
      <c r="AC634">
        <v>315.368</v>
      </c>
      <c r="AD634">
        <v>1.2693892247156</v>
      </c>
      <c r="AE634">
        <v>315.368</v>
      </c>
      <c r="AF634">
        <v>1.2140559337378</v>
      </c>
    </row>
    <row r="635" spans="23:32">
      <c r="W635">
        <v>315.867</v>
      </c>
      <c r="X635">
        <v>1.2228582469095</v>
      </c>
      <c r="Y635">
        <v>315.867</v>
      </c>
      <c r="Z635">
        <v>1.24585480634098</v>
      </c>
      <c r="AA635">
        <v>315.867</v>
      </c>
      <c r="AB635">
        <v>1.24590970392291</v>
      </c>
      <c r="AC635">
        <v>315.867</v>
      </c>
      <c r="AD635">
        <v>1.2640889561185</v>
      </c>
      <c r="AE635">
        <v>315.867</v>
      </c>
      <c r="AF635">
        <v>1.20982185662334</v>
      </c>
    </row>
    <row r="636" spans="23:32">
      <c r="W636">
        <v>316.366</v>
      </c>
      <c r="X636">
        <v>1.23100915054112</v>
      </c>
      <c r="Y636">
        <v>316.366</v>
      </c>
      <c r="Z636">
        <v>1.2421167692969</v>
      </c>
      <c r="AA636">
        <v>316.366</v>
      </c>
      <c r="AB636">
        <v>1.24882238410525</v>
      </c>
      <c r="AC636">
        <v>316.366</v>
      </c>
      <c r="AD636">
        <v>1.26761025741732</v>
      </c>
      <c r="AE636">
        <v>316.366</v>
      </c>
      <c r="AF636">
        <v>1.20806743229838</v>
      </c>
    </row>
    <row r="637" spans="23:32">
      <c r="W637">
        <v>316.865</v>
      </c>
      <c r="X637">
        <v>1.23165441098158</v>
      </c>
      <c r="Y637">
        <v>316.865</v>
      </c>
      <c r="Z637">
        <v>1.24494191636158</v>
      </c>
      <c r="AA637">
        <v>316.865</v>
      </c>
      <c r="AB637">
        <v>1.24620021240923</v>
      </c>
      <c r="AC637">
        <v>316.865</v>
      </c>
      <c r="AD637">
        <v>1.27295733501401</v>
      </c>
      <c r="AE637">
        <v>316.865</v>
      </c>
      <c r="AF637">
        <v>1.20569646434861</v>
      </c>
    </row>
    <row r="638" spans="23:32">
      <c r="W638">
        <v>317.364</v>
      </c>
      <c r="X638">
        <v>1.2272972452347</v>
      </c>
      <c r="Y638">
        <v>317.364</v>
      </c>
      <c r="Z638">
        <v>1.23622350345147</v>
      </c>
      <c r="AA638">
        <v>317.364</v>
      </c>
      <c r="AB638">
        <v>1.24582902398053</v>
      </c>
      <c r="AC638">
        <v>317.364</v>
      </c>
      <c r="AD638">
        <v>1.27037218724331</v>
      </c>
      <c r="AE638">
        <v>317.364</v>
      </c>
      <c r="AF638">
        <v>1.21052804439656</v>
      </c>
    </row>
    <row r="639" spans="23:32">
      <c r="W639">
        <v>317.863</v>
      </c>
      <c r="X639">
        <v>1.22374642839292</v>
      </c>
      <c r="Y639">
        <v>317.863</v>
      </c>
      <c r="Z639">
        <v>1.24436277522418</v>
      </c>
      <c r="AA639">
        <v>317.863</v>
      </c>
      <c r="AB639">
        <v>1.25131353462749</v>
      </c>
      <c r="AC639">
        <v>317.863</v>
      </c>
      <c r="AD639">
        <v>1.2693972772487</v>
      </c>
      <c r="AE639">
        <v>317.863</v>
      </c>
      <c r="AF639">
        <v>1.20475022349897</v>
      </c>
    </row>
    <row r="640" spans="23:32">
      <c r="W640">
        <v>318.362</v>
      </c>
      <c r="X640">
        <v>1.22530650739815</v>
      </c>
      <c r="Y640">
        <v>318.362</v>
      </c>
      <c r="Z640">
        <v>1.24902941520352</v>
      </c>
      <c r="AA640">
        <v>318.362</v>
      </c>
      <c r="AB640">
        <v>1.23960755078565</v>
      </c>
      <c r="AC640">
        <v>318.362</v>
      </c>
      <c r="AD640">
        <v>1.26380922100784</v>
      </c>
      <c r="AE640">
        <v>318.362</v>
      </c>
      <c r="AF640">
        <v>1.21419482107774</v>
      </c>
    </row>
    <row r="641" spans="23:32">
      <c r="W641">
        <v>318.861</v>
      </c>
      <c r="X641">
        <v>1.22289222082889</v>
      </c>
      <c r="Y641">
        <v>318.861</v>
      </c>
      <c r="Z641">
        <v>1.25645033119807</v>
      </c>
      <c r="AA641">
        <v>318.861</v>
      </c>
      <c r="AB641">
        <v>1.25131634931353</v>
      </c>
      <c r="AC641">
        <v>318.861</v>
      </c>
      <c r="AD641">
        <v>1.26273344818919</v>
      </c>
      <c r="AE641">
        <v>318.861</v>
      </c>
      <c r="AF641">
        <v>1.21115729420741</v>
      </c>
    </row>
    <row r="642" spans="23:32">
      <c r="W642">
        <v>319.36</v>
      </c>
      <c r="X642">
        <v>1.21943304318635</v>
      </c>
      <c r="Y642">
        <v>319.36</v>
      </c>
      <c r="Z642">
        <v>1.24247268996839</v>
      </c>
      <c r="AA642">
        <v>319.36</v>
      </c>
      <c r="AB642">
        <v>1.24579073313638</v>
      </c>
      <c r="AC642">
        <v>319.36</v>
      </c>
      <c r="AD642">
        <v>1.26729280356478</v>
      </c>
      <c r="AE642">
        <v>319.36</v>
      </c>
      <c r="AF642">
        <v>1.21552378169071</v>
      </c>
    </row>
    <row r="643" spans="23:32">
      <c r="W643">
        <v>319.859</v>
      </c>
      <c r="X643">
        <v>1.22099190314123</v>
      </c>
      <c r="Y643">
        <v>319.859</v>
      </c>
      <c r="Z643">
        <v>1.24909352749292</v>
      </c>
      <c r="AA643">
        <v>319.859</v>
      </c>
      <c r="AB643">
        <v>1.25392185366387</v>
      </c>
      <c r="AC643">
        <v>319.859</v>
      </c>
      <c r="AD643">
        <v>1.26260707819457</v>
      </c>
      <c r="AE643">
        <v>319.859</v>
      </c>
      <c r="AF643">
        <v>1.21333291906801</v>
      </c>
    </row>
    <row r="644" spans="23:32">
      <c r="W644">
        <v>320.358</v>
      </c>
      <c r="X644">
        <v>1.22539470577558</v>
      </c>
      <c r="Y644">
        <v>320.358</v>
      </c>
      <c r="Z644">
        <v>1.24367013523983</v>
      </c>
      <c r="AA644">
        <v>320.358</v>
      </c>
      <c r="AB644">
        <v>1.24950906682932</v>
      </c>
      <c r="AC644">
        <v>320.358</v>
      </c>
      <c r="AD644">
        <v>1.26229666198681</v>
      </c>
      <c r="AE644">
        <v>320.358</v>
      </c>
      <c r="AF644">
        <v>1.21069767321493</v>
      </c>
    </row>
    <row r="645" spans="23:32">
      <c r="W645">
        <v>320.857</v>
      </c>
      <c r="X645">
        <v>1.21564821208901</v>
      </c>
      <c r="Y645">
        <v>320.857</v>
      </c>
      <c r="Z645">
        <v>1.25204262036261</v>
      </c>
      <c r="AA645">
        <v>320.857</v>
      </c>
      <c r="AB645">
        <v>1.24204443233901</v>
      </c>
      <c r="AC645">
        <v>320.857</v>
      </c>
      <c r="AD645">
        <v>1.26806253439532</v>
      </c>
      <c r="AE645">
        <v>320.857</v>
      </c>
      <c r="AF645">
        <v>1.21651981856895</v>
      </c>
    </row>
    <row r="646" spans="23:32">
      <c r="W646">
        <v>321.356</v>
      </c>
      <c r="X646">
        <v>1.21692272524844</v>
      </c>
      <c r="Y646">
        <v>321.356</v>
      </c>
      <c r="Z646">
        <v>1.25316766158979</v>
      </c>
      <c r="AA646">
        <v>321.356</v>
      </c>
      <c r="AB646">
        <v>1.24810967932057</v>
      </c>
      <c r="AC646">
        <v>321.356</v>
      </c>
      <c r="AD646">
        <v>1.27152533435607</v>
      </c>
      <c r="AE646">
        <v>321.356</v>
      </c>
      <c r="AF646">
        <v>1.21223745578481</v>
      </c>
    </row>
    <row r="647" spans="23:32">
      <c r="W647">
        <v>321.855</v>
      </c>
      <c r="X647">
        <v>1.22053321521581</v>
      </c>
      <c r="Y647">
        <v>321.855</v>
      </c>
      <c r="Z647">
        <v>1.24605479088062</v>
      </c>
      <c r="AA647">
        <v>321.855</v>
      </c>
      <c r="AB647">
        <v>1.24582914685822</v>
      </c>
      <c r="AC647">
        <v>321.855</v>
      </c>
      <c r="AD647">
        <v>1.27197227985103</v>
      </c>
      <c r="AE647">
        <v>321.855</v>
      </c>
      <c r="AF647">
        <v>1.20800067173206</v>
      </c>
    </row>
    <row r="648" spans="23:32">
      <c r="W648">
        <v>322.354</v>
      </c>
      <c r="X648">
        <v>1.21922168567385</v>
      </c>
      <c r="Y648">
        <v>322.354</v>
      </c>
      <c r="Z648">
        <v>1.24907090539852</v>
      </c>
      <c r="AA648">
        <v>322.354</v>
      </c>
      <c r="AB648">
        <v>1.24487379751524</v>
      </c>
      <c r="AC648">
        <v>322.354</v>
      </c>
      <c r="AD648">
        <v>1.26314851399279</v>
      </c>
      <c r="AE648">
        <v>322.354</v>
      </c>
      <c r="AF648">
        <v>1.2125927734437</v>
      </c>
    </row>
    <row r="649" spans="23:32">
      <c r="W649">
        <v>322.853</v>
      </c>
      <c r="X649">
        <v>1.22369507966699</v>
      </c>
      <c r="Y649">
        <v>322.853</v>
      </c>
      <c r="Z649">
        <v>1.24673884600835</v>
      </c>
      <c r="AA649">
        <v>322.853</v>
      </c>
      <c r="AB649">
        <v>1.24280476685058</v>
      </c>
      <c r="AC649">
        <v>322.853</v>
      </c>
      <c r="AD649">
        <v>1.26507109074828</v>
      </c>
      <c r="AE649">
        <v>322.853</v>
      </c>
      <c r="AF649">
        <v>1.21978289569637</v>
      </c>
    </row>
    <row r="650" spans="23:32">
      <c r="W650">
        <v>323.352</v>
      </c>
      <c r="X650">
        <v>1.21911102813832</v>
      </c>
      <c r="Y650">
        <v>323.352</v>
      </c>
      <c r="Z650">
        <v>1.25487471552609</v>
      </c>
      <c r="AA650">
        <v>323.352</v>
      </c>
      <c r="AB650">
        <v>1.2472489902041</v>
      </c>
      <c r="AC650">
        <v>323.352</v>
      </c>
      <c r="AD650">
        <v>1.26329121049703</v>
      </c>
      <c r="AE650">
        <v>323.352</v>
      </c>
      <c r="AF650">
        <v>1.21388061277428</v>
      </c>
    </row>
    <row r="651" spans="23:32">
      <c r="W651">
        <v>323.851</v>
      </c>
      <c r="X651">
        <v>1.21714101521476</v>
      </c>
      <c r="Y651">
        <v>323.851</v>
      </c>
      <c r="Z651">
        <v>1.24929536985208</v>
      </c>
      <c r="AA651">
        <v>323.851</v>
      </c>
      <c r="AB651">
        <v>1.24472292394119</v>
      </c>
      <c r="AC651">
        <v>323.851</v>
      </c>
      <c r="AD651">
        <v>1.26599749816379</v>
      </c>
      <c r="AE651">
        <v>323.851</v>
      </c>
      <c r="AF651">
        <v>1.2108919619132</v>
      </c>
    </row>
    <row r="652" spans="23:32">
      <c r="W652">
        <v>324.35</v>
      </c>
      <c r="X652">
        <v>1.22051623115572</v>
      </c>
      <c r="Y652">
        <v>324.35</v>
      </c>
      <c r="Z652">
        <v>1.2489825469522</v>
      </c>
      <c r="AA652">
        <v>324.35</v>
      </c>
      <c r="AB652">
        <v>1.24223283681924</v>
      </c>
      <c r="AC652">
        <v>324.35</v>
      </c>
      <c r="AD652">
        <v>1.26244715019698</v>
      </c>
      <c r="AE652">
        <v>324.35</v>
      </c>
      <c r="AF652">
        <v>1.21191901656072</v>
      </c>
    </row>
    <row r="653" spans="23:32">
      <c r="W653">
        <v>324.849</v>
      </c>
      <c r="X653">
        <v>1.22339044647445</v>
      </c>
      <c r="Y653">
        <v>324.849</v>
      </c>
      <c r="Z653">
        <v>1.25055136551003</v>
      </c>
      <c r="AA653">
        <v>324.849</v>
      </c>
      <c r="AB653">
        <v>1.24216312470269</v>
      </c>
      <c r="AC653">
        <v>324.849</v>
      </c>
      <c r="AD653">
        <v>1.27507070514468</v>
      </c>
      <c r="AE653">
        <v>324.849</v>
      </c>
      <c r="AF653">
        <v>1.21308624065528</v>
      </c>
    </row>
    <row r="654" spans="23:32">
      <c r="W654">
        <v>325.348</v>
      </c>
      <c r="X654">
        <v>1.21848240047776</v>
      </c>
      <c r="Y654">
        <v>325.348</v>
      </c>
      <c r="Z654">
        <v>1.24346435130283</v>
      </c>
      <c r="AA654">
        <v>325.348</v>
      </c>
      <c r="AB654">
        <v>1.24314873107433</v>
      </c>
      <c r="AC654">
        <v>325.348</v>
      </c>
      <c r="AD654">
        <v>1.26461797111401</v>
      </c>
      <c r="AE654">
        <v>325.348</v>
      </c>
      <c r="AF654">
        <v>1.20982395428793</v>
      </c>
    </row>
    <row r="655" spans="23:32">
      <c r="W655">
        <v>325.847</v>
      </c>
      <c r="X655">
        <v>1.21948401519461</v>
      </c>
      <c r="Y655">
        <v>325.847</v>
      </c>
      <c r="Z655">
        <v>1.24874249116707</v>
      </c>
      <c r="AA655">
        <v>325.847</v>
      </c>
      <c r="AB655">
        <v>1.23903540902142</v>
      </c>
      <c r="AC655">
        <v>325.847</v>
      </c>
      <c r="AD655">
        <v>1.25662255650262</v>
      </c>
      <c r="AE655">
        <v>325.847</v>
      </c>
      <c r="AF655">
        <v>1.2123991293312</v>
      </c>
    </row>
    <row r="656" spans="23:32">
      <c r="W656">
        <v>326.346</v>
      </c>
      <c r="X656">
        <v>1.21601555918818</v>
      </c>
      <c r="Y656">
        <v>326.346</v>
      </c>
      <c r="Z656">
        <v>1.2446586860466</v>
      </c>
      <c r="AA656">
        <v>326.346</v>
      </c>
      <c r="AB656">
        <v>1.24694965309993</v>
      </c>
      <c r="AC656">
        <v>326.346</v>
      </c>
      <c r="AD656">
        <v>1.26377107797628</v>
      </c>
      <c r="AE656">
        <v>326.346</v>
      </c>
      <c r="AF656">
        <v>1.20409594807363</v>
      </c>
    </row>
    <row r="657" spans="23:32">
      <c r="W657">
        <v>326.845</v>
      </c>
      <c r="X657">
        <v>1.2173245694468</v>
      </c>
      <c r="Y657">
        <v>326.845</v>
      </c>
      <c r="Z657">
        <v>1.24570319998577</v>
      </c>
      <c r="AA657">
        <v>326.845</v>
      </c>
      <c r="AB657">
        <v>1.24171055985076</v>
      </c>
      <c r="AC657">
        <v>326.845</v>
      </c>
      <c r="AD657">
        <v>1.26800825257975</v>
      </c>
      <c r="AE657">
        <v>326.845</v>
      </c>
      <c r="AF657">
        <v>1.20374051918839</v>
      </c>
    </row>
    <row r="658" spans="23:32">
      <c r="W658">
        <v>327.344</v>
      </c>
      <c r="X658">
        <v>1.22705240153254</v>
      </c>
      <c r="Y658">
        <v>327.344</v>
      </c>
      <c r="Z658">
        <v>1.24872198422797</v>
      </c>
      <c r="AA658">
        <v>327.344</v>
      </c>
      <c r="AB658">
        <v>1.24471844678814</v>
      </c>
      <c r="AC658">
        <v>327.344</v>
      </c>
      <c r="AD658">
        <v>1.26541535562916</v>
      </c>
      <c r="AE658">
        <v>327.344</v>
      </c>
      <c r="AF658">
        <v>1.20564952364852</v>
      </c>
    </row>
    <row r="659" spans="23:32">
      <c r="W659">
        <v>327.843</v>
      </c>
      <c r="X659">
        <v>1.22826357156928</v>
      </c>
      <c r="Y659">
        <v>327.843</v>
      </c>
      <c r="Z659">
        <v>1.25505086050067</v>
      </c>
      <c r="AA659">
        <v>327.843</v>
      </c>
      <c r="AB659">
        <v>1.23893067969874</v>
      </c>
      <c r="AC659">
        <v>327.843</v>
      </c>
      <c r="AD659">
        <v>1.26637670065177</v>
      </c>
      <c r="AE659">
        <v>327.843</v>
      </c>
      <c r="AF659">
        <v>1.21346737594936</v>
      </c>
    </row>
    <row r="660" spans="23:32">
      <c r="W660">
        <v>328.342</v>
      </c>
      <c r="X660">
        <v>1.21722523181552</v>
      </c>
      <c r="Y660">
        <v>328.342</v>
      </c>
      <c r="Z660">
        <v>1.25061065677093</v>
      </c>
      <c r="AA660">
        <v>328.342</v>
      </c>
      <c r="AB660">
        <v>1.23322493965894</v>
      </c>
      <c r="AC660">
        <v>328.342</v>
      </c>
      <c r="AD660">
        <v>1.26859707819395</v>
      </c>
      <c r="AE660">
        <v>328.342</v>
      </c>
      <c r="AF660">
        <v>1.21454930171271</v>
      </c>
    </row>
    <row r="661" spans="23:32">
      <c r="W661">
        <v>328.841</v>
      </c>
      <c r="X661">
        <v>1.22464734319558</v>
      </c>
      <c r="Y661">
        <v>328.841</v>
      </c>
      <c r="Z661">
        <v>1.24242775876971</v>
      </c>
      <c r="AA661">
        <v>328.841</v>
      </c>
      <c r="AB661">
        <v>1.24688630481975</v>
      </c>
      <c r="AC661">
        <v>328.841</v>
      </c>
      <c r="AD661">
        <v>1.27029393138699</v>
      </c>
      <c r="AE661">
        <v>328.841</v>
      </c>
      <c r="AF661">
        <v>1.21781282593738</v>
      </c>
    </row>
    <row r="662" spans="23:32">
      <c r="W662">
        <v>329.34</v>
      </c>
      <c r="X662">
        <v>1.22776093726774</v>
      </c>
      <c r="Y662">
        <v>329.34</v>
      </c>
      <c r="Z662">
        <v>1.24128992179291</v>
      </c>
      <c r="AA662">
        <v>329.34</v>
      </c>
      <c r="AB662">
        <v>1.24529875497319</v>
      </c>
      <c r="AC662">
        <v>329.34</v>
      </c>
      <c r="AD662">
        <v>1.27252002846447</v>
      </c>
      <c r="AE662">
        <v>329.34</v>
      </c>
      <c r="AF662">
        <v>1.20958261965754</v>
      </c>
    </row>
    <row r="663" spans="23:32">
      <c r="W663">
        <v>329.839</v>
      </c>
      <c r="X663">
        <v>1.21849909270743</v>
      </c>
      <c r="Y663">
        <v>329.839</v>
      </c>
      <c r="Z663">
        <v>1.24301578929691</v>
      </c>
      <c r="AA663">
        <v>329.839</v>
      </c>
      <c r="AB663">
        <v>1.25511544866472</v>
      </c>
      <c r="AC663">
        <v>329.839</v>
      </c>
      <c r="AD663">
        <v>1.26320415980467</v>
      </c>
      <c r="AE663">
        <v>329.839</v>
      </c>
      <c r="AF663">
        <v>1.19890404522989</v>
      </c>
    </row>
    <row r="664" spans="23:32">
      <c r="W664">
        <v>330.338</v>
      </c>
      <c r="X664">
        <v>1.21340740975781</v>
      </c>
      <c r="Y664">
        <v>330.338</v>
      </c>
      <c r="Z664">
        <v>1.25397700416513</v>
      </c>
      <c r="AA664">
        <v>330.338</v>
      </c>
      <c r="AB664">
        <v>1.24336296830746</v>
      </c>
      <c r="AC664">
        <v>330.338</v>
      </c>
      <c r="AD664">
        <v>1.27485584163128</v>
      </c>
      <c r="AE664">
        <v>330.338</v>
      </c>
      <c r="AF664">
        <v>1.21154057035984</v>
      </c>
    </row>
    <row r="665" spans="23:32">
      <c r="W665">
        <v>330.837</v>
      </c>
      <c r="X665">
        <v>1.21436781597967</v>
      </c>
      <c r="Y665">
        <v>330.837</v>
      </c>
      <c r="Z665">
        <v>1.24682047910662</v>
      </c>
      <c r="AA665">
        <v>330.837</v>
      </c>
      <c r="AB665">
        <v>1.24980504013282</v>
      </c>
      <c r="AC665">
        <v>330.837</v>
      </c>
      <c r="AD665">
        <v>1.27379173790602</v>
      </c>
      <c r="AE665">
        <v>330.837</v>
      </c>
      <c r="AF665">
        <v>1.20858093879458</v>
      </c>
    </row>
    <row r="666" spans="23:32">
      <c r="W666">
        <v>331.336</v>
      </c>
      <c r="X666">
        <v>1.21636101813226</v>
      </c>
      <c r="Y666">
        <v>331.336</v>
      </c>
      <c r="Z666">
        <v>1.24783510976401</v>
      </c>
      <c r="AA666">
        <v>331.336</v>
      </c>
      <c r="AB666">
        <v>1.24535713639414</v>
      </c>
      <c r="AC666">
        <v>331.336</v>
      </c>
      <c r="AD666">
        <v>1.27260195645901</v>
      </c>
      <c r="AE666">
        <v>331.336</v>
      </c>
      <c r="AF666">
        <v>1.20459589030743</v>
      </c>
    </row>
    <row r="667" spans="23:32">
      <c r="W667">
        <v>331.835</v>
      </c>
      <c r="X667">
        <v>1.21854350353338</v>
      </c>
      <c r="Y667">
        <v>331.835</v>
      </c>
      <c r="Z667">
        <v>1.24464444136307</v>
      </c>
      <c r="AA667">
        <v>331.835</v>
      </c>
      <c r="AB667">
        <v>1.24956431758821</v>
      </c>
      <c r="AC667">
        <v>331.835</v>
      </c>
      <c r="AD667">
        <v>1.27407334965627</v>
      </c>
      <c r="AE667">
        <v>331.835</v>
      </c>
      <c r="AF667">
        <v>1.2025073114783</v>
      </c>
    </row>
    <row r="668" spans="23:32">
      <c r="W668">
        <v>332.334</v>
      </c>
      <c r="X668">
        <v>1.21734336610119</v>
      </c>
      <c r="Y668">
        <v>332.334</v>
      </c>
      <c r="Z668">
        <v>1.24338444450194</v>
      </c>
      <c r="AA668">
        <v>332.334</v>
      </c>
      <c r="AB668">
        <v>1.24861024942773</v>
      </c>
      <c r="AC668">
        <v>332.334</v>
      </c>
      <c r="AD668">
        <v>1.26831150266061</v>
      </c>
      <c r="AE668">
        <v>332.334</v>
      </c>
      <c r="AF668">
        <v>1.2114664567019</v>
      </c>
    </row>
    <row r="669" spans="23:32">
      <c r="W669">
        <v>332.833</v>
      </c>
      <c r="X669">
        <v>1.217773433248</v>
      </c>
      <c r="Y669">
        <v>332.833</v>
      </c>
      <c r="Z669">
        <v>1.24970863410237</v>
      </c>
      <c r="AA669">
        <v>332.833</v>
      </c>
      <c r="AB669">
        <v>1.24195512152176</v>
      </c>
      <c r="AC669">
        <v>332.833</v>
      </c>
      <c r="AD669">
        <v>1.26869573183643</v>
      </c>
      <c r="AE669">
        <v>332.833</v>
      </c>
      <c r="AF669">
        <v>1.20826515499299</v>
      </c>
    </row>
    <row r="670" spans="23:32">
      <c r="W670">
        <v>333.332</v>
      </c>
      <c r="X670">
        <v>1.21557206173613</v>
      </c>
      <c r="Y670">
        <v>333.332</v>
      </c>
      <c r="Z670">
        <v>1.25479774721377</v>
      </c>
      <c r="AA670">
        <v>333.332</v>
      </c>
      <c r="AB670">
        <v>1.24441536473252</v>
      </c>
      <c r="AC670">
        <v>333.332</v>
      </c>
      <c r="AD670">
        <v>1.26435895258059</v>
      </c>
      <c r="AE670">
        <v>333.332</v>
      </c>
      <c r="AF670">
        <v>1.20415976251473</v>
      </c>
    </row>
    <row r="671" spans="23:32">
      <c r="W671">
        <v>333.831</v>
      </c>
      <c r="X671">
        <v>1.22034636530655</v>
      </c>
      <c r="Y671">
        <v>333.831</v>
      </c>
      <c r="Z671">
        <v>1.24824217107717</v>
      </c>
      <c r="AA671">
        <v>333.831</v>
      </c>
      <c r="AB671">
        <v>1.25610845056813</v>
      </c>
      <c r="AC671">
        <v>333.831</v>
      </c>
      <c r="AD671">
        <v>1.27130220014782</v>
      </c>
      <c r="AE671">
        <v>333.831</v>
      </c>
      <c r="AF671">
        <v>1.21447998237673</v>
      </c>
    </row>
    <row r="672" spans="23:32">
      <c r="W672">
        <v>334.33</v>
      </c>
      <c r="X672">
        <v>1.22800436181567</v>
      </c>
      <c r="Y672">
        <v>334.33</v>
      </c>
      <c r="Z672">
        <v>1.24996958098403</v>
      </c>
      <c r="AA672">
        <v>334.33</v>
      </c>
      <c r="AB672">
        <v>1.24648007171365</v>
      </c>
      <c r="AC672">
        <v>334.33</v>
      </c>
      <c r="AD672">
        <v>1.26682868626363</v>
      </c>
      <c r="AE672">
        <v>334.33</v>
      </c>
      <c r="AF672">
        <v>1.21684526051127</v>
      </c>
    </row>
    <row r="673" spans="23:32">
      <c r="W673">
        <v>334.829</v>
      </c>
      <c r="X673">
        <v>1.23389064345615</v>
      </c>
      <c r="Y673">
        <v>334.829</v>
      </c>
      <c r="Z673">
        <v>1.25405248906755</v>
      </c>
      <c r="AA673">
        <v>334.829</v>
      </c>
      <c r="AB673">
        <v>1.2442113144997</v>
      </c>
      <c r="AC673">
        <v>334.829</v>
      </c>
      <c r="AD673">
        <v>1.26836362722388</v>
      </c>
      <c r="AE673">
        <v>334.829</v>
      </c>
      <c r="AF673">
        <v>1.20369808124387</v>
      </c>
    </row>
    <row r="674" spans="23:32">
      <c r="W674">
        <v>335.328</v>
      </c>
      <c r="X674">
        <v>1.22252049160882</v>
      </c>
      <c r="Y674">
        <v>335.328</v>
      </c>
      <c r="Z674">
        <v>1.25143391678995</v>
      </c>
      <c r="AA674">
        <v>335.328</v>
      </c>
      <c r="AB674">
        <v>1.25262153639605</v>
      </c>
      <c r="AC674">
        <v>335.328</v>
      </c>
      <c r="AD674">
        <v>1.26607016988953</v>
      </c>
      <c r="AE674">
        <v>335.328</v>
      </c>
      <c r="AF674">
        <v>1.20721972946226</v>
      </c>
    </row>
    <row r="675" spans="23:32">
      <c r="W675">
        <v>335.827</v>
      </c>
      <c r="X675">
        <v>1.23064550386875</v>
      </c>
      <c r="Y675">
        <v>335.827</v>
      </c>
      <c r="Z675">
        <v>1.24620063273951</v>
      </c>
      <c r="AA675">
        <v>335.827</v>
      </c>
      <c r="AB675">
        <v>1.24029527393464</v>
      </c>
      <c r="AC675">
        <v>335.827</v>
      </c>
      <c r="AD675">
        <v>1.27111116043461</v>
      </c>
      <c r="AE675">
        <v>335.827</v>
      </c>
      <c r="AF675">
        <v>1.20512994908669</v>
      </c>
    </row>
    <row r="676" spans="23:32">
      <c r="W676">
        <v>336.326</v>
      </c>
      <c r="X676">
        <v>1.22680974152594</v>
      </c>
      <c r="Y676">
        <v>336.326</v>
      </c>
      <c r="Z676">
        <v>1.24565752500579</v>
      </c>
      <c r="AA676">
        <v>336.326</v>
      </c>
      <c r="AB676">
        <v>1.24620264422476</v>
      </c>
      <c r="AC676">
        <v>336.326</v>
      </c>
      <c r="AD676">
        <v>1.27231105306902</v>
      </c>
      <c r="AE676">
        <v>336.326</v>
      </c>
      <c r="AF676">
        <v>1.20990486935827</v>
      </c>
    </row>
    <row r="677" spans="23:32">
      <c r="W677">
        <v>336.825</v>
      </c>
      <c r="X677">
        <v>1.22848975388817</v>
      </c>
      <c r="Y677">
        <v>336.825</v>
      </c>
      <c r="Z677">
        <v>1.2427525660797</v>
      </c>
      <c r="AA677">
        <v>336.825</v>
      </c>
      <c r="AB677">
        <v>1.25045415263765</v>
      </c>
      <c r="AC677">
        <v>336.825</v>
      </c>
      <c r="AD677">
        <v>1.26363732681725</v>
      </c>
      <c r="AE677">
        <v>336.825</v>
      </c>
      <c r="AF677">
        <v>1.20858252914187</v>
      </c>
    </row>
    <row r="678" spans="23:32">
      <c r="W678">
        <v>337.324</v>
      </c>
      <c r="X678">
        <v>1.22516874549578</v>
      </c>
      <c r="Y678">
        <v>337.324</v>
      </c>
      <c r="Z678">
        <v>1.25173893375485</v>
      </c>
      <c r="AA678">
        <v>337.324</v>
      </c>
      <c r="AB678">
        <v>1.24231175792221</v>
      </c>
      <c r="AC678">
        <v>337.324</v>
      </c>
      <c r="AD678">
        <v>1.26701731238992</v>
      </c>
      <c r="AE678">
        <v>337.324</v>
      </c>
      <c r="AF678">
        <v>1.21574099434201</v>
      </c>
    </row>
    <row r="679" spans="23:32">
      <c r="W679">
        <v>337.823</v>
      </c>
      <c r="X679">
        <v>1.22739500904241</v>
      </c>
      <c r="Y679">
        <v>337.823</v>
      </c>
      <c r="Z679">
        <v>1.24625736623268</v>
      </c>
      <c r="AA679">
        <v>337.823</v>
      </c>
      <c r="AB679">
        <v>1.2420752642487</v>
      </c>
      <c r="AC679">
        <v>337.823</v>
      </c>
      <c r="AD679">
        <v>1.26592393599287</v>
      </c>
      <c r="AE679">
        <v>337.823</v>
      </c>
      <c r="AF679">
        <v>1.2092662898131</v>
      </c>
    </row>
    <row r="680" spans="23:32">
      <c r="W680">
        <v>338.322</v>
      </c>
      <c r="X680">
        <v>1.23136676810578</v>
      </c>
      <c r="Y680">
        <v>338.322</v>
      </c>
      <c r="Z680">
        <v>1.24576137542439</v>
      </c>
      <c r="AA680">
        <v>338.322</v>
      </c>
      <c r="AB680">
        <v>1.24012147562396</v>
      </c>
      <c r="AC680">
        <v>338.322</v>
      </c>
      <c r="AD680">
        <v>1.27141262690163</v>
      </c>
      <c r="AE680">
        <v>338.322</v>
      </c>
      <c r="AF680">
        <v>1.20400059686196</v>
      </c>
    </row>
    <row r="681" spans="23:32">
      <c r="W681">
        <v>338.821</v>
      </c>
      <c r="X681">
        <v>1.2301495597352</v>
      </c>
      <c r="Y681">
        <v>338.821</v>
      </c>
      <c r="Z681">
        <v>1.25024797852305</v>
      </c>
      <c r="AA681">
        <v>338.821</v>
      </c>
      <c r="AB681">
        <v>1.24470881841632</v>
      </c>
      <c r="AC681">
        <v>338.821</v>
      </c>
      <c r="AD681">
        <v>1.26618566482403</v>
      </c>
      <c r="AE681">
        <v>338.821</v>
      </c>
      <c r="AF681">
        <v>1.20959482519854</v>
      </c>
    </row>
    <row r="682" spans="23:32">
      <c r="W682">
        <v>339.32</v>
      </c>
      <c r="X682">
        <v>1.22786887746234</v>
      </c>
      <c r="Y682">
        <v>339.32</v>
      </c>
      <c r="Z682">
        <v>1.24051464748676</v>
      </c>
      <c r="AA682">
        <v>339.32</v>
      </c>
      <c r="AB682">
        <v>1.24281798785807</v>
      </c>
      <c r="AC682">
        <v>339.32</v>
      </c>
      <c r="AD682">
        <v>1.2637779439583</v>
      </c>
      <c r="AE682">
        <v>339.32</v>
      </c>
      <c r="AF682">
        <v>1.21091262635785</v>
      </c>
    </row>
    <row r="683" spans="23:32">
      <c r="W683">
        <v>339.819</v>
      </c>
      <c r="X683">
        <v>1.22916623935866</v>
      </c>
      <c r="Y683">
        <v>339.819</v>
      </c>
      <c r="Z683">
        <v>1.24624844066936</v>
      </c>
      <c r="AA683">
        <v>339.819</v>
      </c>
      <c r="AB683">
        <v>1.24796234699523</v>
      </c>
      <c r="AC683">
        <v>339.819</v>
      </c>
      <c r="AD683">
        <v>1.25555737115376</v>
      </c>
      <c r="AE683">
        <v>339.819</v>
      </c>
      <c r="AF683">
        <v>1.21467833838597</v>
      </c>
    </row>
    <row r="684" spans="23:32">
      <c r="W684">
        <v>340.318</v>
      </c>
      <c r="X684">
        <v>1.22887854947431</v>
      </c>
      <c r="Y684">
        <v>340.318</v>
      </c>
      <c r="Z684">
        <v>1.2500538723421</v>
      </c>
      <c r="AA684">
        <v>340.318</v>
      </c>
      <c r="AB684">
        <v>1.23766664233526</v>
      </c>
      <c r="AC684">
        <v>340.318</v>
      </c>
      <c r="AD684">
        <v>1.26922801430456</v>
      </c>
      <c r="AE684">
        <v>340.318</v>
      </c>
      <c r="AF684">
        <v>1.21612643118889</v>
      </c>
    </row>
    <row r="685" spans="23:32">
      <c r="W685">
        <v>340.817</v>
      </c>
      <c r="X685">
        <v>1.22979368313616</v>
      </c>
      <c r="Y685">
        <v>340.817</v>
      </c>
      <c r="Z685">
        <v>1.2562245845323</v>
      </c>
      <c r="AA685">
        <v>340.817</v>
      </c>
      <c r="AB685">
        <v>1.25117895049783</v>
      </c>
      <c r="AC685">
        <v>340.817</v>
      </c>
      <c r="AD685">
        <v>1.26926596849386</v>
      </c>
      <c r="AE685">
        <v>340.817</v>
      </c>
      <c r="AF685">
        <v>1.21426754833663</v>
      </c>
    </row>
    <row r="686" spans="23:32">
      <c r="W686">
        <v>341.316</v>
      </c>
      <c r="X686">
        <v>1.22588766494245</v>
      </c>
      <c r="Y686">
        <v>341.316</v>
      </c>
      <c r="Z686">
        <v>1.25043877057074</v>
      </c>
      <c r="AA686">
        <v>341.316</v>
      </c>
      <c r="AB686">
        <v>1.23927997883196</v>
      </c>
      <c r="AC686">
        <v>341.316</v>
      </c>
      <c r="AD686">
        <v>1.27048041886383</v>
      </c>
      <c r="AE686">
        <v>341.316</v>
      </c>
      <c r="AF686">
        <v>1.21444943623807</v>
      </c>
    </row>
    <row r="687" spans="23:32">
      <c r="W687">
        <v>341.815</v>
      </c>
      <c r="X687">
        <v>1.22865867363884</v>
      </c>
      <c r="Y687">
        <v>341.815</v>
      </c>
      <c r="Z687">
        <v>1.2489783249589</v>
      </c>
      <c r="AA687">
        <v>341.815</v>
      </c>
      <c r="AB687">
        <v>1.24672200395949</v>
      </c>
      <c r="AC687">
        <v>341.815</v>
      </c>
      <c r="AD687">
        <v>1.26310132108766</v>
      </c>
      <c r="AE687">
        <v>341.815</v>
      </c>
      <c r="AF687">
        <v>1.2130256934468</v>
      </c>
    </row>
    <row r="688" spans="23:32">
      <c r="W688">
        <v>342.314</v>
      </c>
      <c r="X688">
        <v>1.22799239591028</v>
      </c>
      <c r="Y688">
        <v>342.314</v>
      </c>
      <c r="Z688">
        <v>1.24843716626391</v>
      </c>
      <c r="AA688">
        <v>342.314</v>
      </c>
      <c r="AB688">
        <v>1.2477470308738</v>
      </c>
      <c r="AC688">
        <v>342.314</v>
      </c>
      <c r="AD688">
        <v>1.25704826410964</v>
      </c>
      <c r="AE688">
        <v>342.314</v>
      </c>
      <c r="AF688">
        <v>1.20310098768543</v>
      </c>
    </row>
    <row r="689" spans="23:32">
      <c r="W689">
        <v>342.813</v>
      </c>
      <c r="X689">
        <v>1.22495869808146</v>
      </c>
      <c r="Y689">
        <v>342.813</v>
      </c>
      <c r="Z689">
        <v>1.25155195198135</v>
      </c>
      <c r="AA689">
        <v>342.813</v>
      </c>
      <c r="AB689">
        <v>1.24234133263815</v>
      </c>
      <c r="AC689">
        <v>342.813</v>
      </c>
      <c r="AD689">
        <v>1.26460014050189</v>
      </c>
      <c r="AE689">
        <v>342.813</v>
      </c>
      <c r="AF689">
        <v>1.20409354405691</v>
      </c>
    </row>
    <row r="690" spans="23:32">
      <c r="W690">
        <v>343.312</v>
      </c>
      <c r="X690">
        <v>1.22418514467239</v>
      </c>
      <c r="Y690">
        <v>343.312</v>
      </c>
      <c r="Z690">
        <v>1.24910205262524</v>
      </c>
      <c r="AA690">
        <v>343.312</v>
      </c>
      <c r="AB690">
        <v>1.24626230252885</v>
      </c>
      <c r="AC690">
        <v>343.312</v>
      </c>
      <c r="AD690">
        <v>1.26303177204091</v>
      </c>
      <c r="AE690">
        <v>343.312</v>
      </c>
      <c r="AF690">
        <v>1.20666529130113</v>
      </c>
    </row>
    <row r="691" spans="23:32">
      <c r="W691">
        <v>343.811</v>
      </c>
      <c r="X691">
        <v>1.22540641188001</v>
      </c>
      <c r="Y691">
        <v>343.811</v>
      </c>
      <c r="Z691">
        <v>1.25151819608169</v>
      </c>
      <c r="AA691">
        <v>343.811</v>
      </c>
      <c r="AB691">
        <v>1.24836111537505</v>
      </c>
      <c r="AC691">
        <v>343.811</v>
      </c>
      <c r="AD691">
        <v>1.26635680809528</v>
      </c>
      <c r="AE691">
        <v>343.811</v>
      </c>
      <c r="AF691">
        <v>1.20874236426704</v>
      </c>
    </row>
    <row r="692" spans="23:32">
      <c r="W692">
        <v>344.31</v>
      </c>
      <c r="X692">
        <v>1.23265859568842</v>
      </c>
      <c r="Y692">
        <v>344.31</v>
      </c>
      <c r="Z692">
        <v>1.253242210025</v>
      </c>
      <c r="AA692">
        <v>344.31</v>
      </c>
      <c r="AB692">
        <v>1.24258981750776</v>
      </c>
      <c r="AC692">
        <v>344.31</v>
      </c>
      <c r="AD692">
        <v>1.26496369683768</v>
      </c>
      <c r="AE692">
        <v>344.31</v>
      </c>
      <c r="AF692">
        <v>1.20964276690136</v>
      </c>
    </row>
    <row r="693" spans="23:32">
      <c r="W693">
        <v>344.809</v>
      </c>
      <c r="X693">
        <v>1.22686093967089</v>
      </c>
      <c r="Y693">
        <v>344.809</v>
      </c>
      <c r="Z693">
        <v>1.25065383295002</v>
      </c>
      <c r="AA693">
        <v>344.809</v>
      </c>
      <c r="AB693">
        <v>1.24683294567446</v>
      </c>
      <c r="AC693">
        <v>344.809</v>
      </c>
      <c r="AD693">
        <v>1.27156693551215</v>
      </c>
      <c r="AE693">
        <v>344.809</v>
      </c>
      <c r="AF693">
        <v>1.21127405824951</v>
      </c>
    </row>
    <row r="694" spans="23:32">
      <c r="W694">
        <v>345.308</v>
      </c>
      <c r="X694">
        <v>1.23212313136599</v>
      </c>
      <c r="Y694">
        <v>345.308</v>
      </c>
      <c r="Z694">
        <v>1.24888182490382</v>
      </c>
      <c r="AA694">
        <v>345.308</v>
      </c>
      <c r="AB694">
        <v>1.25598637251549</v>
      </c>
      <c r="AC694">
        <v>345.308</v>
      </c>
      <c r="AD694">
        <v>1.27372776744556</v>
      </c>
      <c r="AE694">
        <v>345.308</v>
      </c>
      <c r="AF694">
        <v>1.2131056765903</v>
      </c>
    </row>
    <row r="695" spans="23:32">
      <c r="W695">
        <v>345.807</v>
      </c>
      <c r="X695">
        <v>1.22377286318783</v>
      </c>
      <c r="Y695">
        <v>345.807</v>
      </c>
      <c r="Z695">
        <v>1.25083243255703</v>
      </c>
      <c r="AA695">
        <v>345.807</v>
      </c>
      <c r="AB695">
        <v>1.24009851463226</v>
      </c>
      <c r="AC695">
        <v>345.807</v>
      </c>
      <c r="AD695">
        <v>1.26563563202025</v>
      </c>
      <c r="AE695">
        <v>345.807</v>
      </c>
      <c r="AF695">
        <v>1.21419866814083</v>
      </c>
    </row>
    <row r="696" spans="23:32">
      <c r="W696">
        <v>346.306</v>
      </c>
      <c r="X696">
        <v>1.23106942911295</v>
      </c>
      <c r="Y696">
        <v>346.306</v>
      </c>
      <c r="Z696">
        <v>1.25079622548103</v>
      </c>
      <c r="AA696">
        <v>346.306</v>
      </c>
      <c r="AB696">
        <v>1.2431822956138</v>
      </c>
      <c r="AC696">
        <v>346.306</v>
      </c>
      <c r="AD696">
        <v>1.26598671572666</v>
      </c>
      <c r="AE696">
        <v>346.306</v>
      </c>
      <c r="AF696">
        <v>1.21425764287882</v>
      </c>
    </row>
    <row r="697" spans="23:32">
      <c r="W697">
        <v>346.805</v>
      </c>
      <c r="X697">
        <v>1.22294268459528</v>
      </c>
      <c r="Y697">
        <v>346.805</v>
      </c>
      <c r="Z697">
        <v>1.25789633877329</v>
      </c>
      <c r="AA697">
        <v>346.805</v>
      </c>
      <c r="AB697">
        <v>1.24943198962633</v>
      </c>
      <c r="AC697">
        <v>346.805</v>
      </c>
      <c r="AD697">
        <v>1.26733111607414</v>
      </c>
      <c r="AE697">
        <v>346.805</v>
      </c>
      <c r="AF697">
        <v>1.2094812537344</v>
      </c>
    </row>
    <row r="698" spans="23:32">
      <c r="W698">
        <v>347.304</v>
      </c>
      <c r="X698">
        <v>1.23275666762165</v>
      </c>
      <c r="Y698">
        <v>347.304</v>
      </c>
      <c r="Z698">
        <v>1.25121684084556</v>
      </c>
      <c r="AA698">
        <v>347.304</v>
      </c>
      <c r="AB698">
        <v>1.24831810079055</v>
      </c>
      <c r="AC698">
        <v>347.304</v>
      </c>
      <c r="AD698">
        <v>1.26444374816823</v>
      </c>
      <c r="AE698">
        <v>347.304</v>
      </c>
      <c r="AF698">
        <v>1.21760466564729</v>
      </c>
    </row>
    <row r="699" spans="23:32">
      <c r="W699">
        <v>347.803</v>
      </c>
      <c r="X699">
        <v>1.22740862117814</v>
      </c>
      <c r="Y699">
        <v>347.803</v>
      </c>
      <c r="Z699">
        <v>1.25040874326813</v>
      </c>
      <c r="AA699">
        <v>347.803</v>
      </c>
      <c r="AB699">
        <v>1.2449129974948</v>
      </c>
      <c r="AC699">
        <v>347.803</v>
      </c>
      <c r="AD699">
        <v>1.26652466811585</v>
      </c>
      <c r="AE699">
        <v>347.803</v>
      </c>
      <c r="AF699">
        <v>1.20772325544628</v>
      </c>
    </row>
    <row r="700" spans="23:32">
      <c r="W700">
        <v>348.302</v>
      </c>
      <c r="X700">
        <v>1.21841747856105</v>
      </c>
      <c r="Y700">
        <v>348.302</v>
      </c>
      <c r="Z700">
        <v>1.25018767680826</v>
      </c>
      <c r="AA700">
        <v>348.302</v>
      </c>
      <c r="AB700">
        <v>1.25424644830995</v>
      </c>
      <c r="AC700">
        <v>348.302</v>
      </c>
      <c r="AD700">
        <v>1.26701087942057</v>
      </c>
      <c r="AE700">
        <v>348.302</v>
      </c>
      <c r="AF700">
        <v>1.20816775500941</v>
      </c>
    </row>
    <row r="701" spans="23:32">
      <c r="W701">
        <v>348.801</v>
      </c>
      <c r="X701">
        <v>1.22860030803662</v>
      </c>
      <c r="Y701">
        <v>348.801</v>
      </c>
      <c r="Z701">
        <v>1.25357236665963</v>
      </c>
      <c r="AA701">
        <v>348.801</v>
      </c>
      <c r="AB701">
        <v>1.2556787079493</v>
      </c>
      <c r="AC701">
        <v>348.801</v>
      </c>
      <c r="AD701">
        <v>1.27200922032772</v>
      </c>
      <c r="AE701">
        <v>348.801</v>
      </c>
      <c r="AF701">
        <v>1.2132017327376</v>
      </c>
    </row>
    <row r="702" spans="23:32">
      <c r="W702">
        <v>349.3</v>
      </c>
      <c r="X702">
        <v>1.22961461976606</v>
      </c>
      <c r="Y702">
        <v>349.3</v>
      </c>
      <c r="Z702">
        <v>1.25523892947289</v>
      </c>
      <c r="AA702">
        <v>349.3</v>
      </c>
      <c r="AB702">
        <v>1.25022337024193</v>
      </c>
      <c r="AC702">
        <v>349.3</v>
      </c>
      <c r="AD702">
        <v>1.27335694190578</v>
      </c>
      <c r="AE702">
        <v>349.3</v>
      </c>
      <c r="AF702">
        <v>1.21005994318011</v>
      </c>
    </row>
    <row r="703" spans="23:32">
      <c r="W703">
        <v>349.799</v>
      </c>
      <c r="X703">
        <v>1.22891391035494</v>
      </c>
      <c r="Y703">
        <v>349.799</v>
      </c>
      <c r="Z703">
        <v>1.24715422128182</v>
      </c>
      <c r="AA703">
        <v>349.799</v>
      </c>
      <c r="AB703">
        <v>1.24637161836983</v>
      </c>
      <c r="AC703">
        <v>349.799</v>
      </c>
      <c r="AD703">
        <v>1.27045891501228</v>
      </c>
      <c r="AE703">
        <v>349.799</v>
      </c>
      <c r="AF703">
        <v>1.20675490063474</v>
      </c>
    </row>
    <row r="704" spans="23:32">
      <c r="W704">
        <v>350.298</v>
      </c>
      <c r="X704">
        <v>1.22902212283333</v>
      </c>
      <c r="Y704">
        <v>350.298</v>
      </c>
      <c r="Z704">
        <v>1.24714716731656</v>
      </c>
      <c r="AA704">
        <v>350.298</v>
      </c>
      <c r="AB704">
        <v>1.24779808508521</v>
      </c>
      <c r="AC704">
        <v>350.298</v>
      </c>
      <c r="AD704">
        <v>1.26372077442338</v>
      </c>
      <c r="AE704">
        <v>350.298</v>
      </c>
      <c r="AF704">
        <v>1.20251087822337</v>
      </c>
    </row>
    <row r="705" spans="23:32">
      <c r="W705">
        <v>350.797</v>
      </c>
      <c r="X705">
        <v>1.22794792400707</v>
      </c>
      <c r="Y705">
        <v>350.797</v>
      </c>
      <c r="Z705">
        <v>1.25044929503598</v>
      </c>
      <c r="AA705">
        <v>350.797</v>
      </c>
      <c r="AB705">
        <v>1.24569310985898</v>
      </c>
      <c r="AC705">
        <v>350.797</v>
      </c>
      <c r="AD705">
        <v>1.26460062793146</v>
      </c>
      <c r="AE705">
        <v>350.797</v>
      </c>
      <c r="AF705">
        <v>1.20501190212398</v>
      </c>
    </row>
    <row r="706" spans="23:32">
      <c r="W706">
        <v>351.296</v>
      </c>
      <c r="X706">
        <v>1.2229207684322</v>
      </c>
      <c r="Y706">
        <v>351.296</v>
      </c>
      <c r="Z706">
        <v>1.25069990679888</v>
      </c>
      <c r="AA706">
        <v>351.296</v>
      </c>
      <c r="AB706">
        <v>1.25612439667217</v>
      </c>
      <c r="AC706">
        <v>351.296</v>
      </c>
      <c r="AD706">
        <v>1.25904878848715</v>
      </c>
      <c r="AE706">
        <v>351.296</v>
      </c>
      <c r="AF706">
        <v>1.20541265818572</v>
      </c>
    </row>
    <row r="707" spans="23:32">
      <c r="W707">
        <v>351.795</v>
      </c>
      <c r="X707">
        <v>1.22057119030351</v>
      </c>
      <c r="Y707">
        <v>351.795</v>
      </c>
      <c r="Z707">
        <v>1.25906587554442</v>
      </c>
      <c r="AA707">
        <v>351.795</v>
      </c>
      <c r="AB707">
        <v>1.24914662732515</v>
      </c>
      <c r="AC707">
        <v>351.795</v>
      </c>
      <c r="AD707">
        <v>1.27310505427504</v>
      </c>
      <c r="AE707">
        <v>351.795</v>
      </c>
      <c r="AF707">
        <v>1.20776599797595</v>
      </c>
    </row>
    <row r="708" spans="23:32">
      <c r="W708">
        <v>352.294</v>
      </c>
      <c r="X708">
        <v>1.2274866752848</v>
      </c>
      <c r="Y708">
        <v>352.294</v>
      </c>
      <c r="Z708">
        <v>1.25038420984348</v>
      </c>
      <c r="AA708">
        <v>352.294</v>
      </c>
      <c r="AB708">
        <v>1.25514650864446</v>
      </c>
      <c r="AC708">
        <v>352.294</v>
      </c>
      <c r="AD708">
        <v>1.26425208191958</v>
      </c>
      <c r="AE708">
        <v>352.294</v>
      </c>
      <c r="AF708">
        <v>1.20754139774917</v>
      </c>
    </row>
    <row r="709" spans="23:32">
      <c r="W709">
        <v>352.793</v>
      </c>
      <c r="X709">
        <v>1.2284911081788</v>
      </c>
      <c r="Y709">
        <v>352.793</v>
      </c>
      <c r="Z709">
        <v>1.25532574170078</v>
      </c>
      <c r="AA709">
        <v>352.793</v>
      </c>
      <c r="AB709">
        <v>1.25191277551816</v>
      </c>
      <c r="AC709">
        <v>352.793</v>
      </c>
      <c r="AD709">
        <v>1.2690879508156</v>
      </c>
      <c r="AE709">
        <v>352.793</v>
      </c>
      <c r="AF709">
        <v>1.20850754060576</v>
      </c>
    </row>
    <row r="710" spans="23:32">
      <c r="W710">
        <v>353.292</v>
      </c>
      <c r="X710">
        <v>1.22616846972749</v>
      </c>
      <c r="Y710">
        <v>353.292</v>
      </c>
      <c r="Z710">
        <v>1.25746253937956</v>
      </c>
      <c r="AA710">
        <v>353.292</v>
      </c>
      <c r="AB710">
        <v>1.24408458135907</v>
      </c>
      <c r="AC710">
        <v>353.292</v>
      </c>
      <c r="AD710">
        <v>1.26252546829335</v>
      </c>
      <c r="AE710">
        <v>353.292</v>
      </c>
      <c r="AF710">
        <v>1.20987647755552</v>
      </c>
    </row>
    <row r="711" spans="23:32">
      <c r="W711">
        <v>353.791</v>
      </c>
      <c r="X711">
        <v>1.22668064612204</v>
      </c>
      <c r="Y711">
        <v>353.791</v>
      </c>
      <c r="Z711">
        <v>1.252400457449</v>
      </c>
      <c r="AA711">
        <v>353.791</v>
      </c>
      <c r="AB711">
        <v>1.25187544133462</v>
      </c>
      <c r="AC711">
        <v>353.791</v>
      </c>
      <c r="AD711">
        <v>1.26279686583242</v>
      </c>
      <c r="AE711">
        <v>353.791</v>
      </c>
      <c r="AF711">
        <v>1.21468293532093</v>
      </c>
    </row>
    <row r="712" spans="23:32">
      <c r="W712">
        <v>354.29</v>
      </c>
      <c r="X712">
        <v>1.23387518604625</v>
      </c>
      <c r="Y712">
        <v>354.29</v>
      </c>
      <c r="Z712">
        <v>1.25723226561711</v>
      </c>
      <c r="AA712">
        <v>354.29</v>
      </c>
      <c r="AB712">
        <v>1.24948369760632</v>
      </c>
      <c r="AC712">
        <v>354.29</v>
      </c>
      <c r="AD712">
        <v>1.26737510407131</v>
      </c>
      <c r="AE712">
        <v>354.29</v>
      </c>
      <c r="AF712">
        <v>1.21795503316905</v>
      </c>
    </row>
    <row r="713" spans="23:32">
      <c r="W713">
        <v>354.789</v>
      </c>
      <c r="X713">
        <v>1.23633587605691</v>
      </c>
      <c r="Y713">
        <v>354.789</v>
      </c>
      <c r="Z713">
        <v>1.24230652894704</v>
      </c>
      <c r="AA713">
        <v>354.789</v>
      </c>
      <c r="AB713">
        <v>1.24895122622737</v>
      </c>
      <c r="AC713">
        <v>354.789</v>
      </c>
      <c r="AD713">
        <v>1.2649174443948</v>
      </c>
      <c r="AE713">
        <v>354.789</v>
      </c>
      <c r="AF713">
        <v>1.21800492533557</v>
      </c>
    </row>
    <row r="714" spans="23:32">
      <c r="W714">
        <v>355.288</v>
      </c>
      <c r="X714">
        <v>1.22809174432768</v>
      </c>
      <c r="Y714">
        <v>355.288</v>
      </c>
      <c r="Z714">
        <v>1.2516432626161</v>
      </c>
      <c r="AA714">
        <v>355.288</v>
      </c>
      <c r="AB714">
        <v>1.25575518543949</v>
      </c>
      <c r="AC714">
        <v>355.288</v>
      </c>
      <c r="AD714">
        <v>1.26166329792562</v>
      </c>
      <c r="AE714">
        <v>355.288</v>
      </c>
      <c r="AF714">
        <v>1.21110172297442</v>
      </c>
    </row>
    <row r="715" spans="23:32">
      <c r="W715">
        <v>355.787</v>
      </c>
      <c r="X715">
        <v>1.2330790677012</v>
      </c>
      <c r="Y715">
        <v>355.787</v>
      </c>
      <c r="Z715">
        <v>1.25027018022603</v>
      </c>
      <c r="AA715">
        <v>355.787</v>
      </c>
      <c r="AB715">
        <v>1.24941788538088</v>
      </c>
      <c r="AC715">
        <v>355.787</v>
      </c>
      <c r="AD715">
        <v>1.26522288030206</v>
      </c>
      <c r="AE715">
        <v>355.787</v>
      </c>
      <c r="AF715">
        <v>1.21411684208231</v>
      </c>
    </row>
    <row r="716" spans="23:32">
      <c r="W716">
        <v>356.286</v>
      </c>
      <c r="X716">
        <v>1.23131311654738</v>
      </c>
      <c r="Y716">
        <v>356.286</v>
      </c>
      <c r="Z716">
        <v>1.24857529054574</v>
      </c>
      <c r="AA716">
        <v>356.286</v>
      </c>
      <c r="AB716">
        <v>1.24667061800308</v>
      </c>
      <c r="AC716">
        <v>356.286</v>
      </c>
      <c r="AD716">
        <v>1.26390603678581</v>
      </c>
      <c r="AE716">
        <v>356.286</v>
      </c>
      <c r="AF716">
        <v>1.21420607766064</v>
      </c>
    </row>
    <row r="717" spans="23:32">
      <c r="W717">
        <v>356.785</v>
      </c>
      <c r="X717">
        <v>1.23544512412842</v>
      </c>
      <c r="Y717">
        <v>356.785</v>
      </c>
      <c r="Z717">
        <v>1.24422986983136</v>
      </c>
      <c r="AA717">
        <v>356.785</v>
      </c>
      <c r="AB717">
        <v>1.25095697492176</v>
      </c>
      <c r="AC717">
        <v>356.785</v>
      </c>
      <c r="AD717">
        <v>1.26192350522003</v>
      </c>
      <c r="AE717">
        <v>356.785</v>
      </c>
      <c r="AF717">
        <v>1.20915505276775</v>
      </c>
    </row>
    <row r="718" spans="23:32">
      <c r="W718">
        <v>357.284</v>
      </c>
      <c r="X718">
        <v>1.2262099329331</v>
      </c>
      <c r="Y718">
        <v>357.284</v>
      </c>
      <c r="Z718">
        <v>1.24489431054342</v>
      </c>
      <c r="AA718">
        <v>357.284</v>
      </c>
      <c r="AB718">
        <v>1.25557570150337</v>
      </c>
      <c r="AC718">
        <v>357.284</v>
      </c>
      <c r="AD718">
        <v>1.26718521030969</v>
      </c>
      <c r="AE718">
        <v>357.284</v>
      </c>
      <c r="AF718">
        <v>1.21415319921885</v>
      </c>
    </row>
    <row r="719" spans="23:32">
      <c r="W719">
        <v>357.783</v>
      </c>
      <c r="X719">
        <v>1.23126811152375</v>
      </c>
      <c r="Y719">
        <v>357.783</v>
      </c>
      <c r="Z719">
        <v>1.25424832751927</v>
      </c>
      <c r="AA719">
        <v>357.783</v>
      </c>
      <c r="AB719">
        <v>1.24824453986966</v>
      </c>
      <c r="AC719">
        <v>357.783</v>
      </c>
      <c r="AD719">
        <v>1.26962063938317</v>
      </c>
      <c r="AE719">
        <v>357.783</v>
      </c>
      <c r="AF719">
        <v>1.2140029347644</v>
      </c>
    </row>
    <row r="720" spans="23:32">
      <c r="W720">
        <v>358.282</v>
      </c>
      <c r="X720">
        <v>1.23627354951273</v>
      </c>
      <c r="Y720">
        <v>358.282</v>
      </c>
      <c r="Z720">
        <v>1.24895241754701</v>
      </c>
      <c r="AA720">
        <v>358.282</v>
      </c>
      <c r="AB720">
        <v>1.24906459158524</v>
      </c>
      <c r="AC720">
        <v>358.282</v>
      </c>
      <c r="AD720">
        <v>1.26678880650521</v>
      </c>
      <c r="AE720">
        <v>358.282</v>
      </c>
      <c r="AF720">
        <v>1.21167080735989</v>
      </c>
    </row>
    <row r="721" spans="23:32">
      <c r="W721">
        <v>358.781</v>
      </c>
      <c r="X721">
        <v>1.22824326776526</v>
      </c>
      <c r="Y721">
        <v>358.781</v>
      </c>
      <c r="Z721">
        <v>1.25138989652878</v>
      </c>
      <c r="AA721">
        <v>358.781</v>
      </c>
      <c r="AB721">
        <v>1.25124290360819</v>
      </c>
      <c r="AC721">
        <v>358.781</v>
      </c>
      <c r="AD721">
        <v>1.26419522137398</v>
      </c>
      <c r="AE721">
        <v>358.781</v>
      </c>
      <c r="AF721">
        <v>1.21075734866022</v>
      </c>
    </row>
    <row r="722" spans="23:32">
      <c r="W722">
        <v>359.28</v>
      </c>
      <c r="X722">
        <v>1.23877460986133</v>
      </c>
      <c r="Y722">
        <v>359.28</v>
      </c>
      <c r="Z722">
        <v>1.25324409438854</v>
      </c>
      <c r="AA722">
        <v>359.28</v>
      </c>
      <c r="AB722">
        <v>1.24599796851537</v>
      </c>
      <c r="AC722">
        <v>359.28</v>
      </c>
      <c r="AD722">
        <v>1.26826663890642</v>
      </c>
      <c r="AE722">
        <v>359.28</v>
      </c>
      <c r="AF722">
        <v>1.20346633270819</v>
      </c>
    </row>
    <row r="723" spans="23:32">
      <c r="W723">
        <v>359.779</v>
      </c>
      <c r="X723">
        <v>1.22279826422525</v>
      </c>
      <c r="Y723">
        <v>359.779</v>
      </c>
      <c r="Z723">
        <v>1.24859073889853</v>
      </c>
      <c r="AA723">
        <v>359.779</v>
      </c>
      <c r="AB723">
        <v>1.24626672534433</v>
      </c>
      <c r="AC723">
        <v>359.779</v>
      </c>
      <c r="AD723">
        <v>1.26222782192029</v>
      </c>
      <c r="AE723">
        <v>359.779</v>
      </c>
      <c r="AF723">
        <v>1.20058722316896</v>
      </c>
    </row>
    <row r="724" spans="23:32">
      <c r="W724">
        <v>360.278</v>
      </c>
      <c r="X724">
        <v>1.23169679931876</v>
      </c>
      <c r="Y724">
        <v>360.278</v>
      </c>
      <c r="Z724">
        <v>1.25370047697902</v>
      </c>
      <c r="AA724">
        <v>360.278</v>
      </c>
      <c r="AB724">
        <v>1.24665564592916</v>
      </c>
      <c r="AC724">
        <v>360.278</v>
      </c>
      <c r="AD724">
        <v>1.26212501890921</v>
      </c>
      <c r="AE724">
        <v>360.278</v>
      </c>
      <c r="AF724">
        <v>1.20285888223573</v>
      </c>
    </row>
    <row r="725" spans="23:32">
      <c r="W725">
        <v>360.777</v>
      </c>
      <c r="X725">
        <v>1.22596889943898</v>
      </c>
      <c r="Y725">
        <v>360.777</v>
      </c>
      <c r="Z725">
        <v>1.24116788661645</v>
      </c>
      <c r="AA725">
        <v>360.777</v>
      </c>
      <c r="AB725">
        <v>1.25639836415667</v>
      </c>
      <c r="AC725">
        <v>360.777</v>
      </c>
      <c r="AD725">
        <v>1.26662672546678</v>
      </c>
      <c r="AE725">
        <v>360.777</v>
      </c>
      <c r="AF725">
        <v>1.21320507816092</v>
      </c>
    </row>
    <row r="726" spans="23:32">
      <c r="W726">
        <v>361.276</v>
      </c>
      <c r="X726">
        <v>1.22934711731795</v>
      </c>
      <c r="Y726">
        <v>361.276</v>
      </c>
      <c r="Z726">
        <v>1.25261217616601</v>
      </c>
      <c r="AA726">
        <v>361.276</v>
      </c>
      <c r="AB726">
        <v>1.25387772271172</v>
      </c>
      <c r="AC726">
        <v>361.276</v>
      </c>
      <c r="AD726">
        <v>1.26396753276497</v>
      </c>
      <c r="AE726">
        <v>361.276</v>
      </c>
      <c r="AF726">
        <v>1.21777132204661</v>
      </c>
    </row>
    <row r="727" spans="23:32">
      <c r="W727">
        <v>361.775</v>
      </c>
      <c r="X727">
        <v>1.23396807707244</v>
      </c>
      <c r="Y727">
        <v>361.775</v>
      </c>
      <c r="Z727">
        <v>1.24986907025859</v>
      </c>
      <c r="AA727">
        <v>361.775</v>
      </c>
      <c r="AB727">
        <v>1.24631278907788</v>
      </c>
      <c r="AC727">
        <v>361.775</v>
      </c>
      <c r="AD727">
        <v>1.25973171414852</v>
      </c>
      <c r="AE727">
        <v>361.775</v>
      </c>
      <c r="AF727">
        <v>1.20902222361608</v>
      </c>
    </row>
    <row r="728" spans="23:32">
      <c r="W728">
        <v>362.274</v>
      </c>
      <c r="X728">
        <v>1.22309827220285</v>
      </c>
      <c r="Y728">
        <v>362.274</v>
      </c>
      <c r="Z728">
        <v>1.25027947967614</v>
      </c>
      <c r="AA728">
        <v>362.274</v>
      </c>
      <c r="AB728">
        <v>1.25032396987237</v>
      </c>
      <c r="AC728">
        <v>362.274</v>
      </c>
      <c r="AD728">
        <v>1.26257275785186</v>
      </c>
      <c r="AE728">
        <v>362.274</v>
      </c>
      <c r="AF728">
        <v>1.2014867484401</v>
      </c>
    </row>
    <row r="729" spans="23:32">
      <c r="W729">
        <v>362.773</v>
      </c>
      <c r="X729">
        <v>1.22112937136243</v>
      </c>
      <c r="Y729">
        <v>362.773</v>
      </c>
      <c r="Z729">
        <v>1.2501998691976</v>
      </c>
      <c r="AA729">
        <v>362.773</v>
      </c>
      <c r="AB729">
        <v>1.24955015319523</v>
      </c>
      <c r="AC729">
        <v>362.773</v>
      </c>
      <c r="AD729">
        <v>1.26293086551348</v>
      </c>
      <c r="AE729">
        <v>362.773</v>
      </c>
      <c r="AF729">
        <v>1.21570978749932</v>
      </c>
    </row>
    <row r="730" spans="23:32">
      <c r="W730">
        <v>363.272</v>
      </c>
      <c r="X730">
        <v>1.23099905826635</v>
      </c>
      <c r="Y730">
        <v>363.272</v>
      </c>
      <c r="Z730">
        <v>1.24670005760967</v>
      </c>
      <c r="AA730">
        <v>363.272</v>
      </c>
      <c r="AB730">
        <v>1.24581309221741</v>
      </c>
      <c r="AC730">
        <v>363.272</v>
      </c>
      <c r="AD730">
        <v>1.26590154585052</v>
      </c>
      <c r="AE730">
        <v>363.272</v>
      </c>
      <c r="AF730">
        <v>1.21326582492996</v>
      </c>
    </row>
    <row r="731" spans="23:32">
      <c r="W731">
        <v>363.771</v>
      </c>
      <c r="X731">
        <v>1.22375202944078</v>
      </c>
      <c r="Y731">
        <v>363.771</v>
      </c>
      <c r="Z731">
        <v>1.23786789927884</v>
      </c>
      <c r="AA731">
        <v>363.771</v>
      </c>
      <c r="AB731">
        <v>1.24945170517743</v>
      </c>
      <c r="AC731">
        <v>363.771</v>
      </c>
      <c r="AD731">
        <v>1.26096865635749</v>
      </c>
      <c r="AE731">
        <v>363.771</v>
      </c>
      <c r="AF731">
        <v>1.20709346642257</v>
      </c>
    </row>
    <row r="732" spans="23:32">
      <c r="W732">
        <v>364.27</v>
      </c>
      <c r="X732">
        <v>1.23133600390067</v>
      </c>
      <c r="Y732">
        <v>364.27</v>
      </c>
      <c r="Z732">
        <v>1.25001643138904</v>
      </c>
      <c r="AA732">
        <v>364.27</v>
      </c>
      <c r="AB732">
        <v>1.25554819379971</v>
      </c>
      <c r="AC732">
        <v>364.27</v>
      </c>
      <c r="AD732">
        <v>1.26184107416444</v>
      </c>
      <c r="AE732">
        <v>364.27</v>
      </c>
      <c r="AF732">
        <v>1.21540051272876</v>
      </c>
    </row>
    <row r="733" spans="23:32">
      <c r="W733">
        <v>364.769</v>
      </c>
      <c r="X733">
        <v>1.23189281527896</v>
      </c>
      <c r="Y733">
        <v>364.769</v>
      </c>
      <c r="Z733">
        <v>1.25599024154412</v>
      </c>
      <c r="AA733">
        <v>364.769</v>
      </c>
      <c r="AB733">
        <v>1.24999762744043</v>
      </c>
      <c r="AC733">
        <v>364.769</v>
      </c>
      <c r="AD733">
        <v>1.25864556257762</v>
      </c>
      <c r="AE733">
        <v>364.769</v>
      </c>
      <c r="AF733">
        <v>1.20443017220604</v>
      </c>
    </row>
    <row r="734" spans="23:32">
      <c r="W734">
        <v>365.268</v>
      </c>
      <c r="X734">
        <v>1.23342637643872</v>
      </c>
      <c r="Y734">
        <v>365.268</v>
      </c>
      <c r="Z734">
        <v>1.24183020733412</v>
      </c>
      <c r="AA734">
        <v>365.268</v>
      </c>
      <c r="AB734">
        <v>1.25149356456449</v>
      </c>
      <c r="AC734">
        <v>365.268</v>
      </c>
      <c r="AD734">
        <v>1.26626893043123</v>
      </c>
      <c r="AE734">
        <v>365.268</v>
      </c>
      <c r="AF734">
        <v>1.20481106472312</v>
      </c>
    </row>
    <row r="735" spans="23:32">
      <c r="W735">
        <v>365.767</v>
      </c>
      <c r="X735">
        <v>1.23189412453313</v>
      </c>
      <c r="Y735">
        <v>365.767</v>
      </c>
      <c r="Z735">
        <v>1.25026364877394</v>
      </c>
      <c r="AA735">
        <v>365.767</v>
      </c>
      <c r="AB735">
        <v>1.245135534889</v>
      </c>
      <c r="AC735">
        <v>365.767</v>
      </c>
      <c r="AD735">
        <v>1.26513905400269</v>
      </c>
      <c r="AE735">
        <v>365.767</v>
      </c>
      <c r="AF735">
        <v>1.21193562880539</v>
      </c>
    </row>
    <row r="736" spans="23:32">
      <c r="W736">
        <v>366.266</v>
      </c>
      <c r="X736">
        <v>1.23280876089515</v>
      </c>
      <c r="Y736">
        <v>366.266</v>
      </c>
      <c r="Z736">
        <v>1.24841678658899</v>
      </c>
      <c r="AA736">
        <v>366.266</v>
      </c>
      <c r="AB736">
        <v>1.24986157568396</v>
      </c>
      <c r="AC736">
        <v>366.266</v>
      </c>
      <c r="AD736">
        <v>1.26516267849777</v>
      </c>
      <c r="AE736">
        <v>366.266</v>
      </c>
      <c r="AF736">
        <v>1.2120186151214</v>
      </c>
    </row>
    <row r="737" spans="23:32">
      <c r="W737">
        <v>366.765</v>
      </c>
      <c r="X737">
        <v>1.23237748416318</v>
      </c>
      <c r="Y737">
        <v>366.765</v>
      </c>
      <c r="Z737">
        <v>1.24445009757759</v>
      </c>
      <c r="AA737">
        <v>366.765</v>
      </c>
      <c r="AB737">
        <v>1.25046264132827</v>
      </c>
      <c r="AC737">
        <v>366.765</v>
      </c>
      <c r="AD737">
        <v>1.27204905311904</v>
      </c>
      <c r="AE737">
        <v>366.765</v>
      </c>
      <c r="AF737">
        <v>1.20162503505424</v>
      </c>
    </row>
    <row r="738" spans="23:32">
      <c r="W738">
        <v>367.264</v>
      </c>
      <c r="X738">
        <v>1.23134286022988</v>
      </c>
      <c r="Y738">
        <v>367.264</v>
      </c>
      <c r="Z738">
        <v>1.25270412867316</v>
      </c>
      <c r="AA738">
        <v>367.264</v>
      </c>
      <c r="AB738">
        <v>1.25457386486428</v>
      </c>
      <c r="AC738">
        <v>367.264</v>
      </c>
      <c r="AD738">
        <v>1.26538391474369</v>
      </c>
      <c r="AE738">
        <v>367.264</v>
      </c>
      <c r="AF738">
        <v>1.21492583238928</v>
      </c>
    </row>
    <row r="739" spans="23:32">
      <c r="W739">
        <v>367.763</v>
      </c>
      <c r="X739">
        <v>1.23674706453414</v>
      </c>
      <c r="Y739">
        <v>367.763</v>
      </c>
      <c r="Z739">
        <v>1.24553121866278</v>
      </c>
      <c r="AA739">
        <v>367.763</v>
      </c>
      <c r="AB739">
        <v>1.25131863502283</v>
      </c>
      <c r="AC739">
        <v>367.763</v>
      </c>
      <c r="AD739">
        <v>1.26872160859274</v>
      </c>
      <c r="AE739">
        <v>367.763</v>
      </c>
      <c r="AF739">
        <v>1.21249179914701</v>
      </c>
    </row>
    <row r="740" spans="23:32">
      <c r="W740">
        <v>368.262</v>
      </c>
      <c r="X740">
        <v>1.23285704960888</v>
      </c>
      <c r="Y740">
        <v>368.262</v>
      </c>
      <c r="Z740">
        <v>1.25136365021453</v>
      </c>
      <c r="AA740">
        <v>368.262</v>
      </c>
      <c r="AB740">
        <v>1.24449886209129</v>
      </c>
      <c r="AC740">
        <v>368.262</v>
      </c>
      <c r="AD740">
        <v>1.27271894705743</v>
      </c>
      <c r="AE740">
        <v>368.262</v>
      </c>
      <c r="AF740">
        <v>1.21205364661997</v>
      </c>
    </row>
    <row r="741" spans="23:32">
      <c r="W741">
        <v>368.761</v>
      </c>
      <c r="X741">
        <v>1.2317041072545</v>
      </c>
      <c r="Y741">
        <v>368.761</v>
      </c>
      <c r="Z741">
        <v>1.247270245251</v>
      </c>
      <c r="AA741">
        <v>368.761</v>
      </c>
      <c r="AB741">
        <v>1.2492333137066</v>
      </c>
      <c r="AC741">
        <v>368.761</v>
      </c>
      <c r="AD741">
        <v>1.27099181830756</v>
      </c>
      <c r="AE741">
        <v>368.761</v>
      </c>
      <c r="AF741">
        <v>1.21727143120584</v>
      </c>
    </row>
    <row r="742" spans="23:32">
      <c r="W742">
        <v>369.26</v>
      </c>
      <c r="X742">
        <v>1.24007375640436</v>
      </c>
      <c r="Y742">
        <v>369.26</v>
      </c>
      <c r="Z742">
        <v>1.24057356511634</v>
      </c>
      <c r="AA742">
        <v>369.26</v>
      </c>
      <c r="AB742">
        <v>1.25218326325582</v>
      </c>
      <c r="AC742">
        <v>369.26</v>
      </c>
      <c r="AD742">
        <v>1.26961429403442</v>
      </c>
      <c r="AE742">
        <v>369.26</v>
      </c>
      <c r="AF742">
        <v>1.21316126026398</v>
      </c>
    </row>
    <row r="743" spans="23:32">
      <c r="W743">
        <v>369.759</v>
      </c>
      <c r="X743">
        <v>1.23072169342793</v>
      </c>
      <c r="Y743">
        <v>369.759</v>
      </c>
      <c r="Z743">
        <v>1.24432875146903</v>
      </c>
      <c r="AA743">
        <v>369.759</v>
      </c>
      <c r="AB743">
        <v>1.24414130747071</v>
      </c>
      <c r="AC743">
        <v>369.759</v>
      </c>
      <c r="AD743">
        <v>1.27657677968105</v>
      </c>
      <c r="AE743">
        <v>369.759</v>
      </c>
      <c r="AF743">
        <v>1.2191245918342</v>
      </c>
    </row>
    <row r="744" spans="23:32">
      <c r="W744">
        <v>370.258</v>
      </c>
      <c r="X744">
        <v>1.2415634319868</v>
      </c>
      <c r="Y744">
        <v>370.258</v>
      </c>
      <c r="Z744">
        <v>1.25553245028614</v>
      </c>
      <c r="AA744">
        <v>370.258</v>
      </c>
      <c r="AB744">
        <v>1.24811540344479</v>
      </c>
      <c r="AC744">
        <v>370.258</v>
      </c>
      <c r="AD744">
        <v>1.27407079007822</v>
      </c>
      <c r="AE744">
        <v>370.258</v>
      </c>
      <c r="AF744">
        <v>1.2104528088062</v>
      </c>
    </row>
    <row r="745" spans="23:32">
      <c r="W745">
        <v>370.757</v>
      </c>
      <c r="X745">
        <v>1.23060258443897</v>
      </c>
      <c r="Y745">
        <v>370.757</v>
      </c>
      <c r="Z745">
        <v>1.24819865760902</v>
      </c>
      <c r="AA745">
        <v>370.757</v>
      </c>
      <c r="AB745">
        <v>1.24855009085319</v>
      </c>
      <c r="AC745">
        <v>370.757</v>
      </c>
      <c r="AD745">
        <v>1.27152826409441</v>
      </c>
      <c r="AE745">
        <v>370.757</v>
      </c>
      <c r="AF745">
        <v>1.2136888889257</v>
      </c>
    </row>
    <row r="746" spans="23:32">
      <c r="W746">
        <v>371.256</v>
      </c>
      <c r="X746">
        <v>1.23304824215593</v>
      </c>
      <c r="Y746">
        <v>371.256</v>
      </c>
      <c r="Z746">
        <v>1.25073546817178</v>
      </c>
      <c r="AA746">
        <v>371.256</v>
      </c>
      <c r="AB746">
        <v>1.25333481331632</v>
      </c>
      <c r="AC746">
        <v>371.256</v>
      </c>
      <c r="AD746">
        <v>1.26748619356274</v>
      </c>
      <c r="AE746">
        <v>371.256</v>
      </c>
      <c r="AF746">
        <v>1.20521857207317</v>
      </c>
    </row>
    <row r="747" spans="23:32">
      <c r="W747">
        <v>371.755</v>
      </c>
      <c r="X747">
        <v>1.2422924949638</v>
      </c>
      <c r="Y747">
        <v>371.755</v>
      </c>
      <c r="Z747">
        <v>1.24519612829594</v>
      </c>
      <c r="AA747">
        <v>371.755</v>
      </c>
      <c r="AB747">
        <v>1.24719580537051</v>
      </c>
      <c r="AC747">
        <v>371.755</v>
      </c>
      <c r="AD747">
        <v>1.26105584383902</v>
      </c>
      <c r="AE747">
        <v>371.755</v>
      </c>
      <c r="AF747">
        <v>1.2225071079267</v>
      </c>
    </row>
    <row r="748" spans="23:32">
      <c r="W748">
        <v>372.254</v>
      </c>
      <c r="X748">
        <v>1.23526973065204</v>
      </c>
      <c r="Y748">
        <v>372.254</v>
      </c>
      <c r="Z748">
        <v>1.25084953978716</v>
      </c>
      <c r="AA748">
        <v>372.254</v>
      </c>
      <c r="AB748">
        <v>1.25043710467588</v>
      </c>
      <c r="AC748">
        <v>372.254</v>
      </c>
      <c r="AD748">
        <v>1.25809908862505</v>
      </c>
      <c r="AE748">
        <v>372.254</v>
      </c>
      <c r="AF748">
        <v>1.22188817286812</v>
      </c>
    </row>
    <row r="749" spans="23:32">
      <c r="W749">
        <v>372.753</v>
      </c>
      <c r="X749">
        <v>1.23750036749598</v>
      </c>
      <c r="Y749">
        <v>372.753</v>
      </c>
      <c r="Z749">
        <v>1.2467746900614</v>
      </c>
      <c r="AA749">
        <v>372.753</v>
      </c>
      <c r="AB749">
        <v>1.251906350478</v>
      </c>
      <c r="AC749">
        <v>372.753</v>
      </c>
      <c r="AD749">
        <v>1.26976237582776</v>
      </c>
      <c r="AE749">
        <v>372.753</v>
      </c>
      <c r="AF749">
        <v>1.21634468311029</v>
      </c>
    </row>
    <row r="750" spans="23:32">
      <c r="W750">
        <v>373.252</v>
      </c>
      <c r="X750">
        <v>1.23565311379022</v>
      </c>
      <c r="Y750">
        <v>373.252</v>
      </c>
      <c r="Z750">
        <v>1.2457759134555</v>
      </c>
      <c r="AA750">
        <v>373.252</v>
      </c>
      <c r="AB750">
        <v>1.24537543819795</v>
      </c>
      <c r="AC750">
        <v>373.252</v>
      </c>
      <c r="AD750">
        <v>1.26516061812132</v>
      </c>
      <c r="AE750">
        <v>373.252</v>
      </c>
      <c r="AF750">
        <v>1.20581751200115</v>
      </c>
    </row>
    <row r="751" spans="23:32">
      <c r="W751">
        <v>373.751</v>
      </c>
      <c r="X751">
        <v>1.23709777176049</v>
      </c>
      <c r="Y751">
        <v>373.751</v>
      </c>
      <c r="Z751">
        <v>1.24396905422175</v>
      </c>
      <c r="AA751">
        <v>373.751</v>
      </c>
      <c r="AB751">
        <v>1.24542661507096</v>
      </c>
      <c r="AC751">
        <v>373.751</v>
      </c>
      <c r="AD751">
        <v>1.25527516754319</v>
      </c>
      <c r="AE751">
        <v>373.751</v>
      </c>
      <c r="AF751">
        <v>1.21217055589607</v>
      </c>
    </row>
    <row r="752" spans="23:32">
      <c r="W752">
        <v>374.25</v>
      </c>
      <c r="X752">
        <v>1.23682680313938</v>
      </c>
      <c r="Y752">
        <v>374.25</v>
      </c>
      <c r="Z752">
        <v>1.24948863352238</v>
      </c>
      <c r="AA752">
        <v>374.25</v>
      </c>
      <c r="AB752">
        <v>1.24879943311764</v>
      </c>
      <c r="AC752">
        <v>374.25</v>
      </c>
      <c r="AD752">
        <v>1.26060297876739</v>
      </c>
      <c r="AE752">
        <v>374.25</v>
      </c>
      <c r="AF752">
        <v>1.20518871988207</v>
      </c>
    </row>
    <row r="753" spans="23:32">
      <c r="W753">
        <v>374.749</v>
      </c>
      <c r="X753">
        <v>1.23493123553403</v>
      </c>
      <c r="Y753">
        <v>374.749</v>
      </c>
      <c r="Z753">
        <v>1.24454708430398</v>
      </c>
      <c r="AA753">
        <v>374.749</v>
      </c>
      <c r="AB753">
        <v>1.2438999613868</v>
      </c>
      <c r="AC753">
        <v>374.749</v>
      </c>
      <c r="AD753">
        <v>1.25658575280791</v>
      </c>
      <c r="AE753">
        <v>374.749</v>
      </c>
      <c r="AF753">
        <v>1.2139278027256</v>
      </c>
    </row>
    <row r="754" spans="23:32">
      <c r="W754">
        <v>375.248</v>
      </c>
      <c r="X754">
        <v>1.23012930199628</v>
      </c>
      <c r="Y754">
        <v>375.248</v>
      </c>
      <c r="Z754">
        <v>1.24590436012022</v>
      </c>
      <c r="AA754">
        <v>375.248</v>
      </c>
      <c r="AB754">
        <v>1.24997316925168</v>
      </c>
      <c r="AC754">
        <v>375.248</v>
      </c>
      <c r="AD754">
        <v>1.26138729768056</v>
      </c>
      <c r="AE754">
        <v>375.248</v>
      </c>
      <c r="AF754">
        <v>1.20863798214599</v>
      </c>
    </row>
    <row r="755" spans="23:32">
      <c r="W755">
        <v>375.747</v>
      </c>
      <c r="X755">
        <v>1.23472215199682</v>
      </c>
      <c r="Y755">
        <v>375.747</v>
      </c>
      <c r="Z755">
        <v>1.25600280308176</v>
      </c>
      <c r="AA755">
        <v>375.747</v>
      </c>
      <c r="AB755">
        <v>1.24793801773858</v>
      </c>
      <c r="AC755">
        <v>375.747</v>
      </c>
      <c r="AD755">
        <v>1.26659851673042</v>
      </c>
      <c r="AE755">
        <v>375.747</v>
      </c>
      <c r="AF755">
        <v>1.20162540123845</v>
      </c>
    </row>
    <row r="756" spans="23:32">
      <c r="W756">
        <v>376.246</v>
      </c>
      <c r="X756">
        <v>1.23210773557401</v>
      </c>
      <c r="Y756">
        <v>376.246</v>
      </c>
      <c r="Z756">
        <v>1.2516175614186</v>
      </c>
      <c r="AA756">
        <v>376.246</v>
      </c>
      <c r="AB756">
        <v>1.25019537587591</v>
      </c>
      <c r="AC756">
        <v>376.246</v>
      </c>
      <c r="AD756">
        <v>1.26144006766211</v>
      </c>
      <c r="AE756">
        <v>376.246</v>
      </c>
      <c r="AF756">
        <v>1.20749021830771</v>
      </c>
    </row>
    <row r="757" spans="23:32">
      <c r="W757">
        <v>376.745</v>
      </c>
      <c r="X757">
        <v>1.235527977144</v>
      </c>
      <c r="Y757">
        <v>376.745</v>
      </c>
      <c r="Z757">
        <v>1.24379738655493</v>
      </c>
      <c r="AA757">
        <v>376.745</v>
      </c>
      <c r="AB757">
        <v>1.26168460513473</v>
      </c>
      <c r="AC757">
        <v>376.745</v>
      </c>
      <c r="AD757">
        <v>1.26259249759287</v>
      </c>
      <c r="AE757">
        <v>376.745</v>
      </c>
      <c r="AF757">
        <v>1.20459112575475</v>
      </c>
    </row>
    <row r="758" spans="23:32">
      <c r="W758">
        <v>377.244</v>
      </c>
      <c r="X758">
        <v>1.23879431240159</v>
      </c>
      <c r="Y758">
        <v>377.244</v>
      </c>
      <c r="Z758">
        <v>1.24315222697838</v>
      </c>
      <c r="AA758">
        <v>377.244</v>
      </c>
      <c r="AB758">
        <v>1.2474975429927</v>
      </c>
      <c r="AC758">
        <v>377.244</v>
      </c>
      <c r="AD758">
        <v>1.25476600435352</v>
      </c>
      <c r="AE758">
        <v>377.244</v>
      </c>
      <c r="AF758">
        <v>1.20852418450804</v>
      </c>
    </row>
    <row r="759" spans="23:32">
      <c r="W759">
        <v>377.743</v>
      </c>
      <c r="X759">
        <v>1.22924709271655</v>
      </c>
      <c r="Y759">
        <v>377.743</v>
      </c>
      <c r="Z759">
        <v>1.24531950897432</v>
      </c>
      <c r="AA759">
        <v>377.743</v>
      </c>
      <c r="AB759">
        <v>1.25461896920779</v>
      </c>
      <c r="AC759">
        <v>377.743</v>
      </c>
      <c r="AD759">
        <v>1.26614246801937</v>
      </c>
      <c r="AE759">
        <v>377.743</v>
      </c>
      <c r="AF759">
        <v>1.20625475666298</v>
      </c>
    </row>
    <row r="760" spans="23:32">
      <c r="W760">
        <v>378.242</v>
      </c>
      <c r="X760">
        <v>1.23641222200089</v>
      </c>
      <c r="Y760">
        <v>378.242</v>
      </c>
      <c r="Z760">
        <v>1.24476515869247</v>
      </c>
      <c r="AA760">
        <v>378.242</v>
      </c>
      <c r="AB760">
        <v>1.2526721876476</v>
      </c>
      <c r="AC760">
        <v>378.242</v>
      </c>
      <c r="AD760">
        <v>1.26743825490807</v>
      </c>
      <c r="AE760">
        <v>378.242</v>
      </c>
      <c r="AF760">
        <v>1.20559233333753</v>
      </c>
    </row>
    <row r="761" spans="23:32">
      <c r="W761">
        <v>378.741</v>
      </c>
      <c r="X761">
        <v>1.22760512819677</v>
      </c>
      <c r="Y761">
        <v>378.741</v>
      </c>
      <c r="Z761">
        <v>1.25108364587024</v>
      </c>
      <c r="AA761">
        <v>378.741</v>
      </c>
      <c r="AB761">
        <v>1.25631814881707</v>
      </c>
      <c r="AC761">
        <v>378.741</v>
      </c>
      <c r="AD761">
        <v>1.26625428969959</v>
      </c>
      <c r="AE761">
        <v>378.741</v>
      </c>
      <c r="AF761">
        <v>1.2027973137598</v>
      </c>
    </row>
    <row r="762" spans="23:32">
      <c r="W762">
        <v>379.24</v>
      </c>
      <c r="X762">
        <v>1.22499949373186</v>
      </c>
      <c r="Y762">
        <v>379.24</v>
      </c>
      <c r="Z762">
        <v>1.24266475323514</v>
      </c>
      <c r="AA762">
        <v>379.24</v>
      </c>
      <c r="AB762">
        <v>1.24694533602866</v>
      </c>
      <c r="AC762">
        <v>379.24</v>
      </c>
      <c r="AD762">
        <v>1.26063119421283</v>
      </c>
      <c r="AE762">
        <v>379.24</v>
      </c>
      <c r="AF762">
        <v>1.20324108105369</v>
      </c>
    </row>
    <row r="763" spans="23:32">
      <c r="W763">
        <v>379.739</v>
      </c>
      <c r="X763">
        <v>1.23353486104701</v>
      </c>
      <c r="Y763">
        <v>379.739</v>
      </c>
      <c r="Z763">
        <v>1.24837812151865</v>
      </c>
      <c r="AA763">
        <v>379.739</v>
      </c>
      <c r="AB763">
        <v>1.24839737761894</v>
      </c>
      <c r="AC763">
        <v>379.739</v>
      </c>
      <c r="AD763">
        <v>1.26570592325778</v>
      </c>
      <c r="AE763">
        <v>379.739</v>
      </c>
      <c r="AF763">
        <v>1.21033754320378</v>
      </c>
    </row>
    <row r="764" spans="23:32">
      <c r="W764">
        <v>380.238</v>
      </c>
      <c r="X764">
        <v>1.22621340577658</v>
      </c>
      <c r="Y764">
        <v>380.238</v>
      </c>
      <c r="Z764">
        <v>1.24724261250371</v>
      </c>
      <c r="AA764">
        <v>380.238</v>
      </c>
      <c r="AB764">
        <v>1.25817370450845</v>
      </c>
      <c r="AC764">
        <v>380.238</v>
      </c>
      <c r="AD764">
        <v>1.26553074513072</v>
      </c>
      <c r="AE764">
        <v>380.238</v>
      </c>
      <c r="AF764">
        <v>1.2060590016897</v>
      </c>
    </row>
    <row r="765" spans="23:32">
      <c r="W765">
        <v>380.737</v>
      </c>
      <c r="X765">
        <v>1.22651862263687</v>
      </c>
      <c r="Y765">
        <v>380.737</v>
      </c>
      <c r="Z765">
        <v>1.24895910295983</v>
      </c>
      <c r="AA765">
        <v>380.737</v>
      </c>
      <c r="AB765">
        <v>1.25640773060791</v>
      </c>
      <c r="AC765">
        <v>380.737</v>
      </c>
      <c r="AD765">
        <v>1.26875051603649</v>
      </c>
      <c r="AE765">
        <v>380.737</v>
      </c>
      <c r="AF765">
        <v>1.208364760306</v>
      </c>
    </row>
    <row r="766" spans="23:32">
      <c r="W766">
        <v>381.236</v>
      </c>
      <c r="X766">
        <v>1.22799629778914</v>
      </c>
      <c r="Y766">
        <v>381.236</v>
      </c>
      <c r="Z766">
        <v>1.24159921284505</v>
      </c>
      <c r="AA766">
        <v>381.236</v>
      </c>
      <c r="AB766">
        <v>1.26018515077092</v>
      </c>
      <c r="AC766">
        <v>381.236</v>
      </c>
      <c r="AD766">
        <v>1.26699625432587</v>
      </c>
      <c r="AE766">
        <v>381.236</v>
      </c>
      <c r="AF766">
        <v>1.20483416092094</v>
      </c>
    </row>
    <row r="767" spans="23:32">
      <c r="W767">
        <v>381.735</v>
      </c>
      <c r="X767">
        <v>1.23431538194515</v>
      </c>
      <c r="Y767">
        <v>381.735</v>
      </c>
      <c r="Z767">
        <v>1.25034027585171</v>
      </c>
      <c r="AA767">
        <v>381.735</v>
      </c>
      <c r="AB767">
        <v>1.25835408101298</v>
      </c>
      <c r="AC767">
        <v>381.735</v>
      </c>
      <c r="AD767">
        <v>1.2576878761245</v>
      </c>
      <c r="AE767">
        <v>381.735</v>
      </c>
      <c r="AF767">
        <v>1.21403874324209</v>
      </c>
    </row>
    <row r="768" spans="23:32">
      <c r="W768">
        <v>382.234</v>
      </c>
      <c r="X768">
        <v>1.24042782134463</v>
      </c>
      <c r="Y768">
        <v>382.234</v>
      </c>
      <c r="Z768">
        <v>1.24418956374616</v>
      </c>
      <c r="AA768">
        <v>382.234</v>
      </c>
      <c r="AB768">
        <v>1.25633929260365</v>
      </c>
      <c r="AC768">
        <v>382.234</v>
      </c>
      <c r="AD768">
        <v>1.27319886222212</v>
      </c>
      <c r="AE768">
        <v>382.234</v>
      </c>
      <c r="AF768">
        <v>1.21127377213407</v>
      </c>
    </row>
    <row r="769" spans="23:32">
      <c r="W769">
        <v>382.733</v>
      </c>
      <c r="X769">
        <v>1.23449396693944</v>
      </c>
      <c r="Y769">
        <v>382.733</v>
      </c>
      <c r="Z769">
        <v>1.24805970991752</v>
      </c>
      <c r="AA769">
        <v>382.733</v>
      </c>
      <c r="AB769">
        <v>1.25690406579325</v>
      </c>
      <c r="AC769">
        <v>382.733</v>
      </c>
      <c r="AD769">
        <v>1.26650008261137</v>
      </c>
      <c r="AE769">
        <v>382.733</v>
      </c>
      <c r="AF769">
        <v>1.20596546151779</v>
      </c>
    </row>
    <row r="770" spans="23:32">
      <c r="W770">
        <v>383.232</v>
      </c>
      <c r="X770">
        <v>1.23497253721435</v>
      </c>
      <c r="Y770">
        <v>383.232</v>
      </c>
      <c r="Z770">
        <v>1.2415613026838</v>
      </c>
      <c r="AA770">
        <v>383.232</v>
      </c>
      <c r="AB770">
        <v>1.25388412268747</v>
      </c>
      <c r="AC770">
        <v>383.232</v>
      </c>
      <c r="AD770">
        <v>1.26623095820371</v>
      </c>
      <c r="AE770">
        <v>383.232</v>
      </c>
      <c r="AF770">
        <v>1.21050479602163</v>
      </c>
    </row>
    <row r="771" spans="23:32">
      <c r="W771">
        <v>383.731</v>
      </c>
      <c r="X771">
        <v>1.23435432726134</v>
      </c>
      <c r="Y771">
        <v>383.731</v>
      </c>
      <c r="Z771">
        <v>1.24614784314107</v>
      </c>
      <c r="AA771">
        <v>383.731</v>
      </c>
      <c r="AB771">
        <v>1.25390082519933</v>
      </c>
      <c r="AC771">
        <v>383.731</v>
      </c>
      <c r="AD771">
        <v>1.26962496821229</v>
      </c>
      <c r="AE771">
        <v>383.731</v>
      </c>
      <c r="AF771">
        <v>1.21162638231419</v>
      </c>
    </row>
    <row r="772" spans="23:32">
      <c r="W772">
        <v>384.23</v>
      </c>
      <c r="X772">
        <v>1.2337764590597</v>
      </c>
      <c r="Y772">
        <v>384.23</v>
      </c>
      <c r="Z772">
        <v>1.24018659095105</v>
      </c>
      <c r="AA772">
        <v>384.23</v>
      </c>
      <c r="AB772">
        <v>1.25750106640332</v>
      </c>
      <c r="AC772">
        <v>384.23</v>
      </c>
      <c r="AD772">
        <v>1.2703492084815</v>
      </c>
      <c r="AE772">
        <v>384.23</v>
      </c>
      <c r="AF772">
        <v>1.21043780700794</v>
      </c>
    </row>
    <row r="773" spans="23:32">
      <c r="W773">
        <v>384.729</v>
      </c>
      <c r="X773">
        <v>1.2328641371138</v>
      </c>
      <c r="Y773">
        <v>384.729</v>
      </c>
      <c r="Z773">
        <v>1.24565889915877</v>
      </c>
      <c r="AA773">
        <v>384.729</v>
      </c>
      <c r="AB773">
        <v>1.25586138605497</v>
      </c>
      <c r="AC773">
        <v>384.729</v>
      </c>
      <c r="AD773">
        <v>1.26173709459364</v>
      </c>
      <c r="AE773">
        <v>384.729</v>
      </c>
      <c r="AF773">
        <v>1.19677546430238</v>
      </c>
    </row>
    <row r="774" spans="23:32">
      <c r="W774">
        <v>385.228</v>
      </c>
      <c r="X774">
        <v>1.23483041658229</v>
      </c>
      <c r="Y774">
        <v>385.228</v>
      </c>
      <c r="Z774">
        <v>1.24442448191774</v>
      </c>
      <c r="AA774">
        <v>385.228</v>
      </c>
      <c r="AB774">
        <v>1.25437778660957</v>
      </c>
      <c r="AC774">
        <v>385.228</v>
      </c>
      <c r="AD774">
        <v>1.26684413400143</v>
      </c>
      <c r="AE774">
        <v>385.228</v>
      </c>
      <c r="AF774">
        <v>1.20890680135536</v>
      </c>
    </row>
    <row r="775" spans="23:32">
      <c r="W775">
        <v>385.727</v>
      </c>
      <c r="X775">
        <v>1.22970743796121</v>
      </c>
      <c r="Y775">
        <v>385.727</v>
      </c>
      <c r="Z775">
        <v>1.24575133525772</v>
      </c>
      <c r="AA775">
        <v>385.727</v>
      </c>
      <c r="AB775">
        <v>1.25084346286079</v>
      </c>
      <c r="AC775">
        <v>385.727</v>
      </c>
      <c r="AD775">
        <v>1.25860543664557</v>
      </c>
      <c r="AE775">
        <v>385.727</v>
      </c>
      <c r="AF775">
        <v>1.21602415651442</v>
      </c>
    </row>
    <row r="776" spans="23:32">
      <c r="W776">
        <v>386.226</v>
      </c>
      <c r="X776">
        <v>1.22942044921427</v>
      </c>
      <c r="Y776">
        <v>386.226</v>
      </c>
      <c r="Z776">
        <v>1.24651264928124</v>
      </c>
      <c r="AA776">
        <v>386.226</v>
      </c>
      <c r="AB776">
        <v>1.2500348462265</v>
      </c>
      <c r="AC776">
        <v>386.226</v>
      </c>
      <c r="AD776">
        <v>1.26360178996898</v>
      </c>
      <c r="AE776">
        <v>386.226</v>
      </c>
      <c r="AF776">
        <v>1.21683713909513</v>
      </c>
    </row>
    <row r="777" spans="23:32">
      <c r="W777">
        <v>386.725</v>
      </c>
      <c r="X777">
        <v>1.23343265449766</v>
      </c>
      <c r="Y777">
        <v>386.725</v>
      </c>
      <c r="Z777">
        <v>1.24962043786552</v>
      </c>
      <c r="AA777">
        <v>386.725</v>
      </c>
      <c r="AB777">
        <v>1.26210892771119</v>
      </c>
      <c r="AC777">
        <v>386.725</v>
      </c>
      <c r="AD777">
        <v>1.26216249097265</v>
      </c>
      <c r="AE777">
        <v>386.725</v>
      </c>
      <c r="AF777">
        <v>1.20897912316187</v>
      </c>
    </row>
    <row r="778" spans="23:32">
      <c r="W778">
        <v>387.224</v>
      </c>
      <c r="X778">
        <v>1.22445048768318</v>
      </c>
      <c r="Y778">
        <v>387.224</v>
      </c>
      <c r="Z778">
        <v>1.24645424697346</v>
      </c>
      <c r="AA778">
        <v>387.224</v>
      </c>
      <c r="AB778">
        <v>1.25349122911626</v>
      </c>
      <c r="AC778">
        <v>387.224</v>
      </c>
      <c r="AD778">
        <v>1.26408452488515</v>
      </c>
      <c r="AE778">
        <v>387.224</v>
      </c>
      <c r="AF778">
        <v>1.21412174442216</v>
      </c>
    </row>
    <row r="779" spans="23:32">
      <c r="W779">
        <v>387.723</v>
      </c>
      <c r="X779">
        <v>1.22733303259221</v>
      </c>
      <c r="Y779">
        <v>387.723</v>
      </c>
      <c r="Z779">
        <v>1.249263676448</v>
      </c>
      <c r="AA779">
        <v>387.723</v>
      </c>
      <c r="AB779">
        <v>1.24537585602009</v>
      </c>
      <c r="AC779">
        <v>387.723</v>
      </c>
      <c r="AD779">
        <v>1.26852620342102</v>
      </c>
      <c r="AE779">
        <v>387.723</v>
      </c>
      <c r="AF779">
        <v>1.21830044081576</v>
      </c>
    </row>
    <row r="780" spans="23:32">
      <c r="W780">
        <v>388.222</v>
      </c>
      <c r="X780">
        <v>1.22465091715465</v>
      </c>
      <c r="Y780">
        <v>388.222</v>
      </c>
      <c r="Z780">
        <v>1.25273165789467</v>
      </c>
      <c r="AA780">
        <v>388.222</v>
      </c>
      <c r="AB780">
        <v>1.25169453467539</v>
      </c>
      <c r="AC780">
        <v>388.222</v>
      </c>
      <c r="AD780">
        <v>1.26151182421365</v>
      </c>
      <c r="AE780">
        <v>388.222</v>
      </c>
      <c r="AF780">
        <v>1.22274014419734</v>
      </c>
    </row>
    <row r="781" spans="23:32">
      <c r="W781">
        <v>388.721</v>
      </c>
      <c r="X781">
        <v>1.22541368324903</v>
      </c>
      <c r="Y781">
        <v>388.721</v>
      </c>
      <c r="Z781">
        <v>1.25416369036322</v>
      </c>
      <c r="AA781">
        <v>388.721</v>
      </c>
      <c r="AB781">
        <v>1.25785138231059</v>
      </c>
      <c r="AC781">
        <v>388.721</v>
      </c>
      <c r="AD781">
        <v>1.26327727191004</v>
      </c>
      <c r="AE781">
        <v>388.721</v>
      </c>
      <c r="AF781">
        <v>1.21592272335227</v>
      </c>
    </row>
    <row r="782" spans="23:32">
      <c r="W782">
        <v>389.22</v>
      </c>
      <c r="X782">
        <v>1.22436440909365</v>
      </c>
      <c r="Y782">
        <v>389.22</v>
      </c>
      <c r="Z782">
        <v>1.25472340121371</v>
      </c>
      <c r="AA782">
        <v>389.22</v>
      </c>
      <c r="AB782">
        <v>1.25135864477427</v>
      </c>
      <c r="AC782">
        <v>389.22</v>
      </c>
      <c r="AD782">
        <v>1.26287915451291</v>
      </c>
      <c r="AE782">
        <v>389.22</v>
      </c>
      <c r="AF782">
        <v>1.22456065296099</v>
      </c>
    </row>
    <row r="783" spans="23:32">
      <c r="W783">
        <v>389.719</v>
      </c>
      <c r="X783">
        <v>1.23973162190462</v>
      </c>
      <c r="Y783">
        <v>389.719</v>
      </c>
      <c r="Z783">
        <v>1.24035920877442</v>
      </c>
      <c r="AA783">
        <v>389.719</v>
      </c>
      <c r="AB783">
        <v>1.25296053988948</v>
      </c>
      <c r="AC783">
        <v>389.719</v>
      </c>
      <c r="AD783">
        <v>1.26680212472973</v>
      </c>
      <c r="AE783">
        <v>389.719</v>
      </c>
      <c r="AF783">
        <v>1.22473394526485</v>
      </c>
    </row>
    <row r="784" spans="23:32">
      <c r="W784">
        <v>390.218</v>
      </c>
      <c r="X784">
        <v>1.22729591345808</v>
      </c>
      <c r="Y784">
        <v>390.218</v>
      </c>
      <c r="Z784">
        <v>1.24854733144144</v>
      </c>
      <c r="AA784">
        <v>390.218</v>
      </c>
      <c r="AB784">
        <v>1.25585234764564</v>
      </c>
      <c r="AC784">
        <v>390.218</v>
      </c>
      <c r="AD784">
        <v>1.27079656140579</v>
      </c>
      <c r="AE784">
        <v>390.218</v>
      </c>
      <c r="AF784">
        <v>1.22322699181274</v>
      </c>
    </row>
    <row r="785" spans="23:32">
      <c r="W785">
        <v>390.717</v>
      </c>
      <c r="X785">
        <v>1.23226831337082</v>
      </c>
      <c r="Y785">
        <v>390.717</v>
      </c>
      <c r="Z785">
        <v>1.25256618621164</v>
      </c>
      <c r="AA785">
        <v>390.717</v>
      </c>
      <c r="AB785">
        <v>1.24929782144099</v>
      </c>
      <c r="AC785">
        <v>390.717</v>
      </c>
      <c r="AD785">
        <v>1.26929687801704</v>
      </c>
      <c r="AE785">
        <v>390.717</v>
      </c>
      <c r="AF785">
        <v>1.21914374912026</v>
      </c>
    </row>
    <row r="786" spans="23:32">
      <c r="W786">
        <v>391.216</v>
      </c>
      <c r="X786">
        <v>1.23403664955119</v>
      </c>
      <c r="Y786">
        <v>391.216</v>
      </c>
      <c r="Z786">
        <v>1.25570239670445</v>
      </c>
      <c r="AA786">
        <v>391.216</v>
      </c>
      <c r="AB786">
        <v>1.25039324840514</v>
      </c>
      <c r="AC786">
        <v>391.216</v>
      </c>
      <c r="AD786">
        <v>1.26166775249785</v>
      </c>
      <c r="AE786">
        <v>391.216</v>
      </c>
      <c r="AF786">
        <v>1.23002467353853</v>
      </c>
    </row>
    <row r="787" spans="23:32">
      <c r="W787">
        <v>391.715</v>
      </c>
      <c r="X787">
        <v>1.23222384355926</v>
      </c>
      <c r="Y787">
        <v>391.715</v>
      </c>
      <c r="Z787">
        <v>1.25764956955064</v>
      </c>
      <c r="AA787">
        <v>391.715</v>
      </c>
      <c r="AB787">
        <v>1.25634838271289</v>
      </c>
      <c r="AC787">
        <v>391.715</v>
      </c>
      <c r="AD787">
        <v>1.26526893728346</v>
      </c>
      <c r="AE787">
        <v>391.715</v>
      </c>
      <c r="AF787">
        <v>1.22379676532848</v>
      </c>
    </row>
    <row r="788" spans="23:32">
      <c r="W788">
        <v>392.214</v>
      </c>
      <c r="X788">
        <v>1.23821275951745</v>
      </c>
      <c r="Y788">
        <v>392.214</v>
      </c>
      <c r="Z788">
        <v>1.25687748778627</v>
      </c>
      <c r="AA788">
        <v>392.214</v>
      </c>
      <c r="AB788">
        <v>1.25039480545194</v>
      </c>
      <c r="AC788">
        <v>392.214</v>
      </c>
      <c r="AD788">
        <v>1.25940542623819</v>
      </c>
      <c r="AE788">
        <v>392.214</v>
      </c>
      <c r="AF788">
        <v>1.21797411408303</v>
      </c>
    </row>
    <row r="789" spans="23:32">
      <c r="W789">
        <v>392.713</v>
      </c>
      <c r="X789">
        <v>1.22875406018664</v>
      </c>
      <c r="Y789">
        <v>392.713</v>
      </c>
      <c r="Z789">
        <v>1.25521675877374</v>
      </c>
      <c r="AA789">
        <v>392.713</v>
      </c>
      <c r="AB789">
        <v>1.25444934922071</v>
      </c>
      <c r="AC789">
        <v>392.713</v>
      </c>
      <c r="AD789">
        <v>1.26280808999643</v>
      </c>
      <c r="AE789">
        <v>392.713</v>
      </c>
      <c r="AF789">
        <v>1.22507545856923</v>
      </c>
    </row>
    <row r="790" spans="23:32">
      <c r="W790">
        <v>393.212</v>
      </c>
      <c r="X790">
        <v>1.23849537361088</v>
      </c>
      <c r="Y790">
        <v>393.212</v>
      </c>
      <c r="Z790">
        <v>1.25997963746767</v>
      </c>
      <c r="AA790">
        <v>393.212</v>
      </c>
      <c r="AB790">
        <v>1.25119143425516</v>
      </c>
      <c r="AC790">
        <v>393.212</v>
      </c>
      <c r="AD790">
        <v>1.26286316546871</v>
      </c>
      <c r="AE790">
        <v>393.212</v>
      </c>
      <c r="AF790">
        <v>1.21572540436131</v>
      </c>
    </row>
    <row r="791" spans="23:32">
      <c r="W791">
        <v>393.711</v>
      </c>
      <c r="X791">
        <v>1.23879168531131</v>
      </c>
      <c r="Y791">
        <v>393.711</v>
      </c>
      <c r="Z791">
        <v>1.25670690946921</v>
      </c>
      <c r="AA791">
        <v>393.711</v>
      </c>
      <c r="AB791">
        <v>1.25576196740927</v>
      </c>
      <c r="AC791">
        <v>393.711</v>
      </c>
      <c r="AD791">
        <v>1.26776504855222</v>
      </c>
      <c r="AE791">
        <v>393.711</v>
      </c>
      <c r="AF791">
        <v>1.21982884100916</v>
      </c>
    </row>
    <row r="792" spans="23:32">
      <c r="W792">
        <v>394.21</v>
      </c>
      <c r="X792">
        <v>1.23979699392735</v>
      </c>
      <c r="Y792">
        <v>394.21</v>
      </c>
      <c r="Z792">
        <v>1.2478737883369</v>
      </c>
      <c r="AA792">
        <v>394.21</v>
      </c>
      <c r="AB792">
        <v>1.25727943495743</v>
      </c>
      <c r="AC792">
        <v>394.21</v>
      </c>
      <c r="AD792">
        <v>1.25866297413812</v>
      </c>
      <c r="AE792">
        <v>394.21</v>
      </c>
      <c r="AF792">
        <v>1.21376678486248</v>
      </c>
    </row>
    <row r="793" spans="23:32">
      <c r="W793">
        <v>394.709</v>
      </c>
      <c r="X793">
        <v>1.23641013341297</v>
      </c>
      <c r="Y793">
        <v>394.709</v>
      </c>
      <c r="Z793">
        <v>1.24885675571025</v>
      </c>
      <c r="AA793">
        <v>394.709</v>
      </c>
      <c r="AB793">
        <v>1.23596438009954</v>
      </c>
      <c r="AC793">
        <v>394.709</v>
      </c>
      <c r="AD793">
        <v>1.25257988894266</v>
      </c>
      <c r="AE793">
        <v>394.709</v>
      </c>
      <c r="AF793">
        <v>1.2171550507941</v>
      </c>
    </row>
    <row r="794" spans="23:32">
      <c r="W794">
        <v>395.208</v>
      </c>
      <c r="X794">
        <v>1.23513017604365</v>
      </c>
      <c r="Y794">
        <v>395.208</v>
      </c>
      <c r="Z794">
        <v>1.25283263010301</v>
      </c>
      <c r="AA794">
        <v>395.208</v>
      </c>
      <c r="AB794">
        <v>1.24278193696793</v>
      </c>
      <c r="AC794">
        <v>395.208</v>
      </c>
      <c r="AD794">
        <v>1.25896091580194</v>
      </c>
      <c r="AE794">
        <v>395.208</v>
      </c>
      <c r="AF794">
        <v>1.21663618305499</v>
      </c>
    </row>
    <row r="795" spans="23:32">
      <c r="W795">
        <v>395.707</v>
      </c>
      <c r="X795">
        <v>1.23560579421715</v>
      </c>
      <c r="Y795">
        <v>395.707</v>
      </c>
      <c r="Z795">
        <v>1.25732629407696</v>
      </c>
      <c r="AA795">
        <v>395.707</v>
      </c>
      <c r="AB795">
        <v>1.23904715040849</v>
      </c>
      <c r="AC795">
        <v>395.707</v>
      </c>
      <c r="AD795">
        <v>1.25808525829997</v>
      </c>
      <c r="AE795">
        <v>395.707</v>
      </c>
      <c r="AF795">
        <v>1.22260540826183</v>
      </c>
    </row>
    <row r="796" spans="23:32">
      <c r="W796">
        <v>396.206</v>
      </c>
      <c r="X796">
        <v>1.23459564634012</v>
      </c>
      <c r="Y796">
        <v>396.206</v>
      </c>
      <c r="Z796">
        <v>1.24685253979327</v>
      </c>
      <c r="AA796">
        <v>396.206</v>
      </c>
      <c r="AB796">
        <v>1.24825892796056</v>
      </c>
      <c r="AC796">
        <v>396.206</v>
      </c>
      <c r="AD796">
        <v>1.2615216222418</v>
      </c>
      <c r="AE796">
        <v>396.206</v>
      </c>
      <c r="AF796">
        <v>1.21705932322848</v>
      </c>
    </row>
    <row r="797" spans="23:32">
      <c r="W797">
        <v>396.705</v>
      </c>
      <c r="X797">
        <v>1.24347401630364</v>
      </c>
      <c r="Y797">
        <v>396.705</v>
      </c>
      <c r="Z797">
        <v>1.25319749389784</v>
      </c>
      <c r="AA797">
        <v>396.705</v>
      </c>
      <c r="AB797">
        <v>1.25595917487126</v>
      </c>
      <c r="AC797">
        <v>396.705</v>
      </c>
      <c r="AD797">
        <v>1.26690900032999</v>
      </c>
      <c r="AE797">
        <v>396.705</v>
      </c>
      <c r="AF797">
        <v>1.22220735088966</v>
      </c>
    </row>
    <row r="798" spans="23:32">
      <c r="W798">
        <v>397.204</v>
      </c>
      <c r="X798">
        <v>1.24504095974001</v>
      </c>
      <c r="Y798">
        <v>397.204</v>
      </c>
      <c r="Z798">
        <v>1.26218034135248</v>
      </c>
      <c r="AA798">
        <v>397.204</v>
      </c>
      <c r="AB798">
        <v>1.25409514374045</v>
      </c>
      <c r="AC798">
        <v>397.204</v>
      </c>
      <c r="AD798">
        <v>1.26793724146503</v>
      </c>
      <c r="AE798">
        <v>397.204</v>
      </c>
      <c r="AF798">
        <v>1.21865766788556</v>
      </c>
    </row>
    <row r="799" spans="23:32">
      <c r="W799">
        <v>397.703</v>
      </c>
      <c r="X799">
        <v>1.23685798429898</v>
      </c>
      <c r="Y799">
        <v>397.703</v>
      </c>
      <c r="Z799">
        <v>1.25355432891908</v>
      </c>
      <c r="AA799">
        <v>397.703</v>
      </c>
      <c r="AB799">
        <v>1.2427238951339</v>
      </c>
      <c r="AC799">
        <v>397.703</v>
      </c>
      <c r="AD799">
        <v>1.26577111428535</v>
      </c>
      <c r="AE799">
        <v>397.703</v>
      </c>
      <c r="AF799">
        <v>1.2261974984078</v>
      </c>
    </row>
    <row r="800" spans="23:32">
      <c r="W800">
        <v>398.202</v>
      </c>
      <c r="X800">
        <v>1.23270414288893</v>
      </c>
      <c r="Y800">
        <v>398.202</v>
      </c>
      <c r="Z800">
        <v>1.25585710807828</v>
      </c>
      <c r="AA800">
        <v>398.202</v>
      </c>
      <c r="AB800">
        <v>1.25569046877127</v>
      </c>
      <c r="AC800">
        <v>398.202</v>
      </c>
      <c r="AD800">
        <v>1.26325790760422</v>
      </c>
      <c r="AE800">
        <v>398.202</v>
      </c>
      <c r="AF800">
        <v>1.21752749064541</v>
      </c>
    </row>
    <row r="801" spans="23:32">
      <c r="W801">
        <v>398.701</v>
      </c>
      <c r="X801">
        <v>1.22981523373717</v>
      </c>
      <c r="Y801">
        <v>398.701</v>
      </c>
      <c r="Z801">
        <v>1.25091902130827</v>
      </c>
      <c r="AA801">
        <v>398.701</v>
      </c>
      <c r="AB801">
        <v>1.25054567500407</v>
      </c>
      <c r="AC801">
        <v>398.701</v>
      </c>
      <c r="AD801">
        <v>1.2514629776071</v>
      </c>
      <c r="AE801">
        <v>398.701</v>
      </c>
      <c r="AF801">
        <v>1.22063881936345</v>
      </c>
    </row>
    <row r="802" spans="23:32">
      <c r="W802">
        <v>399.2</v>
      </c>
      <c r="X802">
        <v>1.23378318173006</v>
      </c>
      <c r="Y802">
        <v>399.2</v>
      </c>
      <c r="Z802">
        <v>1.24180059288217</v>
      </c>
      <c r="AA802">
        <v>399.2</v>
      </c>
      <c r="AB802">
        <v>1.24524668019544</v>
      </c>
      <c r="AC802">
        <v>399.2</v>
      </c>
      <c r="AD802">
        <v>1.26525442073934</v>
      </c>
      <c r="AE802">
        <v>399.2</v>
      </c>
      <c r="AF802">
        <v>1.22509576491911</v>
      </c>
    </row>
    <row r="803" spans="23:32">
      <c r="W803">
        <v>399.699</v>
      </c>
      <c r="X803">
        <v>1.24251335532674</v>
      </c>
      <c r="Y803">
        <v>399.699</v>
      </c>
      <c r="Z803">
        <v>1.25386111631736</v>
      </c>
      <c r="AA803">
        <v>399.699</v>
      </c>
      <c r="AB803">
        <v>1.24551040073342</v>
      </c>
      <c r="AC803">
        <v>399.699</v>
      </c>
      <c r="AD803">
        <v>1.25074784209808</v>
      </c>
      <c r="AE803">
        <v>399.699</v>
      </c>
      <c r="AF803">
        <v>1.22846478718762</v>
      </c>
    </row>
    <row r="804" spans="23:32">
      <c r="W804">
        <v>400.198</v>
      </c>
      <c r="X804">
        <v>1.23889295576642</v>
      </c>
      <c r="Y804">
        <v>400.198</v>
      </c>
      <c r="Z804">
        <v>1.25155774731237</v>
      </c>
      <c r="AA804">
        <v>400.198</v>
      </c>
      <c r="AB804">
        <v>1.25190353807291</v>
      </c>
      <c r="AC804">
        <v>400.198</v>
      </c>
      <c r="AD804">
        <v>1.26469089106075</v>
      </c>
      <c r="AE804">
        <v>400.198</v>
      </c>
      <c r="AF804">
        <v>1.22410175215594</v>
      </c>
    </row>
    <row r="805" spans="23:32">
      <c r="W805">
        <v>400.697</v>
      </c>
      <c r="X805">
        <v>1.23646225506047</v>
      </c>
      <c r="Y805">
        <v>400.697</v>
      </c>
      <c r="Z805">
        <v>1.24634562140931</v>
      </c>
      <c r="AA805">
        <v>400.697</v>
      </c>
      <c r="AB805">
        <v>1.25461787893332</v>
      </c>
      <c r="AC805">
        <v>400.697</v>
      </c>
      <c r="AD805">
        <v>1.26226458729813</v>
      </c>
      <c r="AE805">
        <v>400.697</v>
      </c>
      <c r="AF805">
        <v>1.21977839830835</v>
      </c>
    </row>
    <row r="806" spans="23:32">
      <c r="W806">
        <v>401.196</v>
      </c>
      <c r="X806">
        <v>1.23087975329274</v>
      </c>
      <c r="Y806">
        <v>401.196</v>
      </c>
      <c r="Z806">
        <v>1.25770605041834</v>
      </c>
      <c r="AA806">
        <v>401.196</v>
      </c>
      <c r="AB806">
        <v>1.24929200676099</v>
      </c>
      <c r="AC806">
        <v>401.196</v>
      </c>
      <c r="AD806">
        <v>1.26250759281664</v>
      </c>
      <c r="AE806">
        <v>401.196</v>
      </c>
      <c r="AF806">
        <v>1.22536145590178</v>
      </c>
    </row>
    <row r="807" spans="23:32">
      <c r="W807">
        <v>401.695</v>
      </c>
      <c r="X807">
        <v>1.23717519130214</v>
      </c>
      <c r="Y807">
        <v>401.695</v>
      </c>
      <c r="Z807">
        <v>1.25325110350732</v>
      </c>
      <c r="AA807">
        <v>401.695</v>
      </c>
      <c r="AB807">
        <v>1.24880442901512</v>
      </c>
      <c r="AC807">
        <v>401.695</v>
      </c>
      <c r="AD807">
        <v>1.26335154666403</v>
      </c>
      <c r="AE807">
        <v>401.695</v>
      </c>
      <c r="AF807">
        <v>1.22300975491598</v>
      </c>
    </row>
    <row r="808" spans="23:32">
      <c r="W808">
        <v>402.194</v>
      </c>
      <c r="X808">
        <v>1.24007860797824</v>
      </c>
      <c r="Y808">
        <v>402.194</v>
      </c>
      <c r="Z808">
        <v>1.25042203113976</v>
      </c>
      <c r="AA808">
        <v>402.194</v>
      </c>
      <c r="AB808">
        <v>1.25047976622616</v>
      </c>
      <c r="AC808">
        <v>402.194</v>
      </c>
      <c r="AD808">
        <v>1.25664145103402</v>
      </c>
      <c r="AE808">
        <v>402.194</v>
      </c>
      <c r="AF808">
        <v>1.22577599482903</v>
      </c>
    </row>
    <row r="809" spans="23:32">
      <c r="W809">
        <v>402.693</v>
      </c>
      <c r="X809">
        <v>1.22721480301421</v>
      </c>
      <c r="Y809">
        <v>402.693</v>
      </c>
      <c r="Z809">
        <v>1.25737676152166</v>
      </c>
      <c r="AA809">
        <v>402.693</v>
      </c>
      <c r="AB809">
        <v>1.24330653972319</v>
      </c>
      <c r="AC809">
        <v>402.693</v>
      </c>
      <c r="AD809">
        <v>1.25601231910473</v>
      </c>
      <c r="AE809">
        <v>402.693</v>
      </c>
      <c r="AF809">
        <v>1.2184374063469</v>
      </c>
    </row>
    <row r="810" spans="23:32">
      <c r="W810">
        <v>403.192</v>
      </c>
      <c r="X810">
        <v>1.2361666586467</v>
      </c>
      <c r="Y810">
        <v>403.192</v>
      </c>
      <c r="Z810">
        <v>1.24981718908078</v>
      </c>
      <c r="AA810">
        <v>403.192</v>
      </c>
      <c r="AB810">
        <v>1.2523883001111</v>
      </c>
      <c r="AC810">
        <v>403.192</v>
      </c>
      <c r="AD810">
        <v>1.26777204486979</v>
      </c>
      <c r="AE810">
        <v>403.192</v>
      </c>
      <c r="AF810">
        <v>1.22369920607066</v>
      </c>
    </row>
    <row r="811" spans="23:32">
      <c r="W811">
        <v>403.691</v>
      </c>
      <c r="X811">
        <v>1.23416000448318</v>
      </c>
      <c r="Y811">
        <v>403.691</v>
      </c>
      <c r="Z811">
        <v>1.24785647107484</v>
      </c>
      <c r="AA811">
        <v>403.691</v>
      </c>
      <c r="AB811">
        <v>1.25048233681962</v>
      </c>
      <c r="AC811">
        <v>403.691</v>
      </c>
      <c r="AD811">
        <v>1.26207435239569</v>
      </c>
      <c r="AE811">
        <v>403.691</v>
      </c>
      <c r="AF811">
        <v>1.22375535506918</v>
      </c>
    </row>
    <row r="812" spans="23:32">
      <c r="W812">
        <v>404.19</v>
      </c>
      <c r="X812">
        <v>1.23619346787614</v>
      </c>
      <c r="Y812">
        <v>404.19</v>
      </c>
      <c r="Z812">
        <v>1.25200866062321</v>
      </c>
      <c r="AA812">
        <v>404.19</v>
      </c>
      <c r="AB812">
        <v>1.24779429380463</v>
      </c>
      <c r="AC812">
        <v>404.19</v>
      </c>
      <c r="AD812">
        <v>1.26816232507132</v>
      </c>
      <c r="AE812">
        <v>404.19</v>
      </c>
      <c r="AF812">
        <v>1.22689966792337</v>
      </c>
    </row>
    <row r="813" spans="23:32">
      <c r="W813">
        <v>404.689</v>
      </c>
      <c r="X813">
        <v>1.23430124975082</v>
      </c>
      <c r="Y813">
        <v>404.689</v>
      </c>
      <c r="Z813">
        <v>1.24719656816451</v>
      </c>
      <c r="AA813">
        <v>404.689</v>
      </c>
      <c r="AB813">
        <v>1.25992124778227</v>
      </c>
      <c r="AC813">
        <v>404.689</v>
      </c>
      <c r="AD813">
        <v>1.26373357403774</v>
      </c>
      <c r="AE813">
        <v>404.689</v>
      </c>
      <c r="AF813">
        <v>1.22261453631417</v>
      </c>
    </row>
    <row r="814" spans="23:32">
      <c r="W814">
        <v>405.188</v>
      </c>
      <c r="X814">
        <v>1.23901510256602</v>
      </c>
      <c r="Y814">
        <v>405.188</v>
      </c>
      <c r="Z814">
        <v>1.25078291105608</v>
      </c>
      <c r="AA814">
        <v>405.188</v>
      </c>
      <c r="AB814">
        <v>1.25477058156685</v>
      </c>
      <c r="AC814">
        <v>405.188</v>
      </c>
      <c r="AD814">
        <v>1.26649861483182</v>
      </c>
      <c r="AE814">
        <v>405.188</v>
      </c>
      <c r="AF814">
        <v>1.21797954769668</v>
      </c>
    </row>
    <row r="815" spans="23:32">
      <c r="W815">
        <v>405.687</v>
      </c>
      <c r="X815">
        <v>1.24272365700649</v>
      </c>
      <c r="Y815">
        <v>405.687</v>
      </c>
      <c r="Z815">
        <v>1.24739652971935</v>
      </c>
      <c r="AA815">
        <v>405.687</v>
      </c>
      <c r="AB815">
        <v>1.24660591480473</v>
      </c>
      <c r="AC815">
        <v>405.687</v>
      </c>
      <c r="AD815">
        <v>1.26534375309378</v>
      </c>
      <c r="AE815">
        <v>405.687</v>
      </c>
      <c r="AF815">
        <v>1.21775899870032</v>
      </c>
    </row>
    <row r="816" spans="23:32">
      <c r="W816">
        <v>406.186</v>
      </c>
      <c r="X816">
        <v>1.23903189520134</v>
      </c>
      <c r="Y816">
        <v>406.186</v>
      </c>
      <c r="Z816">
        <v>1.25471349820615</v>
      </c>
      <c r="AA816">
        <v>406.186</v>
      </c>
      <c r="AB816">
        <v>1.25082211493773</v>
      </c>
      <c r="AC816">
        <v>406.186</v>
      </c>
      <c r="AD816">
        <v>1.2644846103307</v>
      </c>
      <c r="AE816">
        <v>406.186</v>
      </c>
      <c r="AF816">
        <v>1.21639492463239</v>
      </c>
    </row>
    <row r="817" spans="23:32">
      <c r="W817">
        <v>406.685</v>
      </c>
      <c r="X817">
        <v>1.23975106077394</v>
      </c>
      <c r="Y817">
        <v>406.685</v>
      </c>
      <c r="Z817">
        <v>1.25001064495421</v>
      </c>
      <c r="AA817">
        <v>406.685</v>
      </c>
      <c r="AB817">
        <v>1.25105023115851</v>
      </c>
      <c r="AC817">
        <v>406.685</v>
      </c>
      <c r="AD817">
        <v>1.26150133753357</v>
      </c>
      <c r="AE817">
        <v>406.685</v>
      </c>
      <c r="AF817">
        <v>1.21863805841484</v>
      </c>
    </row>
    <row r="818" spans="23:32">
      <c r="W818">
        <v>407.184</v>
      </c>
      <c r="X818">
        <v>1.23599350858973</v>
      </c>
      <c r="Y818">
        <v>407.184</v>
      </c>
      <c r="Z818">
        <v>1.25235935125522</v>
      </c>
      <c r="AA818">
        <v>407.184</v>
      </c>
      <c r="AB818">
        <v>1.25321755622233</v>
      </c>
      <c r="AC818">
        <v>407.184</v>
      </c>
      <c r="AD818">
        <v>1.26914698560667</v>
      </c>
      <c r="AE818">
        <v>407.184</v>
      </c>
      <c r="AF818">
        <v>1.22365402078625</v>
      </c>
    </row>
    <row r="819" spans="23:32">
      <c r="W819">
        <v>407.683</v>
      </c>
      <c r="X819">
        <v>1.23616676621864</v>
      </c>
      <c r="Y819">
        <v>407.683</v>
      </c>
      <c r="Z819">
        <v>1.25935672542076</v>
      </c>
      <c r="AA819">
        <v>407.683</v>
      </c>
      <c r="AB819">
        <v>1.25035459063235</v>
      </c>
      <c r="AC819">
        <v>407.683</v>
      </c>
      <c r="AD819">
        <v>1.26268702617438</v>
      </c>
      <c r="AE819">
        <v>407.683</v>
      </c>
      <c r="AF819">
        <v>1.2211894062568</v>
      </c>
    </row>
    <row r="820" spans="23:32">
      <c r="W820">
        <v>408.182</v>
      </c>
      <c r="X820">
        <v>1.23162042683665</v>
      </c>
      <c r="Y820">
        <v>408.182</v>
      </c>
      <c r="Z820">
        <v>1.25497563502664</v>
      </c>
      <c r="AA820">
        <v>408.182</v>
      </c>
      <c r="AB820">
        <v>1.25174201535705</v>
      </c>
      <c r="AC820">
        <v>408.182</v>
      </c>
      <c r="AD820">
        <v>1.26936829595388</v>
      </c>
      <c r="AE820">
        <v>408.182</v>
      </c>
      <c r="AF820">
        <v>1.21570917305552</v>
      </c>
    </row>
    <row r="821" spans="23:32">
      <c r="W821">
        <v>408.681</v>
      </c>
      <c r="X821">
        <v>1.23444051593853</v>
      </c>
      <c r="Y821">
        <v>408.681</v>
      </c>
      <c r="Z821">
        <v>1.24710592003305</v>
      </c>
      <c r="AA821">
        <v>408.681</v>
      </c>
      <c r="AB821">
        <v>1.24889940297197</v>
      </c>
      <c r="AC821">
        <v>408.681</v>
      </c>
      <c r="AD821">
        <v>1.26927268526466</v>
      </c>
      <c r="AE821">
        <v>408.681</v>
      </c>
      <c r="AF821">
        <v>1.21314804547509</v>
      </c>
    </row>
    <row r="822" spans="23:32">
      <c r="W822">
        <v>409.18</v>
      </c>
      <c r="X822">
        <v>1.23756386194215</v>
      </c>
      <c r="Y822">
        <v>409.18</v>
      </c>
      <c r="Z822">
        <v>1.24417310197133</v>
      </c>
      <c r="AA822">
        <v>409.18</v>
      </c>
      <c r="AB822">
        <v>1.24804896112966</v>
      </c>
      <c r="AC822">
        <v>409.18</v>
      </c>
      <c r="AD822">
        <v>1.26590717558261</v>
      </c>
      <c r="AE822">
        <v>409.18</v>
      </c>
      <c r="AF822">
        <v>1.21980620136118</v>
      </c>
    </row>
    <row r="823" spans="23:32">
      <c r="W823">
        <v>409.679</v>
      </c>
      <c r="X823">
        <v>1.23496442592656</v>
      </c>
      <c r="Y823">
        <v>409.679</v>
      </c>
      <c r="Z823">
        <v>1.25182343936811</v>
      </c>
      <c r="AA823">
        <v>409.679</v>
      </c>
      <c r="AB823">
        <v>1.24883769502811</v>
      </c>
      <c r="AC823">
        <v>409.679</v>
      </c>
      <c r="AD823">
        <v>1.26083257292497</v>
      </c>
      <c r="AE823">
        <v>409.679</v>
      </c>
      <c r="AF823">
        <v>1.21115512352859</v>
      </c>
    </row>
    <row r="824" spans="23:32">
      <c r="W824">
        <v>410.178</v>
      </c>
      <c r="X824">
        <v>1.23362427599884</v>
      </c>
      <c r="Y824">
        <v>410.178</v>
      </c>
      <c r="Z824">
        <v>1.25168468197562</v>
      </c>
      <c r="AA824">
        <v>410.178</v>
      </c>
      <c r="AB824">
        <v>1.25134149923393</v>
      </c>
      <c r="AC824">
        <v>410.178</v>
      </c>
      <c r="AD824">
        <v>1.26071823611997</v>
      </c>
      <c r="AE824">
        <v>410.178</v>
      </c>
      <c r="AF824">
        <v>1.21648681351037</v>
      </c>
    </row>
    <row r="825" spans="23:32">
      <c r="W825">
        <v>410.677</v>
      </c>
      <c r="X825">
        <v>1.23354115453145</v>
      </c>
      <c r="Y825">
        <v>410.677</v>
      </c>
      <c r="Z825">
        <v>1.25050098651566</v>
      </c>
      <c r="AA825">
        <v>410.677</v>
      </c>
      <c r="AB825">
        <v>1.24694351061228</v>
      </c>
      <c r="AC825">
        <v>410.677</v>
      </c>
      <c r="AD825">
        <v>1.26922092721812</v>
      </c>
      <c r="AE825">
        <v>410.677</v>
      </c>
      <c r="AF825">
        <v>1.21338151361386</v>
      </c>
    </row>
    <row r="826" spans="23:32">
      <c r="W826">
        <v>411.176</v>
      </c>
      <c r="X826">
        <v>1.22659001063711</v>
      </c>
      <c r="Y826">
        <v>411.176</v>
      </c>
      <c r="Z826">
        <v>1.2535083286469</v>
      </c>
      <c r="AA826">
        <v>411.176</v>
      </c>
      <c r="AB826">
        <v>1.24551168405461</v>
      </c>
      <c r="AC826">
        <v>411.176</v>
      </c>
      <c r="AD826">
        <v>1.26998247514553</v>
      </c>
      <c r="AE826">
        <v>411.176</v>
      </c>
      <c r="AF826">
        <v>1.21986652743815</v>
      </c>
    </row>
    <row r="827" spans="23:32">
      <c r="W827">
        <v>411.675</v>
      </c>
      <c r="X827">
        <v>1.22959866382877</v>
      </c>
      <c r="Y827">
        <v>411.675</v>
      </c>
      <c r="Z827">
        <v>1.25757423273352</v>
      </c>
      <c r="AA827">
        <v>411.675</v>
      </c>
      <c r="AB827">
        <v>1.24534818265593</v>
      </c>
      <c r="AC827">
        <v>411.675</v>
      </c>
      <c r="AD827">
        <v>1.26445822027149</v>
      </c>
      <c r="AE827">
        <v>411.675</v>
      </c>
      <c r="AF827">
        <v>1.21779607800033</v>
      </c>
    </row>
    <row r="828" spans="23:32">
      <c r="W828">
        <v>412.174</v>
      </c>
      <c r="X828">
        <v>1.24260462325982</v>
      </c>
      <c r="Y828">
        <v>412.174</v>
      </c>
      <c r="Z828">
        <v>1.24550917968187</v>
      </c>
      <c r="AA828">
        <v>412.174</v>
      </c>
      <c r="AB828">
        <v>1.24186599303906</v>
      </c>
      <c r="AC828">
        <v>412.174</v>
      </c>
      <c r="AD828">
        <v>1.25998814510559</v>
      </c>
      <c r="AE828">
        <v>412.174</v>
      </c>
      <c r="AF828">
        <v>1.21858089316634</v>
      </c>
    </row>
    <row r="829" spans="23:32">
      <c r="W829">
        <v>412.673</v>
      </c>
      <c r="X829">
        <v>1.23597678882727</v>
      </c>
      <c r="Y829">
        <v>412.673</v>
      </c>
      <c r="Z829">
        <v>1.24975705789759</v>
      </c>
      <c r="AA829">
        <v>412.673</v>
      </c>
      <c r="AB829">
        <v>1.24143583571479</v>
      </c>
      <c r="AC829">
        <v>412.673</v>
      </c>
      <c r="AD829">
        <v>1.26523530291423</v>
      </c>
      <c r="AE829">
        <v>412.673</v>
      </c>
      <c r="AF829">
        <v>1.22061745170905</v>
      </c>
    </row>
    <row r="830" spans="23:32">
      <c r="W830">
        <v>413.172</v>
      </c>
      <c r="X830">
        <v>1.22919383212563</v>
      </c>
      <c r="Y830">
        <v>413.172</v>
      </c>
      <c r="Z830">
        <v>1.25089154659823</v>
      </c>
      <c r="AA830">
        <v>413.172</v>
      </c>
      <c r="AB830">
        <v>1.25622237182485</v>
      </c>
      <c r="AC830">
        <v>413.172</v>
      </c>
      <c r="AD830">
        <v>1.26886906304047</v>
      </c>
      <c r="AE830">
        <v>413.172</v>
      </c>
      <c r="AF830">
        <v>1.22002783097472</v>
      </c>
    </row>
    <row r="831" spans="23:32">
      <c r="W831">
        <v>413.671</v>
      </c>
      <c r="X831">
        <v>1.23458689152853</v>
      </c>
      <c r="Y831">
        <v>413.671</v>
      </c>
      <c r="Z831">
        <v>1.25251394872673</v>
      </c>
      <c r="AA831">
        <v>413.671</v>
      </c>
      <c r="AB831">
        <v>1.24948449925177</v>
      </c>
      <c r="AC831">
        <v>413.671</v>
      </c>
      <c r="AD831">
        <v>1.27115261152528</v>
      </c>
      <c r="AE831">
        <v>413.671</v>
      </c>
      <c r="AF831">
        <v>1.22398839565481</v>
      </c>
    </row>
    <row r="832" spans="23:32">
      <c r="W832">
        <v>414.17</v>
      </c>
      <c r="X832">
        <v>1.23965119926954</v>
      </c>
      <c r="Y832">
        <v>414.17</v>
      </c>
      <c r="Z832">
        <v>1.25504536526348</v>
      </c>
      <c r="AA832">
        <v>414.17</v>
      </c>
      <c r="AB832">
        <v>1.25274654371644</v>
      </c>
      <c r="AC832">
        <v>414.17</v>
      </c>
      <c r="AD832">
        <v>1.26445163895629</v>
      </c>
      <c r="AE832">
        <v>414.17</v>
      </c>
      <c r="AF832">
        <v>1.22591402607424</v>
      </c>
    </row>
    <row r="833" spans="23:32">
      <c r="W833">
        <v>414.669</v>
      </c>
      <c r="X833">
        <v>1.24507150844973</v>
      </c>
      <c r="Y833">
        <v>414.669</v>
      </c>
      <c r="Z833">
        <v>1.25799491542879</v>
      </c>
      <c r="AA833">
        <v>414.669</v>
      </c>
      <c r="AB833">
        <v>1.24710761726235</v>
      </c>
      <c r="AC833">
        <v>414.669</v>
      </c>
      <c r="AD833">
        <v>1.27063938690283</v>
      </c>
      <c r="AE833">
        <v>414.669</v>
      </c>
      <c r="AF833">
        <v>1.22499306995116</v>
      </c>
    </row>
    <row r="834" spans="23:32">
      <c r="W834">
        <v>415.168</v>
      </c>
      <c r="X834">
        <v>1.24074130473501</v>
      </c>
      <c r="Y834">
        <v>415.168</v>
      </c>
      <c r="Z834">
        <v>1.2517044295428</v>
      </c>
      <c r="AA834">
        <v>415.168</v>
      </c>
      <c r="AB834">
        <v>1.24732558882404</v>
      </c>
      <c r="AC834">
        <v>415.168</v>
      </c>
      <c r="AD834">
        <v>1.2671236743682</v>
      </c>
      <c r="AE834">
        <v>415.168</v>
      </c>
      <c r="AF834">
        <v>1.21498756706611</v>
      </c>
    </row>
    <row r="835" spans="23:32">
      <c r="W835">
        <v>415.667</v>
      </c>
      <c r="X835">
        <v>1.23880908268388</v>
      </c>
      <c r="Y835">
        <v>415.667</v>
      </c>
      <c r="Z835">
        <v>1.25960051695584</v>
      </c>
      <c r="AA835">
        <v>415.667</v>
      </c>
      <c r="AB835">
        <v>1.24817856410874</v>
      </c>
      <c r="AC835">
        <v>415.667</v>
      </c>
      <c r="AD835">
        <v>1.26515198633056</v>
      </c>
      <c r="AE835">
        <v>415.667</v>
      </c>
      <c r="AF835">
        <v>1.21631433025846</v>
      </c>
    </row>
    <row r="836" spans="23:32">
      <c r="W836">
        <v>416.166</v>
      </c>
      <c r="X836">
        <v>1.24045679468391</v>
      </c>
      <c r="Y836">
        <v>416.166</v>
      </c>
      <c r="Z836">
        <v>1.25183653666134</v>
      </c>
      <c r="AA836">
        <v>416.166</v>
      </c>
      <c r="AB836">
        <v>1.24791539099446</v>
      </c>
      <c r="AC836">
        <v>416.166</v>
      </c>
      <c r="AD836">
        <v>1.26949058666021</v>
      </c>
      <c r="AE836">
        <v>416.166</v>
      </c>
      <c r="AF836">
        <v>1.22159448899111</v>
      </c>
    </row>
    <row r="837" spans="23:32">
      <c r="W837">
        <v>416.665</v>
      </c>
      <c r="X837">
        <v>1.23054434579519</v>
      </c>
      <c r="Y837">
        <v>416.665</v>
      </c>
      <c r="Z837">
        <v>1.24900145290217</v>
      </c>
      <c r="AA837">
        <v>416.665</v>
      </c>
      <c r="AB837">
        <v>1.24992621063423</v>
      </c>
      <c r="AC837">
        <v>416.665</v>
      </c>
      <c r="AD837">
        <v>1.27086873598203</v>
      </c>
      <c r="AE837">
        <v>416.665</v>
      </c>
      <c r="AF837">
        <v>1.22097951235258</v>
      </c>
    </row>
    <row r="838" spans="23:32">
      <c r="W838">
        <v>417.164</v>
      </c>
      <c r="X838">
        <v>1.23927602830518</v>
      </c>
      <c r="Y838">
        <v>417.164</v>
      </c>
      <c r="Z838">
        <v>1.26092042177925</v>
      </c>
      <c r="AA838">
        <v>417.164</v>
      </c>
      <c r="AB838">
        <v>1.24920807996498</v>
      </c>
      <c r="AC838">
        <v>417.164</v>
      </c>
      <c r="AD838">
        <v>1.26837871831076</v>
      </c>
      <c r="AE838">
        <v>417.164</v>
      </c>
      <c r="AF838">
        <v>1.21937818483762</v>
      </c>
    </row>
    <row r="839" spans="23:32">
      <c r="W839">
        <v>417.663</v>
      </c>
      <c r="X839">
        <v>1.23938539050687</v>
      </c>
      <c r="Y839">
        <v>417.663</v>
      </c>
      <c r="Z839">
        <v>1.25020468397113</v>
      </c>
      <c r="AA839">
        <v>417.663</v>
      </c>
      <c r="AB839">
        <v>1.24479571385097</v>
      </c>
      <c r="AC839">
        <v>417.663</v>
      </c>
      <c r="AD839">
        <v>1.27024015431974</v>
      </c>
      <c r="AE839">
        <v>417.663</v>
      </c>
      <c r="AF839">
        <v>1.22656468469709</v>
      </c>
    </row>
    <row r="840" spans="23:32">
      <c r="W840">
        <v>418.162</v>
      </c>
      <c r="X840">
        <v>1.23114776401369</v>
      </c>
      <c r="Y840">
        <v>418.162</v>
      </c>
      <c r="Z840">
        <v>1.24445562994319</v>
      </c>
      <c r="AA840">
        <v>418.162</v>
      </c>
      <c r="AB840">
        <v>1.24289155105572</v>
      </c>
      <c r="AC840">
        <v>418.162</v>
      </c>
      <c r="AD840">
        <v>1.2701738004675</v>
      </c>
      <c r="AE840">
        <v>418.162</v>
      </c>
      <c r="AF840">
        <v>1.21270137806324</v>
      </c>
    </row>
    <row r="841" spans="23:32">
      <c r="W841">
        <v>418.661</v>
      </c>
      <c r="X841">
        <v>1.23280026239555</v>
      </c>
      <c r="Y841">
        <v>418.661</v>
      </c>
      <c r="Z841">
        <v>1.25006726934669</v>
      </c>
      <c r="AA841">
        <v>418.661</v>
      </c>
      <c r="AB841">
        <v>1.24238002427941</v>
      </c>
      <c r="AC841">
        <v>418.661</v>
      </c>
      <c r="AD841">
        <v>1.26360165845824</v>
      </c>
      <c r="AE841">
        <v>418.661</v>
      </c>
      <c r="AF841">
        <v>1.22670313559919</v>
      </c>
    </row>
    <row r="842" spans="23:32">
      <c r="W842">
        <v>419.16</v>
      </c>
      <c r="X842">
        <v>1.23645210726743</v>
      </c>
      <c r="Y842">
        <v>419.16</v>
      </c>
      <c r="Z842">
        <v>1.24917302479984</v>
      </c>
      <c r="AA842">
        <v>419.16</v>
      </c>
      <c r="AB842">
        <v>1.23485743685308</v>
      </c>
      <c r="AC842">
        <v>419.16</v>
      </c>
      <c r="AD842">
        <v>1.27093160096783</v>
      </c>
      <c r="AE842">
        <v>419.16</v>
      </c>
      <c r="AF842">
        <v>1.22922591080127</v>
      </c>
    </row>
    <row r="843" spans="23:32">
      <c r="W843">
        <v>419.659</v>
      </c>
      <c r="X843">
        <v>1.23191086208027</v>
      </c>
      <c r="Y843">
        <v>419.659</v>
      </c>
      <c r="Z843">
        <v>1.250349290723</v>
      </c>
      <c r="AA843">
        <v>419.659</v>
      </c>
      <c r="AB843">
        <v>1.24788219468167</v>
      </c>
      <c r="AC843">
        <v>419.659</v>
      </c>
      <c r="AD843">
        <v>1.26177356731205</v>
      </c>
      <c r="AE843">
        <v>419.659</v>
      </c>
      <c r="AF843">
        <v>1.22131480982599</v>
      </c>
    </row>
    <row r="844" spans="23:32">
      <c r="W844">
        <v>420.158</v>
      </c>
      <c r="X844">
        <v>1.23644932961919</v>
      </c>
      <c r="Y844">
        <v>420.158</v>
      </c>
      <c r="Z844">
        <v>1.24809538431612</v>
      </c>
      <c r="AA844">
        <v>420.158</v>
      </c>
      <c r="AB844">
        <v>1.25032471447575</v>
      </c>
      <c r="AC844">
        <v>420.158</v>
      </c>
      <c r="AD844">
        <v>1.27709597267138</v>
      </c>
      <c r="AE844">
        <v>420.158</v>
      </c>
      <c r="AF844">
        <v>1.216630839358</v>
      </c>
    </row>
    <row r="845" spans="23:32">
      <c r="W845">
        <v>420.657</v>
      </c>
      <c r="X845">
        <v>1.23616956004396</v>
      </c>
      <c r="Y845">
        <v>420.657</v>
      </c>
      <c r="Z845">
        <v>1.2488483844011</v>
      </c>
      <c r="AA845">
        <v>420.657</v>
      </c>
      <c r="AB845">
        <v>1.24963224472116</v>
      </c>
      <c r="AC845">
        <v>420.657</v>
      </c>
      <c r="AD845">
        <v>1.27054433469393</v>
      </c>
      <c r="AE845">
        <v>420.657</v>
      </c>
      <c r="AF845">
        <v>1.22800879263797</v>
      </c>
    </row>
    <row r="846" spans="23:32">
      <c r="W846">
        <v>421.156</v>
      </c>
      <c r="X846">
        <v>1.23784052663984</v>
      </c>
      <c r="Y846">
        <v>421.156</v>
      </c>
      <c r="Z846">
        <v>1.25091983421067</v>
      </c>
      <c r="AA846">
        <v>421.156</v>
      </c>
      <c r="AB846">
        <v>1.24894930370196</v>
      </c>
      <c r="AC846">
        <v>421.156</v>
      </c>
      <c r="AD846">
        <v>1.26520378463465</v>
      </c>
      <c r="AE846">
        <v>421.156</v>
      </c>
      <c r="AF846">
        <v>1.2225600423531</v>
      </c>
    </row>
    <row r="847" spans="23:32">
      <c r="W847">
        <v>421.655</v>
      </c>
      <c r="X847">
        <v>1.24443161552943</v>
      </c>
      <c r="Y847">
        <v>421.655</v>
      </c>
      <c r="Z847">
        <v>1.25806360636233</v>
      </c>
      <c r="AA847">
        <v>421.655</v>
      </c>
      <c r="AB847">
        <v>1.23600155822262</v>
      </c>
      <c r="AC847">
        <v>421.655</v>
      </c>
      <c r="AD847">
        <v>1.25518139953085</v>
      </c>
      <c r="AE847">
        <v>421.655</v>
      </c>
      <c r="AF847">
        <v>1.21835548046757</v>
      </c>
    </row>
    <row r="848" spans="23:32">
      <c r="W848">
        <v>422.154</v>
      </c>
      <c r="X848">
        <v>1.23337139571054</v>
      </c>
      <c r="Y848">
        <v>422.154</v>
      </c>
      <c r="Z848">
        <v>1.24963558343283</v>
      </c>
      <c r="AA848">
        <v>422.154</v>
      </c>
      <c r="AB848">
        <v>1.24053210097274</v>
      </c>
      <c r="AC848">
        <v>422.154</v>
      </c>
      <c r="AD848">
        <v>1.26498935324299</v>
      </c>
      <c r="AE848">
        <v>422.154</v>
      </c>
      <c r="AF848">
        <v>1.21753346583433</v>
      </c>
    </row>
    <row r="849" spans="23:32">
      <c r="W849">
        <v>422.653</v>
      </c>
      <c r="X849">
        <v>1.23857188793063</v>
      </c>
      <c r="Y849">
        <v>422.653</v>
      </c>
      <c r="Z849">
        <v>1.24768475849823</v>
      </c>
      <c r="AA849">
        <v>422.653</v>
      </c>
      <c r="AB849">
        <v>1.24632560345134</v>
      </c>
      <c r="AC849">
        <v>422.653</v>
      </c>
      <c r="AD849">
        <v>1.26782746784172</v>
      </c>
      <c r="AE849">
        <v>422.653</v>
      </c>
      <c r="AF849">
        <v>1.21900001345897</v>
      </c>
    </row>
    <row r="850" spans="23:32">
      <c r="W850">
        <v>423.152</v>
      </c>
      <c r="X850">
        <v>1.23433291037863</v>
      </c>
      <c r="Y850">
        <v>423.152</v>
      </c>
      <c r="Z850">
        <v>1.25697004953371</v>
      </c>
      <c r="AA850">
        <v>423.152</v>
      </c>
      <c r="AB850">
        <v>1.25017216650919</v>
      </c>
      <c r="AC850">
        <v>423.152</v>
      </c>
      <c r="AD850">
        <v>1.26756680802586</v>
      </c>
      <c r="AE850">
        <v>423.152</v>
      </c>
      <c r="AF850">
        <v>1.21261057003855</v>
      </c>
    </row>
    <row r="851" spans="23:32">
      <c r="W851">
        <v>423.651</v>
      </c>
      <c r="X851">
        <v>1.23831587228317</v>
      </c>
      <c r="Y851">
        <v>423.651</v>
      </c>
      <c r="Z851">
        <v>1.25304285814738</v>
      </c>
      <c r="AA851">
        <v>423.651</v>
      </c>
      <c r="AB851">
        <v>1.24557579312038</v>
      </c>
      <c r="AC851">
        <v>423.651</v>
      </c>
      <c r="AD851">
        <v>1.27441243384398</v>
      </c>
      <c r="AE851">
        <v>423.651</v>
      </c>
      <c r="AF851">
        <v>1.22760507377433</v>
      </c>
    </row>
    <row r="852" spans="23:32">
      <c r="W852">
        <v>424.15</v>
      </c>
      <c r="X852">
        <v>1.2371527167829</v>
      </c>
      <c r="Y852">
        <v>424.15</v>
      </c>
      <c r="Z852">
        <v>1.24846692250093</v>
      </c>
      <c r="AA852">
        <v>424.15</v>
      </c>
      <c r="AB852">
        <v>1.2529208487557</v>
      </c>
      <c r="AC852">
        <v>424.15</v>
      </c>
      <c r="AD852">
        <v>1.27080750398673</v>
      </c>
      <c r="AE852">
        <v>424.15</v>
      </c>
      <c r="AF852">
        <v>1.21849016464136</v>
      </c>
    </row>
    <row r="853" spans="23:32">
      <c r="W853">
        <v>424.649</v>
      </c>
      <c r="X853">
        <v>1.22967314488978</v>
      </c>
      <c r="Y853">
        <v>424.649</v>
      </c>
      <c r="Z853">
        <v>1.23992482421598</v>
      </c>
      <c r="AA853">
        <v>424.649</v>
      </c>
      <c r="AB853">
        <v>1.25421174875034</v>
      </c>
      <c r="AC853">
        <v>424.649</v>
      </c>
      <c r="AD853">
        <v>1.26737628778497</v>
      </c>
      <c r="AE853">
        <v>424.649</v>
      </c>
      <c r="AF853">
        <v>1.22378883038201</v>
      </c>
    </row>
    <row r="854" spans="23:32">
      <c r="W854">
        <v>425.148</v>
      </c>
      <c r="X854">
        <v>1.24322772606646</v>
      </c>
      <c r="Y854">
        <v>425.148</v>
      </c>
      <c r="Z854">
        <v>1.24906599452108</v>
      </c>
      <c r="AA854">
        <v>425.148</v>
      </c>
      <c r="AB854">
        <v>1.25163743296025</v>
      </c>
      <c r="AC854">
        <v>425.148</v>
      </c>
      <c r="AD854">
        <v>1.2693478595034</v>
      </c>
      <c r="AE854">
        <v>425.148</v>
      </c>
      <c r="AF854">
        <v>1.22148094822595</v>
      </c>
    </row>
    <row r="855" spans="23:32">
      <c r="W855">
        <v>425.647</v>
      </c>
      <c r="X855">
        <v>1.23163271570417</v>
      </c>
      <c r="Y855">
        <v>425.647</v>
      </c>
      <c r="Z855">
        <v>1.23937946684352</v>
      </c>
      <c r="AA855">
        <v>425.647</v>
      </c>
      <c r="AB855">
        <v>1.25712775184199</v>
      </c>
      <c r="AC855">
        <v>425.647</v>
      </c>
      <c r="AD855">
        <v>1.2724250496099</v>
      </c>
      <c r="AE855">
        <v>425.647</v>
      </c>
      <c r="AF855">
        <v>1.22458917385235</v>
      </c>
    </row>
    <row r="856" spans="23:32">
      <c r="W856">
        <v>426.146</v>
      </c>
      <c r="X856">
        <v>1.23857585443376</v>
      </c>
      <c r="Y856">
        <v>426.146</v>
      </c>
      <c r="Z856">
        <v>1.24191803691432</v>
      </c>
      <c r="AA856">
        <v>426.146</v>
      </c>
      <c r="AB856">
        <v>1.25665482709427</v>
      </c>
      <c r="AC856">
        <v>426.146</v>
      </c>
      <c r="AD856">
        <v>1.27193889263515</v>
      </c>
      <c r="AE856">
        <v>426.146</v>
      </c>
      <c r="AF856">
        <v>1.21053177867197</v>
      </c>
    </row>
    <row r="857" spans="23:32">
      <c r="W857">
        <v>426.645</v>
      </c>
      <c r="X857">
        <v>1.2353007706837</v>
      </c>
      <c r="Y857">
        <v>426.645</v>
      </c>
      <c r="Z857">
        <v>1.25006291271625</v>
      </c>
      <c r="AA857">
        <v>426.645</v>
      </c>
      <c r="AB857">
        <v>1.24692977108382</v>
      </c>
      <c r="AC857">
        <v>426.645</v>
      </c>
      <c r="AD857">
        <v>1.27448229714257</v>
      </c>
      <c r="AE857">
        <v>426.645</v>
      </c>
      <c r="AF857">
        <v>1.21147670297958</v>
      </c>
    </row>
    <row r="858" spans="23:32">
      <c r="W858">
        <v>427.144</v>
      </c>
      <c r="X858">
        <v>1.23308851806357</v>
      </c>
      <c r="Y858">
        <v>427.144</v>
      </c>
      <c r="Z858">
        <v>1.24443972945152</v>
      </c>
      <c r="AA858">
        <v>427.144</v>
      </c>
      <c r="AB858">
        <v>1.2506282752399</v>
      </c>
      <c r="AC858">
        <v>427.144</v>
      </c>
      <c r="AD858">
        <v>1.27955994771764</v>
      </c>
      <c r="AE858">
        <v>427.144</v>
      </c>
      <c r="AF858">
        <v>1.21532510027347</v>
      </c>
    </row>
    <row r="859" spans="23:32">
      <c r="W859">
        <v>427.643</v>
      </c>
      <c r="X859">
        <v>1.23074930343472</v>
      </c>
      <c r="Y859">
        <v>427.643</v>
      </c>
      <c r="Z859">
        <v>1.24871678021925</v>
      </c>
      <c r="AA859">
        <v>427.643</v>
      </c>
      <c r="AB859">
        <v>1.25015855061649</v>
      </c>
      <c r="AC859">
        <v>427.643</v>
      </c>
      <c r="AD859">
        <v>1.27086857608506</v>
      </c>
      <c r="AE859">
        <v>427.643</v>
      </c>
      <c r="AF859">
        <v>1.2153541814318</v>
      </c>
    </row>
    <row r="860" spans="23:32">
      <c r="W860">
        <v>428.142</v>
      </c>
      <c r="X860">
        <v>1.22541121562052</v>
      </c>
      <c r="Y860">
        <v>428.142</v>
      </c>
      <c r="Z860">
        <v>1.24407635855672</v>
      </c>
      <c r="AA860">
        <v>428.142</v>
      </c>
      <c r="AB860">
        <v>1.25113466659841</v>
      </c>
      <c r="AC860">
        <v>428.142</v>
      </c>
      <c r="AD860">
        <v>1.26392182212221</v>
      </c>
      <c r="AE860">
        <v>428.142</v>
      </c>
      <c r="AF860">
        <v>1.21831081593943</v>
      </c>
    </row>
    <row r="861" spans="23:32">
      <c r="W861">
        <v>428.641</v>
      </c>
      <c r="X861">
        <v>1.22801283044043</v>
      </c>
      <c r="Y861">
        <v>428.641</v>
      </c>
      <c r="Z861">
        <v>1.24585062072669</v>
      </c>
      <c r="AA861">
        <v>428.641</v>
      </c>
      <c r="AB861">
        <v>1.25479929125289</v>
      </c>
      <c r="AC861">
        <v>428.641</v>
      </c>
      <c r="AD861">
        <v>1.26432664110008</v>
      </c>
      <c r="AE861">
        <v>428.641</v>
      </c>
      <c r="AF861">
        <v>1.21988780884929</v>
      </c>
    </row>
    <row r="862" spans="23:32">
      <c r="W862">
        <v>429.14</v>
      </c>
      <c r="X862">
        <v>1.23522342310546</v>
      </c>
      <c r="Y862">
        <v>429.14</v>
      </c>
      <c r="Z862">
        <v>1.23850308921017</v>
      </c>
      <c r="AA862">
        <v>429.14</v>
      </c>
      <c r="AB862">
        <v>1.25842961829744</v>
      </c>
      <c r="AC862">
        <v>429.14</v>
      </c>
      <c r="AD862">
        <v>1.26810276739921</v>
      </c>
      <c r="AE862">
        <v>429.14</v>
      </c>
      <c r="AF862">
        <v>1.22321187707352</v>
      </c>
    </row>
    <row r="863" spans="23:32">
      <c r="W863">
        <v>429.639</v>
      </c>
      <c r="X863">
        <v>1.23436406214661</v>
      </c>
      <c r="Y863">
        <v>429.639</v>
      </c>
      <c r="Z863">
        <v>1.23592936161864</v>
      </c>
      <c r="AA863">
        <v>429.639</v>
      </c>
      <c r="AB863">
        <v>1.24565722433659</v>
      </c>
      <c r="AC863">
        <v>429.639</v>
      </c>
      <c r="AD863">
        <v>1.25869259740787</v>
      </c>
      <c r="AE863">
        <v>429.639</v>
      </c>
      <c r="AF863">
        <v>1.21894872677834</v>
      </c>
    </row>
    <row r="864" spans="23:32">
      <c r="W864">
        <v>430.138</v>
      </c>
      <c r="X864">
        <v>1.22674298631096</v>
      </c>
      <c r="Y864">
        <v>430.138</v>
      </c>
      <c r="Z864">
        <v>1.25146578534277</v>
      </c>
      <c r="AA864">
        <v>430.138</v>
      </c>
      <c r="AB864">
        <v>1.24873973876218</v>
      </c>
      <c r="AC864">
        <v>430.138</v>
      </c>
      <c r="AD864">
        <v>1.26472028039071</v>
      </c>
      <c r="AE864">
        <v>430.138</v>
      </c>
      <c r="AF864">
        <v>1.21770532499622</v>
      </c>
    </row>
    <row r="865" spans="23:32">
      <c r="W865">
        <v>430.637</v>
      </c>
      <c r="X865">
        <v>1.23590498017952</v>
      </c>
      <c r="Y865">
        <v>430.637</v>
      </c>
      <c r="Z865">
        <v>1.24149156820708</v>
      </c>
      <c r="AA865">
        <v>430.637</v>
      </c>
      <c r="AB865">
        <v>1.2559099382015</v>
      </c>
      <c r="AC865">
        <v>430.637</v>
      </c>
      <c r="AD865">
        <v>1.25929865141665</v>
      </c>
      <c r="AE865">
        <v>430.637</v>
      </c>
      <c r="AF865">
        <v>1.21590520142376</v>
      </c>
    </row>
    <row r="866" spans="23:32">
      <c r="W866">
        <v>431.136</v>
      </c>
      <c r="X866">
        <v>1.23240296639625</v>
      </c>
      <c r="Y866">
        <v>431.136</v>
      </c>
      <c r="Z866">
        <v>1.24344336328529</v>
      </c>
      <c r="AA866">
        <v>431.136</v>
      </c>
      <c r="AB866">
        <v>1.25480394008926</v>
      </c>
      <c r="AC866">
        <v>431.136</v>
      </c>
      <c r="AD866">
        <v>1.26642016775793</v>
      </c>
      <c r="AE866">
        <v>431.136</v>
      </c>
      <c r="AF866">
        <v>1.2164664725778</v>
      </c>
    </row>
    <row r="867" spans="23:32">
      <c r="W867">
        <v>431.635</v>
      </c>
      <c r="X867">
        <v>1.22148275248848</v>
      </c>
      <c r="Y867">
        <v>431.635</v>
      </c>
      <c r="Z867">
        <v>1.25003197284352</v>
      </c>
      <c r="AA867">
        <v>431.635</v>
      </c>
      <c r="AB867">
        <v>1.25300963565652</v>
      </c>
      <c r="AC867">
        <v>431.635</v>
      </c>
      <c r="AD867">
        <v>1.27309082309076</v>
      </c>
      <c r="AE867">
        <v>431.635</v>
      </c>
      <c r="AF867">
        <v>1.22311463183859</v>
      </c>
    </row>
    <row r="868" spans="23:32">
      <c r="W868">
        <v>432.134</v>
      </c>
      <c r="X868">
        <v>1.22771486517608</v>
      </c>
      <c r="Y868">
        <v>432.134</v>
      </c>
      <c r="Z868">
        <v>1.23964389313908</v>
      </c>
      <c r="AA868">
        <v>432.134</v>
      </c>
      <c r="AB868">
        <v>1.25456595624896</v>
      </c>
      <c r="AC868">
        <v>432.134</v>
      </c>
      <c r="AD868">
        <v>1.26450075260391</v>
      </c>
      <c r="AE868">
        <v>432.134</v>
      </c>
      <c r="AF868">
        <v>1.2173146564513</v>
      </c>
    </row>
    <row r="869" spans="23:32">
      <c r="W869">
        <v>432.633</v>
      </c>
      <c r="X869">
        <v>1.22719641069157</v>
      </c>
      <c r="Y869">
        <v>432.633</v>
      </c>
      <c r="Z869">
        <v>1.24579638555355</v>
      </c>
      <c r="AA869">
        <v>432.633</v>
      </c>
      <c r="AB869">
        <v>1.25369607571405</v>
      </c>
      <c r="AC869">
        <v>432.633</v>
      </c>
      <c r="AD869">
        <v>1.26461233271952</v>
      </c>
      <c r="AE869">
        <v>432.633</v>
      </c>
      <c r="AF869">
        <v>1.21575069172894</v>
      </c>
    </row>
    <row r="870" spans="23:32">
      <c r="W870">
        <v>433.132</v>
      </c>
      <c r="X870">
        <v>1.22498578915215</v>
      </c>
      <c r="Y870">
        <v>433.132</v>
      </c>
      <c r="Z870">
        <v>1.24157882558574</v>
      </c>
      <c r="AA870">
        <v>433.132</v>
      </c>
      <c r="AB870">
        <v>1.25774059407724</v>
      </c>
      <c r="AC870">
        <v>433.132</v>
      </c>
      <c r="AD870">
        <v>1.26002613056448</v>
      </c>
      <c r="AE870">
        <v>433.132</v>
      </c>
      <c r="AF870">
        <v>1.21853141493372</v>
      </c>
    </row>
    <row r="871" spans="23:32">
      <c r="W871">
        <v>433.631</v>
      </c>
      <c r="X871">
        <v>1.22227968017961</v>
      </c>
      <c r="Y871">
        <v>433.631</v>
      </c>
      <c r="Z871">
        <v>1.2414501385199</v>
      </c>
      <c r="AA871">
        <v>433.631</v>
      </c>
      <c r="AB871">
        <v>1.24911818799901</v>
      </c>
      <c r="AC871">
        <v>433.631</v>
      </c>
      <c r="AD871">
        <v>1.26710008028708</v>
      </c>
      <c r="AE871">
        <v>433.631</v>
      </c>
      <c r="AF871">
        <v>1.22751997278361</v>
      </c>
    </row>
    <row r="872" spans="23:32">
      <c r="W872">
        <v>434.13</v>
      </c>
      <c r="X872">
        <v>1.22743005769864</v>
      </c>
      <c r="Y872">
        <v>434.13</v>
      </c>
      <c r="Z872">
        <v>1.24940301943591</v>
      </c>
      <c r="AA872">
        <v>434.13</v>
      </c>
      <c r="AB872">
        <v>1.24711482033377</v>
      </c>
      <c r="AC872">
        <v>434.13</v>
      </c>
      <c r="AD872">
        <v>1.26695318837634</v>
      </c>
      <c r="AE872">
        <v>434.13</v>
      </c>
      <c r="AF872">
        <v>1.22839650821133</v>
      </c>
    </row>
    <row r="873" spans="23:32">
      <c r="W873">
        <v>434.629</v>
      </c>
      <c r="X873">
        <v>1.22042761003642</v>
      </c>
      <c r="Y873">
        <v>434.629</v>
      </c>
      <c r="Z873">
        <v>1.24805065895115</v>
      </c>
      <c r="AA873">
        <v>434.629</v>
      </c>
      <c r="AB873">
        <v>1.25568446232364</v>
      </c>
      <c r="AC873">
        <v>434.629</v>
      </c>
      <c r="AD873">
        <v>1.26788958471687</v>
      </c>
      <c r="AE873">
        <v>434.629</v>
      </c>
      <c r="AF873">
        <v>1.22251723058762</v>
      </c>
    </row>
    <row r="874" spans="23:32">
      <c r="W874">
        <v>435.128</v>
      </c>
      <c r="X874">
        <v>1.22125693388198</v>
      </c>
      <c r="Y874">
        <v>435.128</v>
      </c>
      <c r="Z874">
        <v>1.23909131838582</v>
      </c>
      <c r="AA874">
        <v>435.128</v>
      </c>
      <c r="AB874">
        <v>1.25012222839081</v>
      </c>
      <c r="AC874">
        <v>435.128</v>
      </c>
      <c r="AD874">
        <v>1.25836389468169</v>
      </c>
      <c r="AE874">
        <v>435.128</v>
      </c>
      <c r="AF874">
        <v>1.2247164829794</v>
      </c>
    </row>
    <row r="875" spans="23:32">
      <c r="W875">
        <v>435.627</v>
      </c>
      <c r="X875">
        <v>1.22565624248886</v>
      </c>
      <c r="Y875">
        <v>435.627</v>
      </c>
      <c r="Z875">
        <v>1.23879248513726</v>
      </c>
      <c r="AA875">
        <v>435.627</v>
      </c>
      <c r="AB875">
        <v>1.25143838388302</v>
      </c>
      <c r="AC875">
        <v>435.627</v>
      </c>
      <c r="AD875">
        <v>1.26714502638238</v>
      </c>
      <c r="AE875">
        <v>435.627</v>
      </c>
      <c r="AF875">
        <v>1.22208405398344</v>
      </c>
    </row>
    <row r="876" spans="23:32">
      <c r="W876">
        <v>436.126</v>
      </c>
      <c r="X876">
        <v>1.22913600416021</v>
      </c>
      <c r="Y876">
        <v>436.126</v>
      </c>
      <c r="Z876">
        <v>1.24270180642572</v>
      </c>
      <c r="AA876">
        <v>436.126</v>
      </c>
      <c r="AB876">
        <v>1.25536720366204</v>
      </c>
      <c r="AC876">
        <v>436.126</v>
      </c>
      <c r="AD876">
        <v>1.27021198823607</v>
      </c>
      <c r="AE876">
        <v>436.126</v>
      </c>
      <c r="AF876">
        <v>1.22415054373503</v>
      </c>
    </row>
    <row r="877" spans="23:32">
      <c r="W877">
        <v>436.625</v>
      </c>
      <c r="X877">
        <v>1.22484017848572</v>
      </c>
      <c r="Y877">
        <v>436.625</v>
      </c>
      <c r="Z877">
        <v>1.23864092463248</v>
      </c>
      <c r="AA877">
        <v>436.625</v>
      </c>
      <c r="AB877">
        <v>1.26009084028151</v>
      </c>
      <c r="AC877">
        <v>436.625</v>
      </c>
      <c r="AD877">
        <v>1.27561924775885</v>
      </c>
      <c r="AE877">
        <v>436.625</v>
      </c>
      <c r="AF877">
        <v>1.21952532438198</v>
      </c>
    </row>
    <row r="878" spans="23:32">
      <c r="W878">
        <v>437.124</v>
      </c>
      <c r="X878">
        <v>1.23231547386773</v>
      </c>
      <c r="Y878">
        <v>437.124</v>
      </c>
      <c r="Z878">
        <v>1.2460361118648</v>
      </c>
      <c r="AA878">
        <v>437.124</v>
      </c>
      <c r="AB878">
        <v>1.25550300646867</v>
      </c>
      <c r="AC878">
        <v>437.124</v>
      </c>
      <c r="AD878">
        <v>1.26529914188047</v>
      </c>
      <c r="AE878">
        <v>437.124</v>
      </c>
      <c r="AF878">
        <v>1.22203105340679</v>
      </c>
    </row>
    <row r="879" spans="23:32">
      <c r="W879">
        <v>437.623</v>
      </c>
      <c r="X879">
        <v>1.22123968278913</v>
      </c>
      <c r="Y879">
        <v>437.623</v>
      </c>
      <c r="Z879">
        <v>1.24801093971235</v>
      </c>
      <c r="AA879">
        <v>437.623</v>
      </c>
      <c r="AB879">
        <v>1.25406710386495</v>
      </c>
      <c r="AC879">
        <v>437.623</v>
      </c>
      <c r="AD879">
        <v>1.27156395488257</v>
      </c>
      <c r="AE879">
        <v>437.623</v>
      </c>
      <c r="AF879">
        <v>1.22609674550519</v>
      </c>
    </row>
    <row r="880" spans="23:32">
      <c r="W880">
        <v>438.122</v>
      </c>
      <c r="X880">
        <v>1.23288042814459</v>
      </c>
      <c r="Y880">
        <v>438.122</v>
      </c>
      <c r="Z880">
        <v>1.2499078007576</v>
      </c>
      <c r="AA880">
        <v>438.122</v>
      </c>
      <c r="AB880">
        <v>1.24708777025156</v>
      </c>
      <c r="AC880">
        <v>438.122</v>
      </c>
      <c r="AD880">
        <v>1.27222901715847</v>
      </c>
      <c r="AE880">
        <v>438.122</v>
      </c>
      <c r="AF880">
        <v>1.22766537979991</v>
      </c>
    </row>
    <row r="881" spans="23:32">
      <c r="W881">
        <v>438.621</v>
      </c>
      <c r="X881">
        <v>1.2211241961283</v>
      </c>
      <c r="Y881">
        <v>438.621</v>
      </c>
      <c r="Z881">
        <v>1.24387693923896</v>
      </c>
      <c r="AA881">
        <v>438.621</v>
      </c>
      <c r="AB881">
        <v>1.26196823696628</v>
      </c>
      <c r="AC881">
        <v>438.621</v>
      </c>
      <c r="AD881">
        <v>1.26846353678286</v>
      </c>
      <c r="AE881">
        <v>438.621</v>
      </c>
      <c r="AF881">
        <v>1.21921895204184</v>
      </c>
    </row>
    <row r="882" spans="23:32">
      <c r="W882">
        <v>439.12</v>
      </c>
      <c r="X882">
        <v>1.22587148164057</v>
      </c>
      <c r="Y882">
        <v>439.12</v>
      </c>
      <c r="Z882">
        <v>1.24737051716917</v>
      </c>
      <c r="AA882">
        <v>439.12</v>
      </c>
      <c r="AB882">
        <v>1.25773075918554</v>
      </c>
      <c r="AC882">
        <v>439.12</v>
      </c>
      <c r="AD882">
        <v>1.26980401374904</v>
      </c>
      <c r="AE882">
        <v>439.12</v>
      </c>
      <c r="AF882">
        <v>1.2251041752693</v>
      </c>
    </row>
    <row r="883" spans="23:32">
      <c r="W883">
        <v>439.619</v>
      </c>
      <c r="X883">
        <v>1.21979254825998</v>
      </c>
      <c r="Y883">
        <v>439.619</v>
      </c>
      <c r="Z883">
        <v>1.24101521460836</v>
      </c>
      <c r="AA883">
        <v>439.619</v>
      </c>
      <c r="AB883">
        <v>1.25808481541291</v>
      </c>
      <c r="AC883">
        <v>439.619</v>
      </c>
      <c r="AD883">
        <v>1.27302208636681</v>
      </c>
      <c r="AE883">
        <v>439.619</v>
      </c>
      <c r="AF883">
        <v>1.22390023157276</v>
      </c>
    </row>
    <row r="884" spans="23:32">
      <c r="W884">
        <v>440.118</v>
      </c>
      <c r="X884">
        <v>1.23070454128829</v>
      </c>
      <c r="Y884">
        <v>440.118</v>
      </c>
      <c r="Z884">
        <v>1.24819840158165</v>
      </c>
      <c r="AA884">
        <v>440.118</v>
      </c>
      <c r="AB884">
        <v>1.25027659150555</v>
      </c>
      <c r="AC884">
        <v>440.118</v>
      </c>
      <c r="AD884">
        <v>1.26919723366543</v>
      </c>
      <c r="AE884">
        <v>440.118</v>
      </c>
      <c r="AF884">
        <v>1.22520823409448</v>
      </c>
    </row>
    <row r="885" spans="23:32">
      <c r="W885">
        <v>440.617</v>
      </c>
      <c r="X885">
        <v>1.23124764805533</v>
      </c>
      <c r="Y885">
        <v>440.617</v>
      </c>
      <c r="Z885">
        <v>1.25069901515338</v>
      </c>
      <c r="AA885">
        <v>440.617</v>
      </c>
      <c r="AB885">
        <v>1.26436985879256</v>
      </c>
      <c r="AC885">
        <v>440.617</v>
      </c>
      <c r="AD885">
        <v>1.27091103958943</v>
      </c>
      <c r="AE885">
        <v>440.617</v>
      </c>
      <c r="AF885">
        <v>1.21549466815611</v>
      </c>
    </row>
    <row r="886" spans="23:32">
      <c r="W886">
        <v>441.116</v>
      </c>
      <c r="X886">
        <v>1.22727572426624</v>
      </c>
      <c r="Y886">
        <v>441.116</v>
      </c>
      <c r="Z886">
        <v>1.25366535330859</v>
      </c>
      <c r="AA886">
        <v>441.116</v>
      </c>
      <c r="AB886">
        <v>1.25822017572797</v>
      </c>
      <c r="AC886">
        <v>441.116</v>
      </c>
      <c r="AD886">
        <v>1.26440027109511</v>
      </c>
      <c r="AE886">
        <v>441.116</v>
      </c>
      <c r="AF886">
        <v>1.2252930702908</v>
      </c>
    </row>
    <row r="887" spans="23:32">
      <c r="W887">
        <v>441.615</v>
      </c>
      <c r="X887">
        <v>1.21534655618094</v>
      </c>
      <c r="Y887">
        <v>441.615</v>
      </c>
      <c r="Z887">
        <v>1.25712630238936</v>
      </c>
      <c r="AA887">
        <v>441.615</v>
      </c>
      <c r="AB887">
        <v>1.25365698746074</v>
      </c>
      <c r="AC887">
        <v>441.615</v>
      </c>
      <c r="AD887">
        <v>1.2685907088801</v>
      </c>
      <c r="AE887">
        <v>441.615</v>
      </c>
      <c r="AF887">
        <v>1.22126583331032</v>
      </c>
    </row>
    <row r="888" spans="23:32">
      <c r="W888">
        <v>442.114</v>
      </c>
      <c r="X888">
        <v>1.22270367096847</v>
      </c>
      <c r="Y888">
        <v>442.114</v>
      </c>
      <c r="Z888">
        <v>1.25203940017125</v>
      </c>
      <c r="AA888">
        <v>442.114</v>
      </c>
      <c r="AB888">
        <v>1.25191359006591</v>
      </c>
      <c r="AC888">
        <v>442.114</v>
      </c>
      <c r="AD888">
        <v>1.26309777396723</v>
      </c>
      <c r="AE888">
        <v>442.114</v>
      </c>
      <c r="AF888">
        <v>1.21627251383618</v>
      </c>
    </row>
    <row r="889" spans="23:32">
      <c r="W889">
        <v>442.613</v>
      </c>
      <c r="X889">
        <v>1.22577492677618</v>
      </c>
      <c r="Y889">
        <v>442.613</v>
      </c>
      <c r="Z889">
        <v>1.24772382126428</v>
      </c>
      <c r="AA889">
        <v>442.613</v>
      </c>
      <c r="AB889">
        <v>1.25470840515203</v>
      </c>
      <c r="AC889">
        <v>442.613</v>
      </c>
      <c r="AD889">
        <v>1.26735050223</v>
      </c>
      <c r="AE889">
        <v>442.613</v>
      </c>
      <c r="AF889">
        <v>1.21678344686783</v>
      </c>
    </row>
    <row r="890" spans="23:32">
      <c r="W890">
        <v>443.112</v>
      </c>
      <c r="X890">
        <v>1.22798699215454</v>
      </c>
      <c r="Y890">
        <v>443.112</v>
      </c>
      <c r="Z890">
        <v>1.25933668966687</v>
      </c>
      <c r="AA890">
        <v>443.112</v>
      </c>
      <c r="AB890">
        <v>1.25644953297206</v>
      </c>
      <c r="AC890">
        <v>443.112</v>
      </c>
      <c r="AD890">
        <v>1.27659639123271</v>
      </c>
      <c r="AE890">
        <v>443.112</v>
      </c>
      <c r="AF890">
        <v>1.20590572967335</v>
      </c>
    </row>
    <row r="891" spans="23:32">
      <c r="W891">
        <v>443.611</v>
      </c>
      <c r="X891">
        <v>1.2275525751995</v>
      </c>
      <c r="Y891">
        <v>443.611</v>
      </c>
      <c r="Z891">
        <v>1.25005770480016</v>
      </c>
      <c r="AA891">
        <v>443.611</v>
      </c>
      <c r="AB891">
        <v>1.25547145926486</v>
      </c>
      <c r="AC891">
        <v>443.611</v>
      </c>
      <c r="AD891">
        <v>1.27001145320812</v>
      </c>
      <c r="AE891">
        <v>443.611</v>
      </c>
      <c r="AF891">
        <v>1.23082765300273</v>
      </c>
    </row>
    <row r="892" spans="23:32">
      <c r="W892">
        <v>444.11</v>
      </c>
      <c r="X892">
        <v>1.22946707834684</v>
      </c>
      <c r="Y892">
        <v>444.11</v>
      </c>
      <c r="Z892">
        <v>1.25667141084871</v>
      </c>
      <c r="AA892">
        <v>444.11</v>
      </c>
      <c r="AB892">
        <v>1.25063437752975</v>
      </c>
      <c r="AC892">
        <v>444.11</v>
      </c>
      <c r="AD892">
        <v>1.27298136348571</v>
      </c>
      <c r="AE892">
        <v>444.11</v>
      </c>
      <c r="AF892">
        <v>1.22601295083113</v>
      </c>
    </row>
    <row r="893" spans="23:32">
      <c r="W893">
        <v>444.609</v>
      </c>
      <c r="X893">
        <v>1.23010253273159</v>
      </c>
      <c r="Y893">
        <v>444.609</v>
      </c>
      <c r="Z893">
        <v>1.25047252393951</v>
      </c>
      <c r="AA893">
        <v>444.609</v>
      </c>
      <c r="AB893">
        <v>1.24587588257576</v>
      </c>
      <c r="AC893">
        <v>444.609</v>
      </c>
      <c r="AD893">
        <v>1.27670340837146</v>
      </c>
      <c r="AE893">
        <v>444.609</v>
      </c>
      <c r="AF893">
        <v>1.21845234033528</v>
      </c>
    </row>
    <row r="894" spans="23:32">
      <c r="W894">
        <v>445.108</v>
      </c>
      <c r="X894">
        <v>1.23036064751726</v>
      </c>
      <c r="Y894">
        <v>445.108</v>
      </c>
      <c r="Z894">
        <v>1.2558186203088</v>
      </c>
      <c r="AA894">
        <v>445.108</v>
      </c>
      <c r="AB894">
        <v>1.25217829437104</v>
      </c>
      <c r="AC894">
        <v>445.108</v>
      </c>
      <c r="AD894">
        <v>1.26498702948008</v>
      </c>
      <c r="AE894">
        <v>445.108</v>
      </c>
      <c r="AF894">
        <v>1.21566202836716</v>
      </c>
    </row>
    <row r="895" spans="23:32">
      <c r="W895">
        <v>445.607</v>
      </c>
      <c r="X895">
        <v>1.22703674651788</v>
      </c>
      <c r="Y895">
        <v>445.607</v>
      </c>
      <c r="Z895">
        <v>1.25806632626432</v>
      </c>
      <c r="AA895">
        <v>445.607</v>
      </c>
      <c r="AB895">
        <v>1.25730806405373</v>
      </c>
      <c r="AC895">
        <v>445.607</v>
      </c>
      <c r="AD895">
        <v>1.27152535093566</v>
      </c>
      <c r="AE895">
        <v>445.607</v>
      </c>
      <c r="AF895">
        <v>1.22102363469583</v>
      </c>
    </row>
    <row r="896" spans="23:32">
      <c r="W896">
        <v>446.106</v>
      </c>
      <c r="X896">
        <v>1.2319212269829</v>
      </c>
      <c r="Y896">
        <v>446.106</v>
      </c>
      <c r="Z896">
        <v>1.25045045111864</v>
      </c>
      <c r="AA896">
        <v>446.106</v>
      </c>
      <c r="AB896">
        <v>1.26072466271262</v>
      </c>
      <c r="AC896">
        <v>446.106</v>
      </c>
      <c r="AD896">
        <v>1.2699628662545</v>
      </c>
      <c r="AE896">
        <v>446.106</v>
      </c>
      <c r="AF896">
        <v>1.23335744854176</v>
      </c>
    </row>
    <row r="897" spans="23:32">
      <c r="W897">
        <v>446.605</v>
      </c>
      <c r="X897">
        <v>1.24130795630874</v>
      </c>
      <c r="Y897">
        <v>446.605</v>
      </c>
      <c r="Z897">
        <v>1.24933102506228</v>
      </c>
      <c r="AA897">
        <v>446.605</v>
      </c>
      <c r="AB897">
        <v>1.25516452346602</v>
      </c>
      <c r="AC897">
        <v>446.605</v>
      </c>
      <c r="AD897">
        <v>1.27411476781294</v>
      </c>
      <c r="AE897">
        <v>446.605</v>
      </c>
      <c r="AF897">
        <v>1.22110138938877</v>
      </c>
    </row>
    <row r="898" spans="23:32">
      <c r="W898">
        <v>447.104</v>
      </c>
      <c r="X898">
        <v>1.23375412044804</v>
      </c>
      <c r="Y898">
        <v>447.104</v>
      </c>
      <c r="Z898">
        <v>1.24812872895919</v>
      </c>
      <c r="AA898">
        <v>447.104</v>
      </c>
      <c r="AB898">
        <v>1.26142557067704</v>
      </c>
      <c r="AC898">
        <v>447.104</v>
      </c>
      <c r="AD898">
        <v>1.26022193092905</v>
      </c>
      <c r="AE898">
        <v>447.104</v>
      </c>
      <c r="AF898">
        <v>1.22803677892454</v>
      </c>
    </row>
    <row r="899" spans="23:32">
      <c r="W899">
        <v>447.603</v>
      </c>
      <c r="X899">
        <v>1.23287141213628</v>
      </c>
      <c r="Y899">
        <v>447.603</v>
      </c>
      <c r="Z899">
        <v>1.25029432101176</v>
      </c>
      <c r="AA899">
        <v>447.603</v>
      </c>
      <c r="AB899">
        <v>1.25666944157055</v>
      </c>
      <c r="AC899">
        <v>447.603</v>
      </c>
      <c r="AD899">
        <v>1.26892216674026</v>
      </c>
      <c r="AE899">
        <v>447.603</v>
      </c>
      <c r="AF899">
        <v>1.23347026478416</v>
      </c>
    </row>
    <row r="900" spans="23:32">
      <c r="W900">
        <v>448.102</v>
      </c>
      <c r="X900">
        <v>1.23509303639055</v>
      </c>
      <c r="Y900">
        <v>448.102</v>
      </c>
      <c r="Z900">
        <v>1.24806861971825</v>
      </c>
      <c r="AA900">
        <v>448.102</v>
      </c>
      <c r="AB900">
        <v>1.2472325101901</v>
      </c>
      <c r="AC900">
        <v>448.102</v>
      </c>
      <c r="AD900">
        <v>1.27632228872127</v>
      </c>
      <c r="AE900">
        <v>448.102</v>
      </c>
      <c r="AF900">
        <v>1.22904686915743</v>
      </c>
    </row>
    <row r="901" spans="23:32">
      <c r="W901">
        <v>448.601</v>
      </c>
      <c r="X901">
        <v>1.23065460379721</v>
      </c>
      <c r="Y901">
        <v>448.601</v>
      </c>
      <c r="Z901">
        <v>1.24878038979255</v>
      </c>
      <c r="AA901">
        <v>448.601</v>
      </c>
      <c r="AB901">
        <v>1.24716831327952</v>
      </c>
      <c r="AC901">
        <v>448.601</v>
      </c>
      <c r="AD901">
        <v>1.27400469992957</v>
      </c>
      <c r="AE901">
        <v>448.601</v>
      </c>
      <c r="AF901">
        <v>1.21590525795224</v>
      </c>
    </row>
    <row r="902" spans="23:32">
      <c r="W902">
        <v>449.1</v>
      </c>
      <c r="X902">
        <v>1.22443259276157</v>
      </c>
      <c r="Y902">
        <v>449.1</v>
      </c>
      <c r="Z902">
        <v>1.25136609860491</v>
      </c>
      <c r="AA902">
        <v>449.1</v>
      </c>
      <c r="AB902">
        <v>1.2563348673751</v>
      </c>
      <c r="AC902">
        <v>449.1</v>
      </c>
      <c r="AD902">
        <v>1.26711798331855</v>
      </c>
      <c r="AE902">
        <v>449.1</v>
      </c>
      <c r="AF902">
        <v>1.22271032997842</v>
      </c>
    </row>
    <row r="903" spans="23:32">
      <c r="W903">
        <v>449.599</v>
      </c>
      <c r="X903">
        <v>1.23537039602615</v>
      </c>
      <c r="Y903">
        <v>449.599</v>
      </c>
      <c r="Z903">
        <v>1.25015760919677</v>
      </c>
      <c r="AA903">
        <v>449.599</v>
      </c>
      <c r="AB903">
        <v>1.25315601259503</v>
      </c>
      <c r="AC903">
        <v>449.599</v>
      </c>
      <c r="AD903">
        <v>1.26499717582568</v>
      </c>
      <c r="AE903">
        <v>449.599</v>
      </c>
      <c r="AF903">
        <v>1.22002225481767</v>
      </c>
    </row>
    <row r="904" spans="23:32">
      <c r="W904">
        <v>450.098</v>
      </c>
      <c r="X904">
        <v>1.2198252511232</v>
      </c>
      <c r="Y904">
        <v>450.098</v>
      </c>
      <c r="Z904">
        <v>1.25310874733358</v>
      </c>
      <c r="AA904">
        <v>450.098</v>
      </c>
      <c r="AB904">
        <v>1.25545313016873</v>
      </c>
      <c r="AC904">
        <v>450.098</v>
      </c>
      <c r="AD904">
        <v>1.26033774767036</v>
      </c>
      <c r="AE904">
        <v>450.098</v>
      </c>
      <c r="AF904">
        <v>1.22795469504417</v>
      </c>
    </row>
    <row r="905" spans="23:32">
      <c r="W905">
        <v>450.597</v>
      </c>
      <c r="X905">
        <v>1.23292034215171</v>
      </c>
      <c r="Y905">
        <v>450.597</v>
      </c>
      <c r="Z905">
        <v>1.24538235604974</v>
      </c>
      <c r="AA905">
        <v>450.597</v>
      </c>
      <c r="AB905">
        <v>1.25551691324382</v>
      </c>
      <c r="AC905">
        <v>450.597</v>
      </c>
      <c r="AD905">
        <v>1.26248657799336</v>
      </c>
      <c r="AE905">
        <v>450.597</v>
      </c>
      <c r="AF905">
        <v>1.23138312639747</v>
      </c>
    </row>
    <row r="906" spans="23:32">
      <c r="W906">
        <v>451.096</v>
      </c>
      <c r="X906">
        <v>1.22348328837173</v>
      </c>
      <c r="Y906">
        <v>451.096</v>
      </c>
      <c r="Z906">
        <v>1.24988428344952</v>
      </c>
      <c r="AA906">
        <v>451.096</v>
      </c>
      <c r="AB906">
        <v>1.26135704353815</v>
      </c>
      <c r="AC906">
        <v>451.096</v>
      </c>
      <c r="AD906">
        <v>1.26585962100538</v>
      </c>
      <c r="AE906">
        <v>451.096</v>
      </c>
      <c r="AF906">
        <v>1.21489661516469</v>
      </c>
    </row>
    <row r="907" spans="23:32">
      <c r="W907">
        <v>451.595</v>
      </c>
      <c r="X907">
        <v>1.22636261585532</v>
      </c>
      <c r="Y907">
        <v>451.595</v>
      </c>
      <c r="Z907">
        <v>1.24992140549411</v>
      </c>
      <c r="AA907">
        <v>451.595</v>
      </c>
      <c r="AB907">
        <v>1.26032005337195</v>
      </c>
      <c r="AC907">
        <v>451.595</v>
      </c>
      <c r="AD907">
        <v>1.26649566321621</v>
      </c>
      <c r="AE907">
        <v>451.595</v>
      </c>
      <c r="AF907">
        <v>1.22079710329482</v>
      </c>
    </row>
    <row r="908" spans="23:32">
      <c r="W908">
        <v>452.094</v>
      </c>
      <c r="X908">
        <v>1.22326609053123</v>
      </c>
      <c r="Y908">
        <v>452.094</v>
      </c>
      <c r="Z908">
        <v>1.25070552699293</v>
      </c>
      <c r="AA908">
        <v>452.094</v>
      </c>
      <c r="AB908">
        <v>1.25954969011091</v>
      </c>
      <c r="AC908">
        <v>452.094</v>
      </c>
      <c r="AD908">
        <v>1.26672489094366</v>
      </c>
      <c r="AE908">
        <v>452.094</v>
      </c>
      <c r="AF908">
        <v>1.21933478748538</v>
      </c>
    </row>
    <row r="909" spans="23:32">
      <c r="W909">
        <v>452.593</v>
      </c>
      <c r="X909">
        <v>1.23113480420865</v>
      </c>
      <c r="Y909">
        <v>452.593</v>
      </c>
      <c r="Z909">
        <v>1.250576568925</v>
      </c>
      <c r="AA909">
        <v>452.593</v>
      </c>
      <c r="AB909">
        <v>1.2584755266252</v>
      </c>
      <c r="AC909">
        <v>452.593</v>
      </c>
      <c r="AD909">
        <v>1.26217869200496</v>
      </c>
      <c r="AE909">
        <v>452.593</v>
      </c>
      <c r="AF909">
        <v>1.22003243176859</v>
      </c>
    </row>
    <row r="910" spans="23:32">
      <c r="W910">
        <v>453.092</v>
      </c>
      <c r="X910">
        <v>1.23376033189289</v>
      </c>
      <c r="Y910">
        <v>453.092</v>
      </c>
      <c r="Z910">
        <v>1.24841636424704</v>
      </c>
      <c r="AA910">
        <v>453.092</v>
      </c>
      <c r="AB910">
        <v>1.24840544784279</v>
      </c>
      <c r="AC910">
        <v>453.092</v>
      </c>
      <c r="AD910">
        <v>1.26108820639096</v>
      </c>
      <c r="AE910">
        <v>453.092</v>
      </c>
      <c r="AF910">
        <v>1.2254504258827</v>
      </c>
    </row>
    <row r="911" spans="23:32">
      <c r="W911">
        <v>453.591</v>
      </c>
      <c r="X911">
        <v>1.22901142223966</v>
      </c>
      <c r="Y911">
        <v>453.591</v>
      </c>
      <c r="Z911">
        <v>1.25606183494268</v>
      </c>
      <c r="AA911">
        <v>453.591</v>
      </c>
      <c r="AB911">
        <v>1.25565504528547</v>
      </c>
      <c r="AC911">
        <v>453.591</v>
      </c>
      <c r="AD911">
        <v>1.26797958049507</v>
      </c>
      <c r="AE911">
        <v>453.591</v>
      </c>
      <c r="AF911">
        <v>1.22464272575182</v>
      </c>
    </row>
    <row r="912" spans="23:32">
      <c r="W912">
        <v>454.09</v>
      </c>
      <c r="X912">
        <v>1.22725894301187</v>
      </c>
      <c r="Y912">
        <v>454.09</v>
      </c>
      <c r="Z912">
        <v>1.25208066030591</v>
      </c>
      <c r="AA912">
        <v>454.09</v>
      </c>
      <c r="AB912">
        <v>1.24732094654617</v>
      </c>
      <c r="AC912">
        <v>454.09</v>
      </c>
      <c r="AD912">
        <v>1.27131720883823</v>
      </c>
      <c r="AE912">
        <v>454.09</v>
      </c>
      <c r="AF912">
        <v>1.22140815394767</v>
      </c>
    </row>
    <row r="913" spans="23:32">
      <c r="W913">
        <v>454.589</v>
      </c>
      <c r="X913">
        <v>1.22651487389336</v>
      </c>
      <c r="Y913">
        <v>454.589</v>
      </c>
      <c r="Z913">
        <v>1.24120900188292</v>
      </c>
      <c r="AA913">
        <v>454.589</v>
      </c>
      <c r="AB913">
        <v>1.24543480228329</v>
      </c>
      <c r="AC913">
        <v>454.589</v>
      </c>
      <c r="AD913">
        <v>1.26380366380867</v>
      </c>
      <c r="AE913">
        <v>454.589</v>
      </c>
      <c r="AF913">
        <v>1.22172889011916</v>
      </c>
    </row>
    <row r="914" spans="23:32">
      <c r="W914">
        <v>455.088</v>
      </c>
      <c r="X914">
        <v>1.22555394058539</v>
      </c>
      <c r="Y914">
        <v>455.088</v>
      </c>
      <c r="Z914">
        <v>1.25065654640895</v>
      </c>
      <c r="AA914">
        <v>455.088</v>
      </c>
      <c r="AB914">
        <v>1.25547082674745</v>
      </c>
      <c r="AC914">
        <v>455.088</v>
      </c>
      <c r="AD914">
        <v>1.26716516841699</v>
      </c>
      <c r="AE914">
        <v>455.088</v>
      </c>
      <c r="AF914">
        <v>1.22431344777721</v>
      </c>
    </row>
    <row r="915" spans="23:32">
      <c r="W915">
        <v>455.587</v>
      </c>
      <c r="X915">
        <v>1.22191192184467</v>
      </c>
      <c r="Y915">
        <v>455.587</v>
      </c>
      <c r="Z915">
        <v>1.2428558369494</v>
      </c>
      <c r="AA915">
        <v>455.587</v>
      </c>
      <c r="AB915">
        <v>1.26054580906766</v>
      </c>
      <c r="AC915">
        <v>455.587</v>
      </c>
      <c r="AD915">
        <v>1.26385357942728</v>
      </c>
      <c r="AE915">
        <v>455.587</v>
      </c>
      <c r="AF915">
        <v>1.21911878963653</v>
      </c>
    </row>
    <row r="916" spans="23:32">
      <c r="W916">
        <v>456.086</v>
      </c>
      <c r="X916">
        <v>1.22738957993138</v>
      </c>
      <c r="Y916">
        <v>456.086</v>
      </c>
      <c r="Z916">
        <v>1.24942825251211</v>
      </c>
      <c r="AA916">
        <v>456.086</v>
      </c>
      <c r="AB916">
        <v>1.26434018400028</v>
      </c>
      <c r="AC916">
        <v>456.086</v>
      </c>
      <c r="AD916">
        <v>1.27013628312912</v>
      </c>
      <c r="AE916">
        <v>456.086</v>
      </c>
      <c r="AF916">
        <v>1.22622448164513</v>
      </c>
    </row>
    <row r="917" spans="23:32">
      <c r="W917">
        <v>456.585</v>
      </c>
      <c r="X917">
        <v>1.22133726049696</v>
      </c>
      <c r="Y917">
        <v>456.585</v>
      </c>
      <c r="Z917">
        <v>1.25948152405694</v>
      </c>
      <c r="AA917">
        <v>456.585</v>
      </c>
      <c r="AB917">
        <v>1.24835812167837</v>
      </c>
      <c r="AC917">
        <v>456.585</v>
      </c>
      <c r="AD917">
        <v>1.26353525541214</v>
      </c>
      <c r="AE917">
        <v>456.585</v>
      </c>
      <c r="AF917">
        <v>1.22660229252292</v>
      </c>
    </row>
    <row r="918" spans="23:32">
      <c r="W918">
        <v>457.084</v>
      </c>
      <c r="X918">
        <v>1.22381543208553</v>
      </c>
      <c r="Y918">
        <v>457.084</v>
      </c>
      <c r="Z918">
        <v>1.25445842690295</v>
      </c>
      <c r="AA918">
        <v>457.084</v>
      </c>
      <c r="AB918">
        <v>1.2495893436411</v>
      </c>
      <c r="AC918">
        <v>457.084</v>
      </c>
      <c r="AD918">
        <v>1.2672216073607</v>
      </c>
      <c r="AE918">
        <v>457.084</v>
      </c>
      <c r="AF918">
        <v>1.23710382952763</v>
      </c>
    </row>
    <row r="919" spans="23:32">
      <c r="W919">
        <v>457.583</v>
      </c>
      <c r="X919">
        <v>1.22509870822832</v>
      </c>
      <c r="Y919">
        <v>457.583</v>
      </c>
      <c r="Z919">
        <v>1.24254197820057</v>
      </c>
      <c r="AA919">
        <v>457.583</v>
      </c>
      <c r="AB919">
        <v>1.26692634009477</v>
      </c>
      <c r="AC919">
        <v>457.583</v>
      </c>
      <c r="AD919">
        <v>1.25973547044146</v>
      </c>
      <c r="AE919">
        <v>457.583</v>
      </c>
      <c r="AF919">
        <v>1.22832421268688</v>
      </c>
    </row>
    <row r="920" spans="23:32">
      <c r="W920">
        <v>458.082</v>
      </c>
      <c r="X920">
        <v>1.21398416842893</v>
      </c>
      <c r="Y920">
        <v>458.082</v>
      </c>
      <c r="Z920">
        <v>1.24948023548048</v>
      </c>
      <c r="AA920">
        <v>458.082</v>
      </c>
      <c r="AB920">
        <v>1.25975388368472</v>
      </c>
      <c r="AC920">
        <v>458.082</v>
      </c>
      <c r="AD920">
        <v>1.26724868435736</v>
      </c>
      <c r="AE920">
        <v>458.082</v>
      </c>
      <c r="AF920">
        <v>1.2230361567481</v>
      </c>
    </row>
    <row r="921" spans="23:32">
      <c r="W921">
        <v>458.581</v>
      </c>
      <c r="X921">
        <v>1.22520711085796</v>
      </c>
      <c r="Y921">
        <v>458.581</v>
      </c>
      <c r="Z921">
        <v>1.24454972882759</v>
      </c>
      <c r="AA921">
        <v>458.581</v>
      </c>
      <c r="AB921">
        <v>1.25747959332981</v>
      </c>
      <c r="AC921">
        <v>458.581</v>
      </c>
      <c r="AD921">
        <v>1.26731240150977</v>
      </c>
      <c r="AE921">
        <v>458.581</v>
      </c>
      <c r="AF921">
        <v>1.2273200631544</v>
      </c>
    </row>
    <row r="922" spans="23:32">
      <c r="W922">
        <v>459.08</v>
      </c>
      <c r="X922">
        <v>1.22510107391289</v>
      </c>
      <c r="Y922">
        <v>459.08</v>
      </c>
      <c r="Z922">
        <v>1.25719628790216</v>
      </c>
      <c r="AA922">
        <v>459.08</v>
      </c>
      <c r="AB922">
        <v>1.25875698144903</v>
      </c>
      <c r="AC922">
        <v>459.08</v>
      </c>
      <c r="AD922">
        <v>1.26782377244378</v>
      </c>
      <c r="AE922">
        <v>459.08</v>
      </c>
      <c r="AF922">
        <v>1.22322155318383</v>
      </c>
    </row>
    <row r="923" spans="23:32">
      <c r="W923">
        <v>459.579</v>
      </c>
      <c r="X923">
        <v>1.2286250153308</v>
      </c>
      <c r="Y923">
        <v>459.579</v>
      </c>
      <c r="Z923">
        <v>1.25850524160031</v>
      </c>
      <c r="AA923">
        <v>459.579</v>
      </c>
      <c r="AB923">
        <v>1.26125837677398</v>
      </c>
      <c r="AC923">
        <v>459.579</v>
      </c>
      <c r="AD923">
        <v>1.28045271896994</v>
      </c>
      <c r="AE923">
        <v>459.579</v>
      </c>
      <c r="AF923">
        <v>1.223200113843</v>
      </c>
    </row>
    <row r="924" spans="23:32">
      <c r="W924">
        <v>460.078</v>
      </c>
      <c r="X924">
        <v>1.23005155312011</v>
      </c>
      <c r="Y924">
        <v>460.078</v>
      </c>
      <c r="Z924">
        <v>1.2498641299909</v>
      </c>
      <c r="AA924">
        <v>460.078</v>
      </c>
      <c r="AB924">
        <v>1.26347603901056</v>
      </c>
      <c r="AC924">
        <v>460.078</v>
      </c>
      <c r="AD924">
        <v>1.27971754559923</v>
      </c>
      <c r="AE924">
        <v>460.078</v>
      </c>
      <c r="AF924">
        <v>1.23346072595389</v>
      </c>
    </row>
    <row r="925" spans="23:32">
      <c r="W925">
        <v>460.577</v>
      </c>
      <c r="X925">
        <v>1.23012967192676</v>
      </c>
      <c r="Y925">
        <v>460.577</v>
      </c>
      <c r="Z925">
        <v>1.25254027372125</v>
      </c>
      <c r="AA925">
        <v>460.577</v>
      </c>
      <c r="AB925">
        <v>1.26035607610682</v>
      </c>
      <c r="AC925">
        <v>460.577</v>
      </c>
      <c r="AD925">
        <v>1.2705255515879</v>
      </c>
      <c r="AE925">
        <v>460.577</v>
      </c>
      <c r="AF925">
        <v>1.22570401982025</v>
      </c>
    </row>
    <row r="926" spans="23:32">
      <c r="W926">
        <v>461.076</v>
      </c>
      <c r="X926">
        <v>1.23225173536375</v>
      </c>
      <c r="Y926">
        <v>461.076</v>
      </c>
      <c r="Z926">
        <v>1.25627342899816</v>
      </c>
      <c r="AA926">
        <v>461.076</v>
      </c>
      <c r="AB926">
        <v>1.24979988456118</v>
      </c>
      <c r="AC926">
        <v>461.076</v>
      </c>
      <c r="AD926">
        <v>1.27108690669947</v>
      </c>
      <c r="AE926">
        <v>461.076</v>
      </c>
      <c r="AF926">
        <v>1.2218462535553</v>
      </c>
    </row>
    <row r="927" spans="23:32">
      <c r="W927">
        <v>461.575</v>
      </c>
      <c r="X927">
        <v>1.22760740180153</v>
      </c>
      <c r="Y927">
        <v>461.575</v>
      </c>
      <c r="Z927">
        <v>1.25979836486474</v>
      </c>
      <c r="AA927">
        <v>461.575</v>
      </c>
      <c r="AB927">
        <v>1.25967887054055</v>
      </c>
      <c r="AC927">
        <v>461.575</v>
      </c>
      <c r="AD927">
        <v>1.26669421444413</v>
      </c>
      <c r="AE927">
        <v>461.575</v>
      </c>
      <c r="AF927">
        <v>1.21870866430965</v>
      </c>
    </row>
    <row r="928" spans="23:32">
      <c r="W928">
        <v>462.074</v>
      </c>
      <c r="X928">
        <v>1.22696355296871</v>
      </c>
      <c r="Y928">
        <v>462.074</v>
      </c>
      <c r="Z928">
        <v>1.2524663014403</v>
      </c>
      <c r="AA928">
        <v>462.074</v>
      </c>
      <c r="AB928">
        <v>1.25767243172823</v>
      </c>
      <c r="AC928">
        <v>462.074</v>
      </c>
      <c r="AD928">
        <v>1.26595496099497</v>
      </c>
      <c r="AE928">
        <v>462.074</v>
      </c>
      <c r="AF928">
        <v>1.22415928417726</v>
      </c>
    </row>
    <row r="929" spans="23:32">
      <c r="W929">
        <v>462.573</v>
      </c>
      <c r="X929">
        <v>1.22471011179789</v>
      </c>
      <c r="Y929">
        <v>462.573</v>
      </c>
      <c r="Z929">
        <v>1.25179173805056</v>
      </c>
      <c r="AA929">
        <v>462.573</v>
      </c>
      <c r="AB929">
        <v>1.25952720321614</v>
      </c>
      <c r="AC929">
        <v>462.573</v>
      </c>
      <c r="AD929">
        <v>1.26959538918351</v>
      </c>
      <c r="AE929">
        <v>462.573</v>
      </c>
      <c r="AF929">
        <v>1.22734165011428</v>
      </c>
    </row>
    <row r="930" spans="23:32">
      <c r="W930">
        <v>463.072</v>
      </c>
      <c r="X930">
        <v>1.22602105563737</v>
      </c>
      <c r="Y930">
        <v>463.072</v>
      </c>
      <c r="Z930">
        <v>1.24651957871585</v>
      </c>
      <c r="AA930">
        <v>463.072</v>
      </c>
      <c r="AB930">
        <v>1.25874626155022</v>
      </c>
      <c r="AC930">
        <v>463.072</v>
      </c>
      <c r="AD930">
        <v>1.27377307751757</v>
      </c>
      <c r="AE930">
        <v>463.072</v>
      </c>
      <c r="AF930">
        <v>1.22517789056938</v>
      </c>
    </row>
    <row r="931" spans="23:32">
      <c r="W931">
        <v>463.571</v>
      </c>
      <c r="X931">
        <v>1.2298557470309</v>
      </c>
      <c r="Y931">
        <v>463.571</v>
      </c>
      <c r="Z931">
        <v>1.24981804590676</v>
      </c>
      <c r="AA931">
        <v>463.571</v>
      </c>
      <c r="AB931">
        <v>1.2535105479463</v>
      </c>
      <c r="AC931">
        <v>463.571</v>
      </c>
      <c r="AD931">
        <v>1.27211404293084</v>
      </c>
      <c r="AE931">
        <v>463.571</v>
      </c>
      <c r="AF931">
        <v>1.22658110634799</v>
      </c>
    </row>
    <row r="932" spans="23:32">
      <c r="W932">
        <v>464.07</v>
      </c>
      <c r="X932">
        <v>1.22557521821092</v>
      </c>
      <c r="Y932">
        <v>464.07</v>
      </c>
      <c r="Z932">
        <v>1.25638760039347</v>
      </c>
      <c r="AA932">
        <v>464.07</v>
      </c>
      <c r="AB932">
        <v>1.25861364168957</v>
      </c>
      <c r="AC932">
        <v>464.07</v>
      </c>
      <c r="AD932">
        <v>1.27356846463709</v>
      </c>
      <c r="AE932">
        <v>464.07</v>
      </c>
      <c r="AF932">
        <v>1.22216666482354</v>
      </c>
    </row>
    <row r="933" spans="23:32">
      <c r="W933">
        <v>464.569</v>
      </c>
      <c r="X933">
        <v>1.22923810136282</v>
      </c>
      <c r="Y933">
        <v>464.569</v>
      </c>
      <c r="Z933">
        <v>1.2492964557189</v>
      </c>
      <c r="AA933">
        <v>464.569</v>
      </c>
      <c r="AB933">
        <v>1.25437233593426</v>
      </c>
      <c r="AC933">
        <v>464.569</v>
      </c>
      <c r="AD933">
        <v>1.27050803817802</v>
      </c>
      <c r="AE933">
        <v>464.569</v>
      </c>
      <c r="AF933">
        <v>1.21996184896525</v>
      </c>
    </row>
    <row r="934" spans="23:32">
      <c r="W934">
        <v>465.068</v>
      </c>
      <c r="X934">
        <v>1.23210581355088</v>
      </c>
      <c r="Y934">
        <v>465.068</v>
      </c>
      <c r="Z934">
        <v>1.25342247725077</v>
      </c>
      <c r="AA934">
        <v>465.068</v>
      </c>
      <c r="AB934">
        <v>1.25928388136787</v>
      </c>
      <c r="AC934">
        <v>465.068</v>
      </c>
      <c r="AD934">
        <v>1.26581316947886</v>
      </c>
      <c r="AE934">
        <v>465.068</v>
      </c>
      <c r="AF934">
        <v>1.22912609205242</v>
      </c>
    </row>
    <row r="935" spans="23:32">
      <c r="W935">
        <v>465.567</v>
      </c>
      <c r="X935">
        <v>1.23644166473475</v>
      </c>
      <c r="Y935">
        <v>465.567</v>
      </c>
      <c r="Z935">
        <v>1.25750753298779</v>
      </c>
      <c r="AA935">
        <v>465.567</v>
      </c>
      <c r="AB935">
        <v>1.25329495392131</v>
      </c>
      <c r="AC935">
        <v>465.567</v>
      </c>
      <c r="AD935">
        <v>1.26927044755682</v>
      </c>
      <c r="AE935">
        <v>465.567</v>
      </c>
      <c r="AF935">
        <v>1.22487396297626</v>
      </c>
    </row>
    <row r="936" spans="23:32">
      <c r="W936">
        <v>466.066</v>
      </c>
      <c r="X936">
        <v>1.2319392302682</v>
      </c>
      <c r="Y936">
        <v>466.066</v>
      </c>
      <c r="Z936">
        <v>1.25246729255417</v>
      </c>
      <c r="AA936">
        <v>466.066</v>
      </c>
      <c r="AB936">
        <v>1.25281350165829</v>
      </c>
      <c r="AC936">
        <v>466.066</v>
      </c>
      <c r="AD936">
        <v>1.27420796635676</v>
      </c>
      <c r="AE936">
        <v>466.066</v>
      </c>
      <c r="AF936">
        <v>1.22254022340997</v>
      </c>
    </row>
    <row r="937" spans="23:32">
      <c r="W937">
        <v>466.565</v>
      </c>
      <c r="X937">
        <v>1.2235193270179</v>
      </c>
      <c r="Y937">
        <v>466.565</v>
      </c>
      <c r="Z937">
        <v>1.25284009715082</v>
      </c>
      <c r="AA937">
        <v>466.565</v>
      </c>
      <c r="AB937">
        <v>1.25749930254432</v>
      </c>
      <c r="AC937">
        <v>466.565</v>
      </c>
      <c r="AD937">
        <v>1.2692156531488</v>
      </c>
      <c r="AE937">
        <v>466.565</v>
      </c>
      <c r="AF937">
        <v>1.22857544634938</v>
      </c>
    </row>
    <row r="938" spans="23:32">
      <c r="W938">
        <v>467.064</v>
      </c>
      <c r="X938">
        <v>1.22908099671671</v>
      </c>
      <c r="Y938">
        <v>467.064</v>
      </c>
      <c r="Z938">
        <v>1.25196361237868</v>
      </c>
      <c r="AA938">
        <v>467.064</v>
      </c>
      <c r="AB938">
        <v>1.26008714732208</v>
      </c>
      <c r="AC938">
        <v>467.064</v>
      </c>
      <c r="AD938">
        <v>1.27196230110018</v>
      </c>
      <c r="AE938">
        <v>467.064</v>
      </c>
      <c r="AF938">
        <v>1.222617933109</v>
      </c>
    </row>
    <row r="939" spans="23:32">
      <c r="W939">
        <v>467.563</v>
      </c>
      <c r="X939">
        <v>1.22486589599644</v>
      </c>
      <c r="Y939">
        <v>467.563</v>
      </c>
      <c r="Z939">
        <v>1.24474446463673</v>
      </c>
      <c r="AA939">
        <v>467.563</v>
      </c>
      <c r="AB939">
        <v>1.25462777388259</v>
      </c>
      <c r="AC939">
        <v>467.563</v>
      </c>
      <c r="AD939">
        <v>1.26242473524438</v>
      </c>
      <c r="AE939">
        <v>467.563</v>
      </c>
      <c r="AF939">
        <v>1.2290668554715</v>
      </c>
    </row>
    <row r="940" spans="23:32">
      <c r="W940">
        <v>468.062</v>
      </c>
      <c r="X940">
        <v>1.23484923774643</v>
      </c>
      <c r="Y940">
        <v>468.062</v>
      </c>
      <c r="Z940">
        <v>1.24548145741451</v>
      </c>
      <c r="AA940">
        <v>468.062</v>
      </c>
      <c r="AB940">
        <v>1.26112863104222</v>
      </c>
      <c r="AC940">
        <v>468.062</v>
      </c>
      <c r="AD940">
        <v>1.26915801450523</v>
      </c>
      <c r="AE940">
        <v>468.062</v>
      </c>
      <c r="AF940">
        <v>1.21957160459685</v>
      </c>
    </row>
    <row r="941" spans="23:32">
      <c r="W941">
        <v>468.561</v>
      </c>
      <c r="X941">
        <v>1.23379239940814</v>
      </c>
      <c r="Y941">
        <v>468.561</v>
      </c>
      <c r="Z941">
        <v>1.24854796972099</v>
      </c>
      <c r="AA941">
        <v>468.561</v>
      </c>
      <c r="AB941">
        <v>1.25547126687672</v>
      </c>
      <c r="AC941">
        <v>468.561</v>
      </c>
      <c r="AD941">
        <v>1.27460054015205</v>
      </c>
      <c r="AE941">
        <v>468.561</v>
      </c>
      <c r="AF941">
        <v>1.2199126763022</v>
      </c>
    </row>
    <row r="942" spans="23:32">
      <c r="W942">
        <v>469.06</v>
      </c>
      <c r="X942">
        <v>1.22174538832935</v>
      </c>
      <c r="Y942">
        <v>469.06</v>
      </c>
      <c r="Z942">
        <v>1.25212013234851</v>
      </c>
      <c r="AA942">
        <v>469.06</v>
      </c>
      <c r="AB942">
        <v>1.25972911920469</v>
      </c>
      <c r="AC942">
        <v>469.06</v>
      </c>
      <c r="AD942">
        <v>1.2653943782339</v>
      </c>
      <c r="AE942">
        <v>469.06</v>
      </c>
      <c r="AF942">
        <v>1.22752306708761</v>
      </c>
    </row>
    <row r="943" spans="23:32">
      <c r="W943">
        <v>469.559</v>
      </c>
      <c r="X943">
        <v>1.22764090556166</v>
      </c>
      <c r="Y943">
        <v>469.559</v>
      </c>
      <c r="Z943">
        <v>1.25812439866588</v>
      </c>
      <c r="AA943">
        <v>469.559</v>
      </c>
      <c r="AB943">
        <v>1.25900692639906</v>
      </c>
      <c r="AC943">
        <v>469.559</v>
      </c>
      <c r="AD943">
        <v>1.27033512215852</v>
      </c>
      <c r="AE943">
        <v>469.559</v>
      </c>
      <c r="AF943">
        <v>1.22386453563813</v>
      </c>
    </row>
    <row r="944" spans="23:32">
      <c r="W944">
        <v>470.058</v>
      </c>
      <c r="X944">
        <v>1.22766334793114</v>
      </c>
      <c r="Y944">
        <v>470.058</v>
      </c>
      <c r="Z944">
        <v>1.25340362873662</v>
      </c>
      <c r="AA944">
        <v>470.058</v>
      </c>
      <c r="AB944">
        <v>1.25936844180015</v>
      </c>
      <c r="AC944">
        <v>470.058</v>
      </c>
      <c r="AD944">
        <v>1.27967636705623</v>
      </c>
      <c r="AE944">
        <v>470.058</v>
      </c>
      <c r="AF944">
        <v>1.22669772473984</v>
      </c>
    </row>
    <row r="945" spans="23:32">
      <c r="W945">
        <v>470.557</v>
      </c>
      <c r="X945">
        <v>1.23139540461921</v>
      </c>
      <c r="Y945">
        <v>470.557</v>
      </c>
      <c r="Z945">
        <v>1.25366983195659</v>
      </c>
      <c r="AA945">
        <v>470.557</v>
      </c>
      <c r="AB945">
        <v>1.25438506377741</v>
      </c>
      <c r="AC945">
        <v>470.557</v>
      </c>
      <c r="AD945">
        <v>1.26582619526143</v>
      </c>
      <c r="AE945">
        <v>470.557</v>
      </c>
      <c r="AF945">
        <v>1.22519627731664</v>
      </c>
    </row>
    <row r="946" spans="23:32">
      <c r="W946">
        <v>471.056</v>
      </c>
      <c r="X946">
        <v>1.22156001987519</v>
      </c>
      <c r="Y946">
        <v>471.056</v>
      </c>
      <c r="Z946">
        <v>1.25503108803911</v>
      </c>
      <c r="AA946">
        <v>471.056</v>
      </c>
      <c r="AB946">
        <v>1.24969081298138</v>
      </c>
      <c r="AC946">
        <v>471.056</v>
      </c>
      <c r="AD946">
        <v>1.27514553134484</v>
      </c>
      <c r="AE946">
        <v>471.056</v>
      </c>
      <c r="AF946">
        <v>1.22307187884636</v>
      </c>
    </row>
    <row r="947" spans="23:32">
      <c r="W947">
        <v>471.555</v>
      </c>
      <c r="X947">
        <v>1.22850343164426</v>
      </c>
      <c r="Y947">
        <v>471.555</v>
      </c>
      <c r="Z947">
        <v>1.25014840976871</v>
      </c>
      <c r="AA947">
        <v>471.555</v>
      </c>
      <c r="AB947">
        <v>1.25847320750752</v>
      </c>
      <c r="AC947">
        <v>471.555</v>
      </c>
      <c r="AD947">
        <v>1.27397123143439</v>
      </c>
      <c r="AE947">
        <v>471.555</v>
      </c>
      <c r="AF947">
        <v>1.21854520085231</v>
      </c>
    </row>
    <row r="948" spans="23:32">
      <c r="W948">
        <v>472.054</v>
      </c>
      <c r="X948">
        <v>1.2332368790053</v>
      </c>
      <c r="Y948">
        <v>472.054</v>
      </c>
      <c r="Z948">
        <v>1.24151027335544</v>
      </c>
      <c r="AA948">
        <v>472.054</v>
      </c>
      <c r="AB948">
        <v>1.25408141007447</v>
      </c>
      <c r="AC948">
        <v>472.054</v>
      </c>
      <c r="AD948">
        <v>1.2758566379332</v>
      </c>
      <c r="AE948">
        <v>472.054</v>
      </c>
      <c r="AF948">
        <v>1.22939184299156</v>
      </c>
    </row>
    <row r="949" spans="23:32">
      <c r="W949">
        <v>472.553</v>
      </c>
      <c r="X949">
        <v>1.22875910359208</v>
      </c>
      <c r="Y949">
        <v>472.553</v>
      </c>
      <c r="Z949">
        <v>1.24312868732194</v>
      </c>
      <c r="AA949">
        <v>472.553</v>
      </c>
      <c r="AB949">
        <v>1.26255680972375</v>
      </c>
      <c r="AC949">
        <v>472.553</v>
      </c>
      <c r="AD949">
        <v>1.26859193467101</v>
      </c>
      <c r="AE949">
        <v>472.553</v>
      </c>
      <c r="AF949">
        <v>1.22303253880184</v>
      </c>
    </row>
    <row r="950" spans="23:32">
      <c r="W950">
        <v>473.052</v>
      </c>
      <c r="X950">
        <v>1.22630270404345</v>
      </c>
      <c r="Y950">
        <v>473.052</v>
      </c>
      <c r="Z950">
        <v>1.24766217601246</v>
      </c>
      <c r="AA950">
        <v>473.052</v>
      </c>
      <c r="AB950">
        <v>1.26408732079868</v>
      </c>
      <c r="AC950">
        <v>473.052</v>
      </c>
      <c r="AD950">
        <v>1.2674744476937</v>
      </c>
      <c r="AE950">
        <v>473.052</v>
      </c>
      <c r="AF950">
        <v>1.21479906664357</v>
      </c>
    </row>
    <row r="951" spans="23:32">
      <c r="W951">
        <v>473.551</v>
      </c>
      <c r="X951">
        <v>1.22924537802079</v>
      </c>
      <c r="Y951">
        <v>473.551</v>
      </c>
      <c r="Z951">
        <v>1.24999704863734</v>
      </c>
      <c r="AA951">
        <v>473.551</v>
      </c>
      <c r="AB951">
        <v>1.26128701684432</v>
      </c>
      <c r="AC951">
        <v>473.551</v>
      </c>
      <c r="AD951">
        <v>1.27431949709554</v>
      </c>
      <c r="AE951">
        <v>473.551</v>
      </c>
      <c r="AF951">
        <v>1.22203371849929</v>
      </c>
    </row>
    <row r="952" spans="23:32">
      <c r="W952">
        <v>474.05</v>
      </c>
      <c r="X952">
        <v>1.23728912486608</v>
      </c>
      <c r="Y952">
        <v>474.05</v>
      </c>
      <c r="Z952">
        <v>1.25049056971085</v>
      </c>
      <c r="AA952">
        <v>474.05</v>
      </c>
      <c r="AB952">
        <v>1.25292606518283</v>
      </c>
      <c r="AC952">
        <v>474.05</v>
      </c>
      <c r="AD952">
        <v>1.27021597930152</v>
      </c>
      <c r="AE952">
        <v>474.05</v>
      </c>
      <c r="AF952">
        <v>1.23119026903594</v>
      </c>
    </row>
    <row r="953" spans="23:32">
      <c r="W953">
        <v>474.549</v>
      </c>
      <c r="X953">
        <v>1.22503943818823</v>
      </c>
      <c r="Y953">
        <v>474.549</v>
      </c>
      <c r="Z953">
        <v>1.25347629892367</v>
      </c>
      <c r="AA953">
        <v>474.549</v>
      </c>
      <c r="AB953">
        <v>1.26189055548705</v>
      </c>
      <c r="AC953">
        <v>474.549</v>
      </c>
      <c r="AD953">
        <v>1.27058408554138</v>
      </c>
      <c r="AE953">
        <v>474.549</v>
      </c>
      <c r="AF953">
        <v>1.22142389821111</v>
      </c>
    </row>
    <row r="954" spans="23:32">
      <c r="W954">
        <v>475.048</v>
      </c>
      <c r="X954">
        <v>1.23051292861044</v>
      </c>
      <c r="Y954">
        <v>475.048</v>
      </c>
      <c r="Z954">
        <v>1.24790663044143</v>
      </c>
      <c r="AA954">
        <v>475.048</v>
      </c>
      <c r="AB954">
        <v>1.2517396473671</v>
      </c>
      <c r="AC954">
        <v>475.048</v>
      </c>
      <c r="AD954">
        <v>1.2694439896996</v>
      </c>
      <c r="AE954">
        <v>475.048</v>
      </c>
      <c r="AF954">
        <v>1.21859489447683</v>
      </c>
    </row>
    <row r="955" spans="23:32">
      <c r="W955">
        <v>475.547</v>
      </c>
      <c r="X955">
        <v>1.2312862664521</v>
      </c>
      <c r="Y955">
        <v>475.547</v>
      </c>
      <c r="Z955">
        <v>1.25135780625958</v>
      </c>
      <c r="AA955">
        <v>475.547</v>
      </c>
      <c r="AB955">
        <v>1.25666156478096</v>
      </c>
      <c r="AC955">
        <v>475.547</v>
      </c>
      <c r="AD955">
        <v>1.27119199902069</v>
      </c>
      <c r="AE955">
        <v>475.547</v>
      </c>
      <c r="AF955">
        <v>1.22267887316921</v>
      </c>
    </row>
    <row r="956" spans="23:32">
      <c r="W956">
        <v>476.046</v>
      </c>
      <c r="X956">
        <v>1.23001909920817</v>
      </c>
      <c r="Y956">
        <v>476.046</v>
      </c>
      <c r="Z956">
        <v>1.25237919033787</v>
      </c>
      <c r="AA956">
        <v>476.046</v>
      </c>
      <c r="AB956">
        <v>1.25511568318435</v>
      </c>
      <c r="AC956">
        <v>476.046</v>
      </c>
      <c r="AD956">
        <v>1.26378194812026</v>
      </c>
      <c r="AE956">
        <v>476.046</v>
      </c>
      <c r="AF956">
        <v>1.21768769158282</v>
      </c>
    </row>
    <row r="957" spans="23:32">
      <c r="W957">
        <v>476.545</v>
      </c>
      <c r="X957">
        <v>1.22809545706232</v>
      </c>
      <c r="Y957">
        <v>476.545</v>
      </c>
      <c r="Z957">
        <v>1.25300393818798</v>
      </c>
      <c r="AA957">
        <v>476.545</v>
      </c>
      <c r="AB957">
        <v>1.25200388720562</v>
      </c>
      <c r="AC957">
        <v>476.545</v>
      </c>
      <c r="AD957">
        <v>1.27105837865472</v>
      </c>
      <c r="AE957">
        <v>476.545</v>
      </c>
      <c r="AF957">
        <v>1.22430359020402</v>
      </c>
    </row>
    <row r="958" spans="23:32">
      <c r="W958">
        <v>477.044</v>
      </c>
      <c r="X958">
        <v>1.22577401205655</v>
      </c>
      <c r="Y958">
        <v>477.044</v>
      </c>
      <c r="Z958">
        <v>1.23946329088078</v>
      </c>
      <c r="AA958">
        <v>477.044</v>
      </c>
      <c r="AB958">
        <v>1.2474089997989</v>
      </c>
      <c r="AC958">
        <v>477.044</v>
      </c>
      <c r="AD958">
        <v>1.27292912659655</v>
      </c>
      <c r="AE958">
        <v>477.044</v>
      </c>
      <c r="AF958">
        <v>1.22618025274059</v>
      </c>
    </row>
    <row r="959" spans="23:32">
      <c r="W959">
        <v>477.543</v>
      </c>
      <c r="X959">
        <v>1.23241369763613</v>
      </c>
      <c r="Y959">
        <v>477.543</v>
      </c>
      <c r="Z959">
        <v>1.25138699872127</v>
      </c>
      <c r="AA959">
        <v>477.543</v>
      </c>
      <c r="AB959">
        <v>1.24749075074258</v>
      </c>
      <c r="AC959">
        <v>477.543</v>
      </c>
      <c r="AD959">
        <v>1.26528542439604</v>
      </c>
      <c r="AE959">
        <v>477.543</v>
      </c>
      <c r="AF959">
        <v>1.21788403887437</v>
      </c>
    </row>
    <row r="960" spans="23:32">
      <c r="W960">
        <v>478.042</v>
      </c>
      <c r="X960">
        <v>1.23289297193261</v>
      </c>
      <c r="Y960">
        <v>478.042</v>
      </c>
      <c r="Z960">
        <v>1.24789801981777</v>
      </c>
      <c r="AA960">
        <v>478.042</v>
      </c>
      <c r="AB960">
        <v>1.25564336833168</v>
      </c>
      <c r="AC960">
        <v>478.042</v>
      </c>
      <c r="AD960">
        <v>1.27984167591872</v>
      </c>
      <c r="AE960">
        <v>478.042</v>
      </c>
      <c r="AF960">
        <v>1.22427037346023</v>
      </c>
    </row>
    <row r="961" spans="23:32">
      <c r="W961">
        <v>478.541</v>
      </c>
      <c r="X961">
        <v>1.23096152205246</v>
      </c>
      <c r="Y961">
        <v>478.541</v>
      </c>
      <c r="Z961">
        <v>1.24273470785804</v>
      </c>
      <c r="AA961">
        <v>478.541</v>
      </c>
      <c r="AB961">
        <v>1.25476556846522</v>
      </c>
      <c r="AC961">
        <v>478.541</v>
      </c>
      <c r="AD961">
        <v>1.27058726701859</v>
      </c>
      <c r="AE961">
        <v>478.541</v>
      </c>
      <c r="AF961">
        <v>1.22607698707871</v>
      </c>
    </row>
    <row r="962" spans="23:32">
      <c r="W962">
        <v>479.04</v>
      </c>
      <c r="X962">
        <v>1.22804599980205</v>
      </c>
      <c r="Y962">
        <v>479.04</v>
      </c>
      <c r="Z962">
        <v>1.25002040253059</v>
      </c>
      <c r="AA962">
        <v>479.04</v>
      </c>
      <c r="AB962">
        <v>1.24749420031807</v>
      </c>
      <c r="AC962">
        <v>479.04</v>
      </c>
      <c r="AD962">
        <v>1.26250245247557</v>
      </c>
      <c r="AE962">
        <v>479.04</v>
      </c>
      <c r="AF962">
        <v>1.21654716967695</v>
      </c>
    </row>
    <row r="963" spans="23:32">
      <c r="W963">
        <v>479.539</v>
      </c>
      <c r="X963">
        <v>1.229714327862</v>
      </c>
      <c r="Y963">
        <v>479.539</v>
      </c>
      <c r="Z963">
        <v>1.24555122267476</v>
      </c>
      <c r="AA963">
        <v>479.539</v>
      </c>
      <c r="AB963">
        <v>1.24505451048375</v>
      </c>
      <c r="AC963">
        <v>479.539</v>
      </c>
      <c r="AD963">
        <v>1.27818333012151</v>
      </c>
      <c r="AE963">
        <v>479.539</v>
      </c>
      <c r="AF963">
        <v>1.21874971518958</v>
      </c>
    </row>
    <row r="964" spans="23:32">
      <c r="W964">
        <v>480.038</v>
      </c>
      <c r="X964">
        <v>1.22706554392248</v>
      </c>
      <c r="Y964">
        <v>480.038</v>
      </c>
      <c r="Z964">
        <v>1.24482309615868</v>
      </c>
      <c r="AA964">
        <v>480.038</v>
      </c>
      <c r="AB964">
        <v>1.25609594109401</v>
      </c>
      <c r="AC964">
        <v>480.038</v>
      </c>
      <c r="AD964">
        <v>1.27582516408431</v>
      </c>
      <c r="AE964">
        <v>480.038</v>
      </c>
      <c r="AF964">
        <v>1.22129877583324</v>
      </c>
    </row>
    <row r="965" spans="23:32">
      <c r="W965">
        <v>480.537</v>
      </c>
      <c r="X965">
        <v>1.2357361875162</v>
      </c>
      <c r="Y965">
        <v>480.537</v>
      </c>
      <c r="Z965">
        <v>1.24472350332936</v>
      </c>
      <c r="AA965">
        <v>480.537</v>
      </c>
      <c r="AB965">
        <v>1.25926039040701</v>
      </c>
      <c r="AC965">
        <v>480.537</v>
      </c>
      <c r="AD965">
        <v>1.27279460938941</v>
      </c>
      <c r="AE965">
        <v>480.537</v>
      </c>
      <c r="AF965">
        <v>1.22373724435577</v>
      </c>
    </row>
    <row r="966" spans="23:32">
      <c r="W966">
        <v>481.036</v>
      </c>
      <c r="X966">
        <v>1.22212231012071</v>
      </c>
      <c r="Y966">
        <v>481.036</v>
      </c>
      <c r="Z966">
        <v>1.24447856907258</v>
      </c>
      <c r="AA966">
        <v>481.036</v>
      </c>
      <c r="AB966">
        <v>1.24670368000201</v>
      </c>
      <c r="AC966">
        <v>481.036</v>
      </c>
      <c r="AD966">
        <v>1.28143946147643</v>
      </c>
      <c r="AE966">
        <v>481.036</v>
      </c>
      <c r="AF966">
        <v>1.23400472111131</v>
      </c>
    </row>
    <row r="967" spans="23:32">
      <c r="W967">
        <v>481.535</v>
      </c>
      <c r="X967">
        <v>1.22885350197283</v>
      </c>
      <c r="Y967">
        <v>481.535</v>
      </c>
      <c r="Z967">
        <v>1.2551248476316</v>
      </c>
      <c r="AA967">
        <v>481.535</v>
      </c>
      <c r="AB967">
        <v>1.2565858751761</v>
      </c>
      <c r="AC967">
        <v>481.535</v>
      </c>
      <c r="AD967">
        <v>1.27042917012922</v>
      </c>
      <c r="AE967">
        <v>481.535</v>
      </c>
      <c r="AF967">
        <v>1.22973675760162</v>
      </c>
    </row>
    <row r="968" spans="23:32">
      <c r="W968">
        <v>482.034</v>
      </c>
      <c r="X968">
        <v>1.2278727507974</v>
      </c>
      <c r="Y968">
        <v>482.034</v>
      </c>
      <c r="Z968">
        <v>1.24726019539238</v>
      </c>
      <c r="AA968">
        <v>482.034</v>
      </c>
      <c r="AB968">
        <v>1.25818480281069</v>
      </c>
      <c r="AC968">
        <v>482.034</v>
      </c>
      <c r="AD968">
        <v>1.26810732920753</v>
      </c>
      <c r="AE968">
        <v>482.034</v>
      </c>
      <c r="AF968">
        <v>1.22187570992712</v>
      </c>
    </row>
    <row r="969" spans="23:32">
      <c r="W969">
        <v>482.533</v>
      </c>
      <c r="X969">
        <v>1.22076925356683</v>
      </c>
      <c r="Y969">
        <v>482.533</v>
      </c>
      <c r="Z969">
        <v>1.24921381159156</v>
      </c>
      <c r="AA969">
        <v>482.533</v>
      </c>
      <c r="AB969">
        <v>1.25378279436053</v>
      </c>
      <c r="AC969">
        <v>482.533</v>
      </c>
      <c r="AD969">
        <v>1.26862083431878</v>
      </c>
      <c r="AE969">
        <v>482.533</v>
      </c>
      <c r="AF969">
        <v>1.22357144269478</v>
      </c>
    </row>
    <row r="970" spans="23:32">
      <c r="W970">
        <v>483.032</v>
      </c>
      <c r="X970">
        <v>1.21904819569919</v>
      </c>
      <c r="Y970">
        <v>483.032</v>
      </c>
      <c r="Z970">
        <v>1.24923526838986</v>
      </c>
      <c r="AA970">
        <v>483.032</v>
      </c>
      <c r="AB970">
        <v>1.25597863938409</v>
      </c>
      <c r="AC970">
        <v>483.032</v>
      </c>
      <c r="AD970">
        <v>1.27225480509959</v>
      </c>
      <c r="AE970">
        <v>483.032</v>
      </c>
      <c r="AF970">
        <v>1.22602580514572</v>
      </c>
    </row>
    <row r="971" spans="23:32">
      <c r="W971">
        <v>483.531</v>
      </c>
      <c r="X971">
        <v>1.22360928663534</v>
      </c>
      <c r="Y971">
        <v>483.531</v>
      </c>
      <c r="Z971">
        <v>1.2496009237581</v>
      </c>
      <c r="AA971">
        <v>483.531</v>
      </c>
      <c r="AB971">
        <v>1.25003705225545</v>
      </c>
      <c r="AC971">
        <v>483.531</v>
      </c>
      <c r="AD971">
        <v>1.27839894802455</v>
      </c>
      <c r="AE971">
        <v>483.531</v>
      </c>
      <c r="AF971">
        <v>1.21932835689307</v>
      </c>
    </row>
    <row r="972" spans="23:32">
      <c r="W972">
        <v>484.03</v>
      </c>
      <c r="X972">
        <v>1.22668521845712</v>
      </c>
      <c r="Y972">
        <v>484.03</v>
      </c>
      <c r="Z972">
        <v>1.24770631886953</v>
      </c>
      <c r="AA972">
        <v>484.03</v>
      </c>
      <c r="AB972">
        <v>1.25411657903469</v>
      </c>
      <c r="AC972">
        <v>484.03</v>
      </c>
      <c r="AD972">
        <v>1.27522604330213</v>
      </c>
      <c r="AE972">
        <v>484.03</v>
      </c>
      <c r="AF972">
        <v>1.22731566900826</v>
      </c>
    </row>
    <row r="973" spans="23:32">
      <c r="W973">
        <v>484.529</v>
      </c>
      <c r="X973">
        <v>1.22399190581019</v>
      </c>
      <c r="Y973">
        <v>484.529</v>
      </c>
      <c r="Z973">
        <v>1.24949435356233</v>
      </c>
      <c r="AA973">
        <v>484.529</v>
      </c>
      <c r="AB973">
        <v>1.25726505466236</v>
      </c>
      <c r="AC973">
        <v>484.529</v>
      </c>
      <c r="AD973">
        <v>1.27298532770344</v>
      </c>
      <c r="AE973">
        <v>484.529</v>
      </c>
      <c r="AF973">
        <v>1.22861974158797</v>
      </c>
    </row>
    <row r="974" spans="23:32">
      <c r="W974">
        <v>485.028</v>
      </c>
      <c r="X974">
        <v>1.22727491944034</v>
      </c>
      <c r="Y974">
        <v>485.028</v>
      </c>
      <c r="Z974">
        <v>1.25302185874685</v>
      </c>
      <c r="AA974">
        <v>485.028</v>
      </c>
      <c r="AB974">
        <v>1.25490271962001</v>
      </c>
      <c r="AC974">
        <v>485.028</v>
      </c>
      <c r="AD974">
        <v>1.27380833534719</v>
      </c>
      <c r="AE974">
        <v>485.028</v>
      </c>
      <c r="AF974">
        <v>1.22630348430013</v>
      </c>
    </row>
    <row r="975" spans="23:32">
      <c r="W975">
        <v>485.527</v>
      </c>
      <c r="X975">
        <v>1.23131274508615</v>
      </c>
      <c r="Y975">
        <v>485.527</v>
      </c>
      <c r="Z975">
        <v>1.25049950604321</v>
      </c>
      <c r="AA975">
        <v>485.527</v>
      </c>
      <c r="AB975">
        <v>1.24996887736494</v>
      </c>
      <c r="AC975">
        <v>485.527</v>
      </c>
      <c r="AD975">
        <v>1.27633343978781</v>
      </c>
      <c r="AE975">
        <v>485.527</v>
      </c>
      <c r="AF975">
        <v>1.22606628971446</v>
      </c>
    </row>
    <row r="976" spans="23:32">
      <c r="W976">
        <v>486.026</v>
      </c>
      <c r="X976">
        <v>1.21992452007844</v>
      </c>
      <c r="Y976">
        <v>486.026</v>
      </c>
      <c r="Z976">
        <v>1.25247284204068</v>
      </c>
      <c r="AA976">
        <v>486.026</v>
      </c>
      <c r="AB976">
        <v>1.24536601415839</v>
      </c>
      <c r="AC976">
        <v>486.026</v>
      </c>
      <c r="AD976">
        <v>1.27178805465679</v>
      </c>
      <c r="AE976">
        <v>486.026</v>
      </c>
      <c r="AF976">
        <v>1.23570904546203</v>
      </c>
    </row>
    <row r="977" spans="23:32">
      <c r="W977">
        <v>486.525</v>
      </c>
      <c r="X977">
        <v>1.22193601359319</v>
      </c>
      <c r="Y977">
        <v>486.525</v>
      </c>
      <c r="Z977">
        <v>1.25635544551711</v>
      </c>
      <c r="AA977">
        <v>486.525</v>
      </c>
      <c r="AB977">
        <v>1.25412791642253</v>
      </c>
      <c r="AC977">
        <v>486.525</v>
      </c>
      <c r="AD977">
        <v>1.27646187395748</v>
      </c>
      <c r="AE977">
        <v>486.525</v>
      </c>
      <c r="AF977">
        <v>1.23532157623593</v>
      </c>
    </row>
    <row r="978" spans="23:32">
      <c r="W978">
        <v>487.024</v>
      </c>
      <c r="X978">
        <v>1.23202776556731</v>
      </c>
      <c r="Y978">
        <v>487.024</v>
      </c>
      <c r="Z978">
        <v>1.26278157095434</v>
      </c>
      <c r="AA978">
        <v>487.024</v>
      </c>
      <c r="AB978">
        <v>1.25539769668576</v>
      </c>
      <c r="AC978">
        <v>487.024</v>
      </c>
      <c r="AD978">
        <v>1.27448892026979</v>
      </c>
      <c r="AE978">
        <v>487.024</v>
      </c>
      <c r="AF978">
        <v>1.22648674223015</v>
      </c>
    </row>
    <row r="979" spans="23:32">
      <c r="W979">
        <v>487.523</v>
      </c>
      <c r="X979">
        <v>1.22361845857504</v>
      </c>
      <c r="Y979">
        <v>487.523</v>
      </c>
      <c r="Z979">
        <v>1.26154348135092</v>
      </c>
      <c r="AA979">
        <v>487.523</v>
      </c>
      <c r="AB979">
        <v>1.25945442005702</v>
      </c>
      <c r="AC979">
        <v>487.523</v>
      </c>
      <c r="AD979">
        <v>1.27394753957304</v>
      </c>
      <c r="AE979">
        <v>487.523</v>
      </c>
      <c r="AF979">
        <v>1.23180342950636</v>
      </c>
    </row>
    <row r="980" spans="23:32">
      <c r="W980">
        <v>488.022</v>
      </c>
      <c r="X980">
        <v>1.22605865472452</v>
      </c>
      <c r="Y980">
        <v>488.022</v>
      </c>
      <c r="Z980">
        <v>1.24794079304191</v>
      </c>
      <c r="AA980">
        <v>488.022</v>
      </c>
      <c r="AB980">
        <v>1.24922782489868</v>
      </c>
      <c r="AC980">
        <v>488.022</v>
      </c>
      <c r="AD980">
        <v>1.27791924847444</v>
      </c>
      <c r="AE980">
        <v>488.022</v>
      </c>
      <c r="AF980">
        <v>1.23287970920519</v>
      </c>
    </row>
    <row r="981" spans="23:32">
      <c r="W981">
        <v>488.521</v>
      </c>
      <c r="X981">
        <v>1.22905373660088</v>
      </c>
      <c r="Y981">
        <v>488.521</v>
      </c>
      <c r="Z981">
        <v>1.24791744514797</v>
      </c>
      <c r="AA981">
        <v>488.521</v>
      </c>
      <c r="AB981">
        <v>1.25882434880143</v>
      </c>
      <c r="AC981">
        <v>488.521</v>
      </c>
      <c r="AD981">
        <v>1.27820240841499</v>
      </c>
      <c r="AE981">
        <v>488.521</v>
      </c>
      <c r="AF981">
        <v>1.23607706842065</v>
      </c>
    </row>
    <row r="982" spans="23:32">
      <c r="W982">
        <v>489.02</v>
      </c>
      <c r="X982">
        <v>1.22421942680306</v>
      </c>
      <c r="Y982">
        <v>489.02</v>
      </c>
      <c r="Z982">
        <v>1.25187091494651</v>
      </c>
      <c r="AA982">
        <v>489.02</v>
      </c>
      <c r="AB982">
        <v>1.25346410108241</v>
      </c>
      <c r="AC982">
        <v>489.02</v>
      </c>
      <c r="AD982">
        <v>1.27487642595697</v>
      </c>
      <c r="AE982">
        <v>489.02</v>
      </c>
      <c r="AF982">
        <v>1.22627715984252</v>
      </c>
    </row>
    <row r="983" spans="23:32">
      <c r="W983">
        <v>489.519</v>
      </c>
      <c r="X983">
        <v>1.22318161316871</v>
      </c>
      <c r="Y983">
        <v>489.519</v>
      </c>
      <c r="Z983">
        <v>1.25307577723218</v>
      </c>
      <c r="AA983">
        <v>489.519</v>
      </c>
      <c r="AB983">
        <v>1.24886777438891</v>
      </c>
      <c r="AC983">
        <v>489.519</v>
      </c>
      <c r="AD983">
        <v>1.27564376118097</v>
      </c>
      <c r="AE983">
        <v>489.519</v>
      </c>
      <c r="AF983">
        <v>1.22864082706686</v>
      </c>
    </row>
    <row r="984" spans="23:32">
      <c r="W984">
        <v>490.018</v>
      </c>
      <c r="X984">
        <v>1.22834542004432</v>
      </c>
      <c r="Y984">
        <v>490.018</v>
      </c>
      <c r="Z984">
        <v>1.25025667471758</v>
      </c>
      <c r="AA984">
        <v>490.018</v>
      </c>
      <c r="AB984">
        <v>1.25711041455984</v>
      </c>
      <c r="AC984">
        <v>490.018</v>
      </c>
      <c r="AD984">
        <v>1.26899923770941</v>
      </c>
      <c r="AE984">
        <v>490.018</v>
      </c>
      <c r="AF984">
        <v>1.22882338291746</v>
      </c>
    </row>
    <row r="985" spans="23:32">
      <c r="W985">
        <v>490.517</v>
      </c>
      <c r="X985">
        <v>1.22696376866767</v>
      </c>
      <c r="Y985">
        <v>490.517</v>
      </c>
      <c r="Z985">
        <v>1.25294372246189</v>
      </c>
      <c r="AA985">
        <v>490.517</v>
      </c>
      <c r="AB985">
        <v>1.25054927398794</v>
      </c>
      <c r="AC985">
        <v>490.517</v>
      </c>
      <c r="AD985">
        <v>1.28280378355766</v>
      </c>
      <c r="AE985">
        <v>490.517</v>
      </c>
      <c r="AF985">
        <v>1.22659944161516</v>
      </c>
    </row>
    <row r="986" spans="23:32">
      <c r="W986">
        <v>491.016</v>
      </c>
      <c r="X986">
        <v>1.22996341274958</v>
      </c>
      <c r="Y986">
        <v>491.016</v>
      </c>
      <c r="Z986">
        <v>1.26176005356266</v>
      </c>
      <c r="AA986">
        <v>491.016</v>
      </c>
      <c r="AB986">
        <v>1.25210548454727</v>
      </c>
      <c r="AC986">
        <v>491.016</v>
      </c>
      <c r="AD986">
        <v>1.27362046364319</v>
      </c>
      <c r="AE986">
        <v>491.016</v>
      </c>
      <c r="AF986">
        <v>1.22642358344369</v>
      </c>
    </row>
    <row r="987" spans="23:32">
      <c r="W987">
        <v>491.515</v>
      </c>
      <c r="X987">
        <v>1.2286656928889</v>
      </c>
      <c r="Y987">
        <v>491.515</v>
      </c>
      <c r="Z987">
        <v>1.25390027274638</v>
      </c>
      <c r="AA987">
        <v>491.515</v>
      </c>
      <c r="AB987">
        <v>1.25742679858599</v>
      </c>
      <c r="AC987">
        <v>491.515</v>
      </c>
      <c r="AD987">
        <v>1.27293218744487</v>
      </c>
      <c r="AE987">
        <v>491.515</v>
      </c>
      <c r="AF987">
        <v>1.22732053631472</v>
      </c>
    </row>
    <row r="988" spans="23:32">
      <c r="W988">
        <v>492.014</v>
      </c>
      <c r="X988">
        <v>1.23243863934917</v>
      </c>
      <c r="Y988">
        <v>492.014</v>
      </c>
      <c r="Z988">
        <v>1.24476745084428</v>
      </c>
      <c r="AA988">
        <v>492.014</v>
      </c>
      <c r="AB988">
        <v>1.25017414217648</v>
      </c>
      <c r="AC988">
        <v>492.014</v>
      </c>
      <c r="AD988">
        <v>1.28352384902748</v>
      </c>
      <c r="AE988">
        <v>492.014</v>
      </c>
      <c r="AF988">
        <v>1.22683439675508</v>
      </c>
    </row>
    <row r="989" spans="23:32">
      <c r="W989">
        <v>492.513</v>
      </c>
      <c r="X989">
        <v>1.22304256575651</v>
      </c>
      <c r="Y989">
        <v>492.513</v>
      </c>
      <c r="Z989">
        <v>1.24975512277719</v>
      </c>
      <c r="AA989">
        <v>492.513</v>
      </c>
      <c r="AB989">
        <v>1.24975814794479</v>
      </c>
      <c r="AC989">
        <v>492.513</v>
      </c>
      <c r="AD989">
        <v>1.27555255253333</v>
      </c>
      <c r="AE989">
        <v>492.513</v>
      </c>
      <c r="AF989">
        <v>1.23248797764537</v>
      </c>
    </row>
    <row r="990" spans="23:32">
      <c r="W990">
        <v>493.012</v>
      </c>
      <c r="X990">
        <v>1.23471561973126</v>
      </c>
      <c r="Y990">
        <v>493.012</v>
      </c>
      <c r="Z990">
        <v>1.26014095671899</v>
      </c>
      <c r="AA990">
        <v>493.012</v>
      </c>
      <c r="AB990">
        <v>1.25536391336509</v>
      </c>
      <c r="AC990">
        <v>493.012</v>
      </c>
      <c r="AD990">
        <v>1.27894841982125</v>
      </c>
      <c r="AE990">
        <v>493.012</v>
      </c>
      <c r="AF990">
        <v>1.22797538982012</v>
      </c>
    </row>
    <row r="991" spans="23:32">
      <c r="W991">
        <v>493.511</v>
      </c>
      <c r="X991">
        <v>1.22617147141653</v>
      </c>
      <c r="Y991">
        <v>493.511</v>
      </c>
      <c r="Z991">
        <v>1.25302596371509</v>
      </c>
      <c r="AA991">
        <v>493.511</v>
      </c>
      <c r="AB991">
        <v>1.24867428731856</v>
      </c>
      <c r="AC991">
        <v>493.511</v>
      </c>
      <c r="AD991">
        <v>1.27584667668543</v>
      </c>
      <c r="AE991">
        <v>493.511</v>
      </c>
      <c r="AF991">
        <v>1.23009742021227</v>
      </c>
    </row>
    <row r="992" spans="23:32">
      <c r="W992">
        <v>494.01</v>
      </c>
      <c r="X992">
        <v>1.23186582529482</v>
      </c>
      <c r="Y992">
        <v>494.01</v>
      </c>
      <c r="Z992">
        <v>1.25862244036874</v>
      </c>
      <c r="AA992">
        <v>494.01</v>
      </c>
      <c r="AB992">
        <v>1.25003376947431</v>
      </c>
      <c r="AC992">
        <v>494.01</v>
      </c>
      <c r="AD992">
        <v>1.27116858257762</v>
      </c>
      <c r="AE992">
        <v>494.01</v>
      </c>
      <c r="AF992">
        <v>1.22645044128637</v>
      </c>
    </row>
    <row r="993" spans="23:32">
      <c r="W993">
        <v>494.509</v>
      </c>
      <c r="X993">
        <v>1.22605410357804</v>
      </c>
      <c r="Y993">
        <v>494.509</v>
      </c>
      <c r="Z993">
        <v>1.25178390251533</v>
      </c>
      <c r="AA993">
        <v>494.509</v>
      </c>
      <c r="AB993">
        <v>1.2546590093447</v>
      </c>
      <c r="AC993">
        <v>494.509</v>
      </c>
      <c r="AD993">
        <v>1.26016464051974</v>
      </c>
      <c r="AE993">
        <v>494.509</v>
      </c>
      <c r="AF993">
        <v>1.22631815780297</v>
      </c>
    </row>
    <row r="994" spans="23:32">
      <c r="W994">
        <v>495.008</v>
      </c>
      <c r="X994">
        <v>1.23276199414336</v>
      </c>
      <c r="Y994">
        <v>495.008</v>
      </c>
      <c r="Z994">
        <v>1.24679580744665</v>
      </c>
      <c r="AA994">
        <v>495.008</v>
      </c>
      <c r="AB994">
        <v>1.25310655883048</v>
      </c>
      <c r="AC994">
        <v>495.008</v>
      </c>
      <c r="AD994">
        <v>1.26709193405228</v>
      </c>
      <c r="AE994">
        <v>495.008</v>
      </c>
      <c r="AF994">
        <v>1.22088681652913</v>
      </c>
    </row>
    <row r="995" spans="23:32">
      <c r="W995">
        <v>495.507</v>
      </c>
      <c r="X995">
        <v>1.23922360272112</v>
      </c>
      <c r="Y995">
        <v>495.507</v>
      </c>
      <c r="Z995">
        <v>1.25204987379403</v>
      </c>
      <c r="AA995">
        <v>495.507</v>
      </c>
      <c r="AB995">
        <v>1.25097716319959</v>
      </c>
      <c r="AC995">
        <v>495.507</v>
      </c>
      <c r="AD995">
        <v>1.27292499159607</v>
      </c>
      <c r="AE995">
        <v>495.507</v>
      </c>
      <c r="AF995">
        <v>1.21975981555914</v>
      </c>
    </row>
    <row r="996" spans="23:32">
      <c r="W996">
        <v>496.006</v>
      </c>
      <c r="X996">
        <v>1.23202651302361</v>
      </c>
      <c r="Y996">
        <v>496.006</v>
      </c>
      <c r="Z996">
        <v>1.25360065237736</v>
      </c>
      <c r="AA996">
        <v>496.006</v>
      </c>
      <c r="AB996">
        <v>1.26489132128204</v>
      </c>
      <c r="AC996">
        <v>496.006</v>
      </c>
      <c r="AD996">
        <v>1.28138303970733</v>
      </c>
      <c r="AE996">
        <v>496.006</v>
      </c>
      <c r="AF996">
        <v>1.22522488255233</v>
      </c>
    </row>
    <row r="997" spans="23:32">
      <c r="W997">
        <v>496.505</v>
      </c>
      <c r="X997">
        <v>1.23563111290308</v>
      </c>
      <c r="Y997">
        <v>496.505</v>
      </c>
      <c r="Z997">
        <v>1.25968573598076</v>
      </c>
      <c r="AA997">
        <v>496.505</v>
      </c>
      <c r="AB997">
        <v>1.2545523540702</v>
      </c>
      <c r="AC997">
        <v>496.505</v>
      </c>
      <c r="AD997">
        <v>1.27688897532375</v>
      </c>
      <c r="AE997">
        <v>496.505</v>
      </c>
      <c r="AF997">
        <v>1.21716945584581</v>
      </c>
    </row>
    <row r="998" spans="23:32">
      <c r="W998">
        <v>497.004</v>
      </c>
      <c r="X998">
        <v>1.23503299719795</v>
      </c>
      <c r="Y998">
        <v>497.004</v>
      </c>
      <c r="Z998">
        <v>1.24633526468904</v>
      </c>
      <c r="AA998">
        <v>497.004</v>
      </c>
      <c r="AB998">
        <v>1.25738217399509</v>
      </c>
      <c r="AC998">
        <v>497.004</v>
      </c>
      <c r="AD998">
        <v>1.28215656996276</v>
      </c>
      <c r="AE998">
        <v>497.004</v>
      </c>
      <c r="AF998">
        <v>1.22671139571165</v>
      </c>
    </row>
    <row r="999" spans="23:32">
      <c r="W999">
        <v>497.503</v>
      </c>
      <c r="X999">
        <v>1.23761874800043</v>
      </c>
      <c r="Y999">
        <v>497.503</v>
      </c>
      <c r="Z999">
        <v>1.24878646925367</v>
      </c>
      <c r="AA999">
        <v>497.503</v>
      </c>
      <c r="AB999">
        <v>1.25587475016537</v>
      </c>
      <c r="AC999">
        <v>497.503</v>
      </c>
      <c r="AD999">
        <v>1.27414525164161</v>
      </c>
      <c r="AE999">
        <v>497.503</v>
      </c>
      <c r="AF999">
        <v>1.23011830077286</v>
      </c>
    </row>
    <row r="1000" spans="23:32">
      <c r="W1000">
        <v>498.002</v>
      </c>
      <c r="X1000">
        <v>1.22570873981219</v>
      </c>
      <c r="Y1000">
        <v>498.002</v>
      </c>
      <c r="Z1000">
        <v>1.25745044098238</v>
      </c>
      <c r="AA1000">
        <v>498.002</v>
      </c>
      <c r="AB1000">
        <v>1.25193035506487</v>
      </c>
      <c r="AC1000">
        <v>498.002</v>
      </c>
      <c r="AD1000">
        <v>1.27719118471682</v>
      </c>
      <c r="AE1000">
        <v>498.002</v>
      </c>
      <c r="AF1000">
        <v>1.21816762564679</v>
      </c>
    </row>
    <row r="1001" spans="23:32">
      <c r="W1001">
        <v>498.501</v>
      </c>
      <c r="X1001">
        <v>1.2267211751792</v>
      </c>
      <c r="Y1001">
        <v>498.501</v>
      </c>
      <c r="Z1001">
        <v>1.25664774116126</v>
      </c>
      <c r="AA1001">
        <v>498.501</v>
      </c>
      <c r="AB1001">
        <v>1.25855961680992</v>
      </c>
      <c r="AC1001">
        <v>498.501</v>
      </c>
      <c r="AD1001">
        <v>1.26663436634142</v>
      </c>
      <c r="AE1001">
        <v>498.501</v>
      </c>
      <c r="AF1001">
        <v>1.22375417786533</v>
      </c>
    </row>
    <row r="1002" spans="23:32">
      <c r="W1002">
        <v>499</v>
      </c>
      <c r="X1002">
        <v>1.23100165779552</v>
      </c>
      <c r="Y1002">
        <v>499</v>
      </c>
      <c r="Z1002">
        <v>1.25765949544031</v>
      </c>
      <c r="AA1002">
        <v>499</v>
      </c>
      <c r="AB1002">
        <v>1.25392271123144</v>
      </c>
      <c r="AC1002">
        <v>499</v>
      </c>
      <c r="AD1002">
        <v>1.27288272414488</v>
      </c>
      <c r="AE1002">
        <v>499</v>
      </c>
      <c r="AF1002">
        <v>1.23308832928709</v>
      </c>
    </row>
    <row r="1003" spans="23:32">
      <c r="W1003">
        <v>499.499</v>
      </c>
      <c r="X1003">
        <v>1.23080129748215</v>
      </c>
      <c r="Y1003">
        <v>499.499</v>
      </c>
      <c r="Z1003">
        <v>1.26121512392527</v>
      </c>
      <c r="AA1003">
        <v>499.499</v>
      </c>
      <c r="AB1003">
        <v>1.25822148546927</v>
      </c>
      <c r="AC1003">
        <v>499.499</v>
      </c>
      <c r="AD1003">
        <v>1.26726720834382</v>
      </c>
      <c r="AE1003">
        <v>499.499</v>
      </c>
      <c r="AF1003">
        <v>1.21924276189055</v>
      </c>
    </row>
    <row r="1004" spans="23:32">
      <c r="W1004">
        <v>499.998</v>
      </c>
      <c r="X1004">
        <v>1.23351824961378</v>
      </c>
      <c r="Y1004">
        <v>499.998</v>
      </c>
      <c r="Z1004">
        <v>1.24646437583231</v>
      </c>
      <c r="AA1004">
        <v>499.998</v>
      </c>
      <c r="AB1004">
        <v>1.24225631958773</v>
      </c>
      <c r="AC1004">
        <v>499.998</v>
      </c>
      <c r="AD1004">
        <v>1.26726794238025</v>
      </c>
      <c r="AE1004">
        <v>499.998</v>
      </c>
      <c r="AF1004">
        <v>1.22616844486691</v>
      </c>
    </row>
    <row r="1005" spans="23:32">
      <c r="W1005">
        <v>500</v>
      </c>
      <c r="X1005">
        <v>1.23376223687697</v>
      </c>
      <c r="Y1005">
        <v>500</v>
      </c>
      <c r="Z1005">
        <v>1.24683483032923</v>
      </c>
      <c r="AA1005">
        <v>500</v>
      </c>
      <c r="AB1005">
        <v>1.24242091219814</v>
      </c>
      <c r="AC1005">
        <v>500</v>
      </c>
      <c r="AD1005">
        <v>1.26769881791259</v>
      </c>
      <c r="AE1005">
        <v>500</v>
      </c>
      <c r="AF1005">
        <v>1.22661720393552</v>
      </c>
    </row>
    <row r="1006" spans="23:32">
      <c r="X1006">
        <f>AVEDEV(X904:X1005)</f>
        <v>0.00365557645363905</v>
      </c>
      <c r="Z1006">
        <f t="shared" ref="Y1006:AF1006" si="15">AVEDEV(Z904:Z1005)</f>
        <v>0.00394192596278113</v>
      </c>
      <c r="AB1006">
        <f t="shared" si="15"/>
        <v>0.00409008170554644</v>
      </c>
      <c r="AD1006">
        <f t="shared" si="15"/>
        <v>0.00446116470434411</v>
      </c>
      <c r="AF1006">
        <f t="shared" si="15"/>
        <v>0.003799448556239</v>
      </c>
    </row>
    <row r="1007" spans="23:32">
      <c r="X1007">
        <f>AVERAGE(X904:X1005)</f>
        <v>1.22818681519957</v>
      </c>
      <c r="Z1007">
        <f t="shared" ref="Y1007:AF1007" si="16">AVERAGE(Z904:Z1005)</f>
        <v>1.25115999290162</v>
      </c>
      <c r="AB1007">
        <f t="shared" si="16"/>
        <v>1.25508188437959</v>
      </c>
      <c r="AD1007">
        <f t="shared" si="16"/>
        <v>1.2711940187539</v>
      </c>
      <c r="AF1007">
        <f t="shared" si="16"/>
        <v>1.22504460684337</v>
      </c>
    </row>
  </sheetData>
  <mergeCells count="4">
    <mergeCell ref="G3:R3"/>
    <mergeCell ref="AX3:BG3"/>
    <mergeCell ref="BH3:BJ3"/>
    <mergeCell ref="BL5:BL10"/>
  </mergeCells>
  <pageMargins left="0.7" right="0.7" top="0.75" bottom="0.75" header="0.3" footer="0.3"/>
  <pageSetup paperSize="9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I1:AE42"/>
  <sheetViews>
    <sheetView workbookViewId="0">
      <selection activeCell="I3" sqref="I3:S7"/>
    </sheetView>
  </sheetViews>
  <sheetFormatPr defaultColWidth="9" defaultRowHeight="13.8"/>
  <cols>
    <col min="9" max="9" width="11.3796296296296" customWidth="1"/>
  </cols>
  <sheetData>
    <row r="1" ht="27.6" spans="9:31">
      <c r="I1" s="1" t="s">
        <v>195</v>
      </c>
      <c r="J1" s="2"/>
      <c r="K1" s="2"/>
      <c r="L1" s="2"/>
      <c r="M1" s="2"/>
      <c r="N1" s="2"/>
      <c r="O1" s="2"/>
      <c r="P1" s="2"/>
      <c r="Q1" s="2"/>
      <c r="R1" s="2"/>
      <c r="S1" s="2"/>
    </row>
    <row r="3" spans="9:31">
      <c r="J3" t="s">
        <v>196</v>
      </c>
      <c r="K3" t="s">
        <v>197</v>
      </c>
      <c r="L3" t="s">
        <v>198</v>
      </c>
      <c r="M3" t="s">
        <v>199</v>
      </c>
      <c r="N3" t="s">
        <v>200</v>
      </c>
      <c r="O3" t="s">
        <v>201</v>
      </c>
      <c r="P3" t="s">
        <v>202</v>
      </c>
      <c r="Q3" t="s">
        <v>203</v>
      </c>
      <c r="R3" t="s">
        <v>204</v>
      </c>
      <c r="S3" t="s">
        <v>205</v>
      </c>
    </row>
    <row r="4" spans="9:31">
      <c r="I4" t="s">
        <v>206</v>
      </c>
      <c r="J4">
        <v>1.5905</v>
      </c>
      <c r="K4">
        <v>1.3835</v>
      </c>
      <c r="L4">
        <v>1.8407</v>
      </c>
      <c r="M4">
        <v>1.7211</v>
      </c>
      <c r="N4">
        <v>1.8091</v>
      </c>
      <c r="O4">
        <v>1.6699</v>
      </c>
      <c r="P4">
        <v>1.6836</v>
      </c>
      <c r="Q4">
        <v>1.5815</v>
      </c>
      <c r="R4">
        <v>1.7225</v>
      </c>
      <c r="S4">
        <v>1.7412</v>
      </c>
    </row>
    <row r="5" spans="9:31">
      <c r="I5" t="s">
        <v>207</v>
      </c>
      <c r="J5">
        <v>3.9579</v>
      </c>
      <c r="K5">
        <v>3.5053</v>
      </c>
      <c r="L5">
        <v>3.9596</v>
      </c>
      <c r="M5">
        <v>4.0636</v>
      </c>
      <c r="N5">
        <v>3.8134</v>
      </c>
      <c r="O5">
        <v>3.6516</v>
      </c>
      <c r="P5">
        <v>3.6875</v>
      </c>
      <c r="Q5">
        <v>3.6366</v>
      </c>
      <c r="R5">
        <v>3.7214</v>
      </c>
      <c r="S5">
        <v>3.2384</v>
      </c>
    </row>
    <row r="6" spans="9:31">
      <c r="I6" s="3" t="s">
        <v>208</v>
      </c>
      <c r="J6">
        <f>J5-2*J4/3</f>
        <v>2.89756666666667</v>
      </c>
      <c r="K6">
        <f t="shared" ref="K6:S6" si="0">K5-2*K4/3</f>
        <v>2.58296666666667</v>
      </c>
      <c r="L6">
        <f t="shared" si="0"/>
        <v>2.73246666666667</v>
      </c>
      <c r="M6">
        <f t="shared" si="0"/>
        <v>2.9162</v>
      </c>
      <c r="N6">
        <f t="shared" si="0"/>
        <v>2.60733333333333</v>
      </c>
      <c r="O6">
        <f t="shared" si="0"/>
        <v>2.53833333333333</v>
      </c>
      <c r="P6">
        <f t="shared" si="0"/>
        <v>2.5651</v>
      </c>
      <c r="Q6">
        <f t="shared" si="0"/>
        <v>2.58226666666667</v>
      </c>
      <c r="R6">
        <f t="shared" si="0"/>
        <v>2.57306666666667</v>
      </c>
      <c r="S6">
        <f t="shared" si="0"/>
        <v>2.0776</v>
      </c>
    </row>
    <row r="7" spans="9:31">
      <c r="I7" t="s">
        <v>209</v>
      </c>
      <c r="J7">
        <f>J4</f>
        <v>1.5905</v>
      </c>
      <c r="K7">
        <f t="shared" ref="K7:S7" si="1">K4</f>
        <v>1.3835</v>
      </c>
      <c r="L7">
        <f t="shared" si="1"/>
        <v>1.8407</v>
      </c>
      <c r="M7">
        <f t="shared" si="1"/>
        <v>1.7211</v>
      </c>
      <c r="N7">
        <f t="shared" si="1"/>
        <v>1.8091</v>
      </c>
      <c r="O7">
        <f t="shared" si="1"/>
        <v>1.6699</v>
      </c>
      <c r="P7">
        <f t="shared" si="1"/>
        <v>1.6836</v>
      </c>
      <c r="Q7">
        <f t="shared" si="1"/>
        <v>1.5815</v>
      </c>
      <c r="R7">
        <f t="shared" si="1"/>
        <v>1.7225</v>
      </c>
      <c r="S7">
        <f t="shared" si="1"/>
        <v>1.7412</v>
      </c>
    </row>
    <row r="8" spans="9:31">
      <c r="I8" t="s">
        <v>210</v>
      </c>
      <c r="J8">
        <f>J7*(3*J6+2*J7)/(J6+J7)</f>
        <v>4.20785189985294</v>
      </c>
      <c r="K8">
        <f>K7*(3*K6+2*K7)/(K6+K7)</f>
        <v>3.66793644637545</v>
      </c>
      <c r="L8">
        <f t="shared" ref="L8:S8" si="2">L7*(3*L6+2*L7)/(L6+L7)</f>
        <v>4.78121808229163</v>
      </c>
      <c r="M8">
        <f t="shared" si="2"/>
        <v>4.5245263148815</v>
      </c>
      <c r="N8">
        <f t="shared" si="2"/>
        <v>4.68623983606681</v>
      </c>
      <c r="O8">
        <f t="shared" si="2"/>
        <v>4.34705470704254</v>
      </c>
      <c r="P8">
        <f t="shared" si="2"/>
        <v>4.38365264669193</v>
      </c>
      <c r="Q8">
        <f t="shared" si="2"/>
        <v>4.14380777821364</v>
      </c>
      <c r="R8">
        <f t="shared" si="2"/>
        <v>4.47678641545159</v>
      </c>
      <c r="S8">
        <f t="shared" si="2"/>
        <v>4.42969158898083</v>
      </c>
      <c r="V8">
        <v>4.20785189985294</v>
      </c>
      <c r="W8">
        <v>3.66793644637545</v>
      </c>
      <c r="X8">
        <v>4.78121808229163</v>
      </c>
      <c r="Y8">
        <v>4.5245263148815</v>
      </c>
      <c r="Z8">
        <v>4.68623983606681</v>
      </c>
      <c r="AA8">
        <v>4.34705470704254</v>
      </c>
      <c r="AB8">
        <v>4.38365264669193</v>
      </c>
      <c r="AC8">
        <v>4.14380777821364</v>
      </c>
      <c r="AD8">
        <v>4.47678641545159</v>
      </c>
      <c r="AE8">
        <v>4.42969158898083</v>
      </c>
    </row>
    <row r="9" spans="9:31">
      <c r="I9" t="s">
        <v>211</v>
      </c>
      <c r="J9">
        <f>J7</f>
        <v>1.5905</v>
      </c>
      <c r="K9">
        <f t="shared" ref="K9:S9" si="3">K7</f>
        <v>1.3835</v>
      </c>
      <c r="L9">
        <f t="shared" si="3"/>
        <v>1.8407</v>
      </c>
      <c r="M9">
        <f t="shared" si="3"/>
        <v>1.7211</v>
      </c>
      <c r="N9">
        <f t="shared" si="3"/>
        <v>1.8091</v>
      </c>
      <c r="O9">
        <f t="shared" si="3"/>
        <v>1.6699</v>
      </c>
      <c r="P9">
        <f t="shared" si="3"/>
        <v>1.6836</v>
      </c>
      <c r="Q9">
        <f t="shared" si="3"/>
        <v>1.5815</v>
      </c>
      <c r="R9">
        <f t="shared" si="3"/>
        <v>1.7225</v>
      </c>
      <c r="S9">
        <f t="shared" si="3"/>
        <v>1.7412</v>
      </c>
      <c r="V9">
        <v>1.5905</v>
      </c>
      <c r="W9">
        <v>1.3835</v>
      </c>
      <c r="X9">
        <v>1.8407</v>
      </c>
      <c r="Y9">
        <v>1.7211</v>
      </c>
      <c r="Z9">
        <v>1.8091</v>
      </c>
      <c r="AA9">
        <v>1.6699</v>
      </c>
      <c r="AB9">
        <v>1.6836</v>
      </c>
      <c r="AC9">
        <v>1.5815</v>
      </c>
      <c r="AD9">
        <v>1.7225</v>
      </c>
      <c r="AE9">
        <v>1.7412</v>
      </c>
    </row>
    <row r="10" spans="9:31">
      <c r="I10" t="s">
        <v>212</v>
      </c>
      <c r="J10">
        <f>J6+2*J7/3</f>
        <v>3.9579</v>
      </c>
      <c r="K10">
        <f t="shared" ref="K10:S10" si="4">K6+2*K7/3</f>
        <v>3.5053</v>
      </c>
      <c r="L10">
        <f t="shared" si="4"/>
        <v>3.9596</v>
      </c>
      <c r="M10">
        <f t="shared" si="4"/>
        <v>4.0636</v>
      </c>
      <c r="N10">
        <f t="shared" si="4"/>
        <v>3.8134</v>
      </c>
      <c r="O10">
        <f t="shared" si="4"/>
        <v>3.6516</v>
      </c>
      <c r="P10">
        <f t="shared" si="4"/>
        <v>3.6875</v>
      </c>
      <c r="Q10">
        <f t="shared" si="4"/>
        <v>3.6366</v>
      </c>
      <c r="R10">
        <f t="shared" si="4"/>
        <v>3.7214</v>
      </c>
      <c r="S10">
        <f t="shared" si="4"/>
        <v>3.2384</v>
      </c>
      <c r="V10">
        <v>3.9579</v>
      </c>
      <c r="W10">
        <v>3.5053</v>
      </c>
      <c r="X10">
        <v>3.9596</v>
      </c>
      <c r="Y10">
        <v>4.0636</v>
      </c>
      <c r="Z10">
        <v>3.8134</v>
      </c>
      <c r="AA10">
        <v>3.6516</v>
      </c>
      <c r="AB10">
        <v>3.6875</v>
      </c>
      <c r="AC10">
        <v>3.6366</v>
      </c>
      <c r="AD10">
        <v>3.7214</v>
      </c>
      <c r="AE10">
        <v>3.2384</v>
      </c>
    </row>
    <row r="13" spans="9:31">
      <c r="I13" t="s">
        <v>213</v>
      </c>
      <c r="J13" t="s">
        <v>214</v>
      </c>
      <c r="K13" t="s">
        <v>215</v>
      </c>
      <c r="L13" t="s">
        <v>216</v>
      </c>
      <c r="N13" t="s">
        <v>43</v>
      </c>
      <c r="O13" t="s">
        <v>214</v>
      </c>
      <c r="P13" t="s">
        <v>215</v>
      </c>
      <c r="Q13" t="s">
        <v>216</v>
      </c>
    </row>
    <row r="14" spans="9:31">
      <c r="I14">
        <v>30</v>
      </c>
      <c r="J14">
        <v>4.20785189985294</v>
      </c>
      <c r="K14">
        <v>1.5905</v>
      </c>
      <c r="L14">
        <v>3.9579</v>
      </c>
      <c r="N14">
        <v>1</v>
      </c>
      <c r="O14">
        <v>4.34705470704254</v>
      </c>
      <c r="P14">
        <v>1.6699</v>
      </c>
      <c r="Q14">
        <v>3.6516</v>
      </c>
    </row>
    <row r="15" spans="9:31">
      <c r="I15">
        <v>50</v>
      </c>
      <c r="J15">
        <v>3.66793644637545</v>
      </c>
      <c r="K15">
        <v>1.3835</v>
      </c>
      <c r="L15">
        <v>3.5053</v>
      </c>
      <c r="N15">
        <v>2</v>
      </c>
      <c r="O15">
        <v>4.38365264669193</v>
      </c>
      <c r="P15">
        <v>1.6836</v>
      </c>
      <c r="Q15">
        <v>3.6875</v>
      </c>
      <c r="U15">
        <v>4.20785189985294</v>
      </c>
      <c r="V15">
        <v>1.5905</v>
      </c>
      <c r="W15">
        <v>3.9579</v>
      </c>
      <c r="Z15">
        <v>4.48079655989691</v>
      </c>
      <c r="AA15">
        <v>1.7207</v>
      </c>
      <c r="AB15">
        <v>3.77223333333333</v>
      </c>
    </row>
    <row r="16" spans="9:31">
      <c r="I16">
        <v>60</v>
      </c>
      <c r="J16">
        <v>4.78121808229163</v>
      </c>
      <c r="K16">
        <v>1.8407</v>
      </c>
      <c r="L16">
        <v>3.9596</v>
      </c>
      <c r="N16">
        <v>3</v>
      </c>
      <c r="O16">
        <v>4.14380777821364</v>
      </c>
      <c r="P16">
        <v>1.5815</v>
      </c>
      <c r="Q16">
        <v>3.6366</v>
      </c>
      <c r="U16">
        <v>3.66793644637545</v>
      </c>
      <c r="V16">
        <v>1.3835</v>
      </c>
      <c r="W16">
        <v>3.5053</v>
      </c>
      <c r="Z16">
        <v>3.7171515562108</v>
      </c>
      <c r="AA16">
        <v>1.3897</v>
      </c>
      <c r="AB16">
        <v>3.80996666666667</v>
      </c>
    </row>
    <row r="17" spans="9:28">
      <c r="I17">
        <v>100</v>
      </c>
      <c r="J17">
        <v>4.5245263148815</v>
      </c>
      <c r="K17">
        <v>1.7211</v>
      </c>
      <c r="L17">
        <v>4.0636</v>
      </c>
      <c r="N17">
        <v>4</v>
      </c>
      <c r="O17">
        <v>4.47678641545159</v>
      </c>
      <c r="P17">
        <v>1.7225</v>
      </c>
      <c r="Q17">
        <v>3.7214</v>
      </c>
      <c r="U17">
        <v>4.78121808229163</v>
      </c>
      <c r="V17">
        <v>1.8407</v>
      </c>
      <c r="W17">
        <v>3.9596</v>
      </c>
      <c r="Z17">
        <v>4.91176155199639</v>
      </c>
      <c r="AA17">
        <v>1.9122</v>
      </c>
      <c r="AB17">
        <v>3.7956</v>
      </c>
    </row>
    <row r="18" spans="9:28">
      <c r="I18">
        <v>200</v>
      </c>
      <c r="J18">
        <v>4.68623983606681</v>
      </c>
      <c r="K18">
        <v>1.8091</v>
      </c>
      <c r="L18">
        <v>3.8134</v>
      </c>
      <c r="N18">
        <v>5</v>
      </c>
      <c r="O18">
        <v>4.42969158898083</v>
      </c>
      <c r="P18">
        <v>1.7412</v>
      </c>
      <c r="Q18">
        <v>3.2384</v>
      </c>
      <c r="U18">
        <v>4.5245263148815</v>
      </c>
      <c r="V18">
        <v>1.7211</v>
      </c>
      <c r="W18">
        <v>4.0636</v>
      </c>
      <c r="Z18">
        <v>4.78387069908679</v>
      </c>
      <c r="AA18">
        <v>1.8491</v>
      </c>
      <c r="AB18">
        <v>3.86233333333333</v>
      </c>
    </row>
    <row r="19" spans="9:28">
      <c r="U19">
        <v>4.68623983606681</v>
      </c>
      <c r="V19">
        <v>1.8091</v>
      </c>
      <c r="W19">
        <v>3.8134</v>
      </c>
      <c r="Z19">
        <v>4.84585238973195</v>
      </c>
      <c r="AA19">
        <v>1.8996</v>
      </c>
      <c r="AB19">
        <v>3.5974</v>
      </c>
    </row>
    <row r="20" spans="9:28">
      <c r="U20">
        <v>4.34705470704254</v>
      </c>
      <c r="V20">
        <v>1.6699</v>
      </c>
      <c r="W20">
        <v>3.6516</v>
      </c>
      <c r="Z20">
        <v>4.41864852958629</v>
      </c>
      <c r="AA20">
        <v>1.7021</v>
      </c>
      <c r="AB20">
        <v>3.64573333333333</v>
      </c>
    </row>
    <row r="21" spans="9:28">
      <c r="U21">
        <v>4.38365264669193</v>
      </c>
      <c r="V21">
        <v>1.6836</v>
      </c>
      <c r="W21">
        <v>3.6875</v>
      </c>
      <c r="Z21">
        <v>4.24993971765835</v>
      </c>
      <c r="AA21">
        <v>1.6037</v>
      </c>
      <c r="AB21">
        <v>4.04853333333333</v>
      </c>
    </row>
    <row r="22" spans="9:28">
      <c r="U22">
        <v>4.14380777821364</v>
      </c>
      <c r="V22">
        <v>1.5815</v>
      </c>
      <c r="W22">
        <v>3.6366</v>
      </c>
      <c r="Z22">
        <v>4.13731849942726</v>
      </c>
      <c r="AA22">
        <v>1.5665</v>
      </c>
      <c r="AB22">
        <v>3.84283333333333</v>
      </c>
    </row>
    <row r="23" spans="9:28">
      <c r="U23">
        <v>4.47678641545159</v>
      </c>
      <c r="V23">
        <v>1.7225</v>
      </c>
      <c r="W23">
        <v>3.7214</v>
      </c>
      <c r="Z23">
        <v>4.60399438369429</v>
      </c>
      <c r="AA23">
        <v>1.7857</v>
      </c>
      <c r="AB23">
        <v>3.63886666666667</v>
      </c>
    </row>
    <row r="24" spans="9:28">
      <c r="U24">
        <v>4.42969158898083</v>
      </c>
      <c r="V24">
        <v>1.7412</v>
      </c>
      <c r="W24">
        <v>3.2384</v>
      </c>
      <c r="Z24">
        <v>4.42887671648585</v>
      </c>
      <c r="AA24">
        <v>1.728</v>
      </c>
      <c r="AB24">
        <v>3.3783</v>
      </c>
    </row>
    <row r="27" ht="27.6" spans="9:28">
      <c r="I27" s="1" t="s">
        <v>195</v>
      </c>
      <c r="J27" s="2"/>
      <c r="K27" s="2"/>
      <c r="L27" s="2"/>
      <c r="M27" s="2"/>
      <c r="N27" s="2"/>
      <c r="O27" s="2"/>
      <c r="P27" s="2"/>
      <c r="Q27" s="2"/>
      <c r="R27" s="2"/>
      <c r="S27" s="2"/>
    </row>
    <row r="29" spans="9:28">
      <c r="J29" t="s">
        <v>196</v>
      </c>
      <c r="K29" t="s">
        <v>197</v>
      </c>
      <c r="L29" t="s">
        <v>198</v>
      </c>
      <c r="M29" t="s">
        <v>199</v>
      </c>
      <c r="N29" t="s">
        <v>200</v>
      </c>
      <c r="O29" t="s">
        <v>201</v>
      </c>
      <c r="P29" t="s">
        <v>202</v>
      </c>
      <c r="Q29" t="s">
        <v>203</v>
      </c>
      <c r="R29" t="s">
        <v>204</v>
      </c>
      <c r="S29" t="s">
        <v>205</v>
      </c>
    </row>
    <row r="30" spans="9:28">
      <c r="I30" s="3" t="s">
        <v>208</v>
      </c>
      <c r="J30">
        <v>2.6251</v>
      </c>
      <c r="K30">
        <v>2.8835</v>
      </c>
      <c r="L30">
        <v>2.5208</v>
      </c>
      <c r="M30">
        <v>2.6296</v>
      </c>
      <c r="N30">
        <v>2.331</v>
      </c>
      <c r="O30">
        <v>2.511</v>
      </c>
      <c r="P30">
        <v>2.9794</v>
      </c>
      <c r="Q30">
        <v>2.7985</v>
      </c>
      <c r="R30">
        <v>2.4484</v>
      </c>
      <c r="S30">
        <v>2.2263</v>
      </c>
    </row>
    <row r="31" spans="9:28">
      <c r="I31" t="s">
        <v>209</v>
      </c>
      <c r="J31">
        <v>1.7207</v>
      </c>
      <c r="K31">
        <v>1.3897</v>
      </c>
      <c r="L31">
        <v>1.9122</v>
      </c>
      <c r="M31">
        <v>1.8491</v>
      </c>
      <c r="N31">
        <v>1.8996</v>
      </c>
      <c r="O31">
        <v>1.7021</v>
      </c>
      <c r="P31">
        <v>1.6037</v>
      </c>
      <c r="Q31">
        <v>1.5665</v>
      </c>
      <c r="R31">
        <v>1.7857</v>
      </c>
      <c r="S31">
        <v>1.728</v>
      </c>
    </row>
    <row r="32" spans="9:28">
      <c r="I32" t="s">
        <v>210</v>
      </c>
      <c r="J32">
        <f>J31*(3*J30+2*J31)/(J30+J31)</f>
        <v>4.48079655989691</v>
      </c>
      <c r="K32">
        <f>K31*(3*K30+2*K31)/(K30+K31)</f>
        <v>3.7171515562108</v>
      </c>
      <c r="L32">
        <f t="shared" ref="L32" si="5">L31*(3*L30+2*L31)/(L30+L31)</f>
        <v>4.91176155199639</v>
      </c>
      <c r="M32">
        <f t="shared" ref="M32" si="6">M31*(3*M30+2*M31)/(M30+M31)</f>
        <v>4.78387069908679</v>
      </c>
      <c r="N32">
        <f t="shared" ref="N32" si="7">N31*(3*N30+2*N31)/(N30+N31)</f>
        <v>4.84585238973195</v>
      </c>
      <c r="O32">
        <f t="shared" ref="O32" si="8">O31*(3*O30+2*O31)/(O30+O31)</f>
        <v>4.41864852958629</v>
      </c>
      <c r="P32">
        <f t="shared" ref="P32" si="9">P31*(3*P30+2*P31)/(P30+P31)</f>
        <v>4.24993971765835</v>
      </c>
      <c r="Q32">
        <f t="shared" ref="Q32" si="10">Q31*(3*Q30+2*Q31)/(Q30+Q31)</f>
        <v>4.13731849942726</v>
      </c>
      <c r="R32">
        <f t="shared" ref="R32" si="11">R31*(3*R30+2*R31)/(R30+R31)</f>
        <v>4.60399438369429</v>
      </c>
      <c r="S32">
        <f t="shared" ref="S32" si="12">S31*(3*S30+2*S31)/(S30+S31)</f>
        <v>4.42887671648585</v>
      </c>
    </row>
    <row r="33" spans="9:19">
      <c r="I33" t="s">
        <v>211</v>
      </c>
      <c r="J33">
        <f>J31</f>
        <v>1.7207</v>
      </c>
      <c r="K33">
        <f t="shared" ref="K33:S33" si="13">K31</f>
        <v>1.3897</v>
      </c>
      <c r="L33">
        <f t="shared" si="13"/>
        <v>1.9122</v>
      </c>
      <c r="M33">
        <f t="shared" si="13"/>
        <v>1.8491</v>
      </c>
      <c r="N33">
        <f t="shared" si="13"/>
        <v>1.8996</v>
      </c>
      <c r="O33">
        <f t="shared" si="13"/>
        <v>1.7021</v>
      </c>
      <c r="P33">
        <f t="shared" si="13"/>
        <v>1.6037</v>
      </c>
      <c r="Q33">
        <f t="shared" si="13"/>
        <v>1.5665</v>
      </c>
      <c r="R33">
        <f t="shared" si="13"/>
        <v>1.7857</v>
      </c>
      <c r="S33">
        <f t="shared" si="13"/>
        <v>1.728</v>
      </c>
    </row>
    <row r="34" spans="9:19">
      <c r="I34" t="s">
        <v>212</v>
      </c>
      <c r="J34">
        <f>J30+2*J31/3</f>
        <v>3.77223333333333</v>
      </c>
      <c r="K34">
        <f t="shared" ref="K34:S34" si="14">K30+2*K31/3</f>
        <v>3.80996666666667</v>
      </c>
      <c r="L34">
        <f t="shared" si="14"/>
        <v>3.7956</v>
      </c>
      <c r="M34">
        <f t="shared" si="14"/>
        <v>3.86233333333333</v>
      </c>
      <c r="N34">
        <f t="shared" si="14"/>
        <v>3.5974</v>
      </c>
      <c r="O34">
        <f t="shared" si="14"/>
        <v>3.64573333333333</v>
      </c>
      <c r="P34">
        <f t="shared" si="14"/>
        <v>4.04853333333333</v>
      </c>
      <c r="Q34">
        <f t="shared" si="14"/>
        <v>3.84283333333333</v>
      </c>
      <c r="R34">
        <f t="shared" si="14"/>
        <v>3.63886666666667</v>
      </c>
      <c r="S34">
        <f t="shared" si="14"/>
        <v>3.3783</v>
      </c>
    </row>
    <row r="37" spans="9:19">
      <c r="I37" t="s">
        <v>213</v>
      </c>
      <c r="N37" t="s">
        <v>43</v>
      </c>
    </row>
    <row r="38" spans="9:19">
      <c r="I38">
        <v>30</v>
      </c>
      <c r="J38">
        <v>4.48079655989691</v>
      </c>
      <c r="K38">
        <v>1.7207</v>
      </c>
      <c r="L38">
        <v>3.77223333333333</v>
      </c>
      <c r="N38">
        <v>1</v>
      </c>
      <c r="O38">
        <v>4.41864852958629</v>
      </c>
      <c r="P38">
        <v>1.7021</v>
      </c>
      <c r="Q38">
        <v>3.64573333333333</v>
      </c>
    </row>
    <row r="39" spans="9:19">
      <c r="I39">
        <v>50</v>
      </c>
      <c r="J39">
        <v>3.7171515562108</v>
      </c>
      <c r="K39">
        <v>1.3897</v>
      </c>
      <c r="L39">
        <v>3.80996666666667</v>
      </c>
      <c r="N39">
        <v>2</v>
      </c>
      <c r="O39">
        <v>4.24993971765835</v>
      </c>
      <c r="P39">
        <v>1.6037</v>
      </c>
      <c r="Q39">
        <v>4.04853333333333</v>
      </c>
    </row>
    <row r="40" spans="9:19">
      <c r="I40">
        <v>60</v>
      </c>
      <c r="J40">
        <v>4.91176155199639</v>
      </c>
      <c r="K40">
        <v>1.9122</v>
      </c>
      <c r="L40">
        <v>3.7956</v>
      </c>
      <c r="N40">
        <v>3</v>
      </c>
      <c r="O40">
        <v>4.13731849942726</v>
      </c>
      <c r="P40">
        <v>1.5665</v>
      </c>
      <c r="Q40">
        <v>3.84283333333333</v>
      </c>
    </row>
    <row r="41" spans="9:19">
      <c r="I41">
        <v>100</v>
      </c>
      <c r="J41">
        <v>4.78387069908679</v>
      </c>
      <c r="K41">
        <v>1.8491</v>
      </c>
      <c r="L41">
        <v>3.86233333333333</v>
      </c>
      <c r="N41">
        <v>4</v>
      </c>
      <c r="O41">
        <v>4.60399438369429</v>
      </c>
      <c r="P41">
        <v>1.7857</v>
      </c>
      <c r="Q41">
        <v>3.63886666666667</v>
      </c>
    </row>
    <row r="42" spans="9:19">
      <c r="I42">
        <v>200</v>
      </c>
      <c r="J42">
        <v>4.84585238973195</v>
      </c>
      <c r="K42">
        <v>1.8996</v>
      </c>
      <c r="L42">
        <v>3.5974</v>
      </c>
      <c r="N42">
        <v>5</v>
      </c>
      <c r="O42">
        <v>4.42887671648585</v>
      </c>
      <c r="P42">
        <v>1.728</v>
      </c>
      <c r="Q42">
        <v>3.3783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Sheet1</vt:lpstr>
      <vt:lpstr>电荷</vt:lpstr>
      <vt:lpstr>PL-Cu-x吸附量</vt:lpstr>
      <vt:lpstr>PL-Cu-x系统物理组成</vt:lpstr>
      <vt:lpstr>PL-CuBTC不同温度</vt:lpstr>
      <vt:lpstr>不同聚合度 298k 1atm</vt:lpstr>
      <vt:lpstr>PL-Cu-BTC不同阴离子浓度</vt:lpstr>
      <vt:lpstr>PL-Cu-BTC不同CuBTC</vt:lpstr>
      <vt:lpstr>力学性能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梁梦凡</dc:creator>
  <cp:lastModifiedBy>甲乙丙丁。</cp:lastModifiedBy>
  <dcterms:created xsi:type="dcterms:W3CDTF">2026-08-14T08:20:00Z</dcterms:created>
  <dcterms:modified xsi:type="dcterms:W3CDTF">2026-09-11T04:26:11Z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6ED645F16B6E40C0B71AC1AF27061385_12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